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egbugpeulom1/Library/CloudStorage/GoogleDrive-3023526@gmail.com/다른 컴퓨터/내 컴퓨터 (1)/Desktop/업무/일지/2026/"/>
    </mc:Choice>
  </mc:AlternateContent>
  <xr:revisionPtr revIDLastSave="0" documentId="8_{F365FA37-BF2D-CA4B-B49B-374734F86930}" xr6:coauthVersionLast="47" xr6:coauthVersionMax="47" xr10:uidLastSave="{00000000-0000-0000-0000-000000000000}"/>
  <bookViews>
    <workbookView xWindow="0" yWindow="500" windowWidth="28800" windowHeight="16560" activeTab="5" xr2:uid="{3E0E6DCF-35CB-594B-A850-5BFE8480CAE8}"/>
  </bookViews>
  <sheets>
    <sheet name="03" sheetId="1" r:id="rId1"/>
    <sheet name="04" sheetId="2" r:id="rId2"/>
    <sheet name="05" sheetId="3" r:id="rId3"/>
    <sheet name="07" sheetId="4" r:id="rId4"/>
    <sheet name="10" sheetId="5" r:id="rId5"/>
    <sheet name="11" sheetId="6" r:id="rId6"/>
  </sheets>
  <definedNames>
    <definedName name="_xlnm.Print_Area" localSheetId="0">'03'!$C$1:$AB$51</definedName>
    <definedName name="_xlnm.Print_Area" localSheetId="1">'04'!$C$1:$AB$51</definedName>
    <definedName name="_xlnm.Print_Area" localSheetId="2">'05'!$C$1:$AB$51</definedName>
    <definedName name="_xlnm.Print_Area" localSheetId="3">'07'!$C$1:$AB$51</definedName>
    <definedName name="_xlnm.Print_Area" localSheetId="4">'10'!$C$1:$AB$51</definedName>
    <definedName name="_xlnm.Print_Area" localSheetId="5">'11'!$C$1:$AB$52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6" l="1"/>
  <c r="C5" i="5"/>
  <c r="C5" i="4"/>
  <c r="C5" i="3"/>
  <c r="C5" i="2"/>
  <c r="C5" i="1"/>
</calcChain>
</file>

<file path=xl/sharedStrings.xml><?xml version="1.0" encoding="utf-8"?>
<sst xmlns="http://schemas.openxmlformats.org/spreadsheetml/2006/main" count="244" uniqueCount="148">
  <si>
    <t xml:space="preserve"> </t>
    <phoneticPr fontId="2" type="noConversion"/>
  </si>
  <si>
    <t>일일업무일지</t>
  </si>
  <si>
    <t>결     재</t>
  </si>
  <si>
    <t>담 당</t>
  </si>
  <si>
    <t>영업팀장</t>
  </si>
  <si>
    <t>총괄이사</t>
  </si>
  <si>
    <t>사 장</t>
  </si>
  <si>
    <t xml:space="preserve"> </t>
  </si>
  <si>
    <t>내              용</t>
  </si>
  <si>
    <t>uy</t>
  </si>
  <si>
    <t>78 ddddddddddddddddddddddddddddddddddddddddddddddddddddddddddddddddddddddddddrrrrrrrrrrrrrrrrrrrrrrrrrrrrrrrrrrrrrrrrrrrrrrrrrrrrrrrrrrrrrrrrrrrrrrrrrrrrrrrrrrrrrrrrrrrrrrrrrrrrrrrrrrrc dfrrrrrrrrrrrrrrrrrrrrrrrrrrrrrrrrrrrrrrrrrrrrrrrrrrrrrrrrrrrrrrrrrrrrrrrrrrrrrrrrrrrrrrrrrrrrrrrrrrrrrrrrrrrrrrrrfrffghYGH</t>
  </si>
  <si>
    <t>`</t>
    <phoneticPr fontId="2" type="noConversion"/>
  </si>
  <si>
    <t>익일업무</t>
    <phoneticPr fontId="2" type="noConversion"/>
  </si>
  <si>
    <t xml:space="preserve">  </t>
    <phoneticPr fontId="2" type="noConversion"/>
  </si>
  <si>
    <t>특 이 사 항</t>
  </si>
  <si>
    <t>VFD</t>
  </si>
  <si>
    <t xml:space="preserve"> ○ 월초 5일까지 채권회수 중점업무</t>
    <phoneticPr fontId="2" type="noConversion"/>
  </si>
  <si>
    <t xml:space="preserve"> - 최경일대표 : 200만 입금확인 . 08/05일부 500만 입금약속   </t>
    <phoneticPr fontId="2" type="noConversion"/>
  </si>
  <si>
    <t xml:space="preserve"> • 포엠 : 미수금  (12.421.266원) </t>
    <phoneticPr fontId="2" type="noConversion"/>
  </si>
  <si>
    <t xml:space="preserve"> • 명성코리아테크 : 미수금 (6.208.763원)</t>
    <phoneticPr fontId="2" type="noConversion"/>
  </si>
  <si>
    <t xml:space="preserve"> - 이한영대표 : 차주 월요일 카드결재 약속 </t>
    <phoneticPr fontId="2" type="noConversion"/>
  </si>
  <si>
    <t xml:space="preserve"> • 제이피에스테크 : 미수금 (400만)</t>
    <phoneticPr fontId="2" type="noConversion"/>
  </si>
  <si>
    <t xml:space="preserve"> - 전세계대표 : 월말 입금약속분에 대한 감사인사 방문 </t>
    <phoneticPr fontId="2" type="noConversion"/>
  </si>
  <si>
    <t xml:space="preserve"> - 삼성반도체 물량 계약작업 확인 . 매월 200만 9월까지 완납약속</t>
    <phoneticPr fontId="2" type="noConversion"/>
  </si>
  <si>
    <t>라쿨</t>
    <phoneticPr fontId="2" type="noConversion"/>
  </si>
  <si>
    <t xml:space="preserve"> ○ 신규보일러 설치 완성검사 및 정기방문</t>
    <phoneticPr fontId="2" type="noConversion"/>
  </si>
  <si>
    <t xml:space="preserve"> • 완성검사비용 70만원 당사처리 요구 - 수용못함을 전달  </t>
    <phoneticPr fontId="2" type="noConversion"/>
  </si>
  <si>
    <t xml:space="preserve"> - 가스사용량 늘었으나 당사 알곤 사용량 증감률 10%도 못미침을 공유</t>
    <phoneticPr fontId="2" type="noConversion"/>
  </si>
  <si>
    <t xml:space="preserve">단일시스캠 </t>
    <phoneticPr fontId="2" type="noConversion"/>
  </si>
  <si>
    <t>제이아이금속</t>
    <phoneticPr fontId="2" type="noConversion"/>
  </si>
  <si>
    <t xml:space="preserve"> ○ 신규 초도납품 건</t>
    <phoneticPr fontId="2" type="noConversion"/>
  </si>
  <si>
    <t xml:space="preserve"> • 08/05일 초도납품 예정 (변경가능)</t>
    <phoneticPr fontId="2" type="noConversion"/>
  </si>
  <si>
    <t xml:space="preserve"> • 충전위한 전기작업 필요 전달 : 3상 75암페어 이상 .</t>
    <phoneticPr fontId="2" type="noConversion"/>
  </si>
  <si>
    <t xml:space="preserve"> - 금일까지 작업완료 하기로 함 </t>
    <phoneticPr fontId="2" type="noConversion"/>
  </si>
  <si>
    <t xml:space="preserve"> ○ 업무협조 건</t>
    <phoneticPr fontId="2" type="noConversion"/>
  </si>
  <si>
    <t xml:space="preserve"> • 이왕수부장 : 마감확인 및 거래명세서 전달 . 미교부된 성적서 공유</t>
    <phoneticPr fontId="2" type="noConversion"/>
  </si>
  <si>
    <t xml:space="preserve"> • 차주 화요일 저녁식사 예정 </t>
    <phoneticPr fontId="2" type="noConversion"/>
  </si>
  <si>
    <t xml:space="preserve"> • 채권관리 중점 관리 업무</t>
    <phoneticPr fontId="2" type="noConversion"/>
  </si>
  <si>
    <t xml:space="preserve">   </t>
    <phoneticPr fontId="2" type="noConversion"/>
  </si>
  <si>
    <t xml:space="preserve"> ○ 신규거래업체 알곤탱크 완성검사 및 초도충전 방문 </t>
    <phoneticPr fontId="2" type="noConversion"/>
  </si>
  <si>
    <t xml:space="preserve">   • 3.5m3(4.9t) * 2기 자가 신규탱크 </t>
    <phoneticPr fontId="2" type="noConversion"/>
  </si>
  <si>
    <t xml:space="preserve">   • 공정분리 액 공급으로 이한 알곤탱크 2기 도입 </t>
    <phoneticPr fontId="2" type="noConversion"/>
  </si>
  <si>
    <t xml:space="preserve">   • 가스안전공사 조우용과장 검사 : </t>
    <phoneticPr fontId="2" type="noConversion"/>
  </si>
  <si>
    <t xml:space="preserve">   - 설비업체 : 미성가스텍 (참여)</t>
    <phoneticPr fontId="2" type="noConversion"/>
  </si>
  <si>
    <t xml:space="preserve">   - 당일 수정 보완할수 있는 몇가지 외 필증 받기에 큰 무리 없을 것으로</t>
    <phoneticPr fontId="2" type="noConversion"/>
  </si>
  <si>
    <t xml:space="preserve">     판단.</t>
    <phoneticPr fontId="2" type="noConversion"/>
  </si>
  <si>
    <t xml:space="preserve">   • 전 거래업체 가스엔꼬 3번으로 인한 거래중지 내부입찰 선정 건</t>
    <phoneticPr fontId="2" type="noConversion"/>
  </si>
  <si>
    <t xml:space="preserve">   - 배차주기 및 충전일 각별히 고려해야 할 업체 </t>
    <phoneticPr fontId="2" type="noConversion"/>
  </si>
  <si>
    <t xml:space="preserve">   • 선정 마무리 단계에 영업 된 업체로 저단가 거래 6개월 후 </t>
    <phoneticPr fontId="2" type="noConversion"/>
  </si>
  <si>
    <t xml:space="preserve">     단가인상 고려 업체 </t>
    <phoneticPr fontId="2" type="noConversion"/>
  </si>
  <si>
    <t xml:space="preserve">   - 거래단가 : kg 당 450원 </t>
    <phoneticPr fontId="2" type="noConversion"/>
  </si>
  <si>
    <t xml:space="preserve">   - 사용량 : 한달평균 16톤 (24시간 가동) </t>
    <phoneticPr fontId="2" type="noConversion"/>
  </si>
  <si>
    <t xml:space="preserve">   • 경계표지판 당사에서 서비스 해주기로 함 </t>
    <phoneticPr fontId="2" type="noConversion"/>
  </si>
  <si>
    <t xml:space="preserve">   • 대표이사 인사 및 가스안전공사 담당자 정식미팅 가짐 </t>
    <phoneticPr fontId="2" type="noConversion"/>
  </si>
  <si>
    <t xml:space="preserve"> • 예성이엔지 단가인상 협의 </t>
    <phoneticPr fontId="2" type="noConversion"/>
  </si>
  <si>
    <t xml:space="preserve"> ○ 예성이엔지 단가인상 건</t>
    <phoneticPr fontId="2" type="noConversion"/>
  </si>
  <si>
    <t xml:space="preserve">   • 기존 담당자 박준석총무 퇴사 </t>
    <phoneticPr fontId="2" type="noConversion"/>
  </si>
  <si>
    <t xml:space="preserve">   • 임시 담당자 조원태부장 이관 : 전달 된 단가인상건 대표이사 </t>
    <phoneticPr fontId="2" type="noConversion"/>
  </si>
  <si>
    <t xml:space="preserve">   • 주요품목 적용금액   </t>
    <phoneticPr fontId="2" type="noConversion"/>
  </si>
  <si>
    <t xml:space="preserve">     방문요청 차주 월요일 방문약속</t>
    <phoneticPr fontId="2" type="noConversion"/>
  </si>
  <si>
    <t xml:space="preserve">     - N2 (kg, Bulk) : kg 당 170원 ► 230원</t>
    <phoneticPr fontId="2" type="noConversion"/>
  </si>
  <si>
    <t xml:space="preserve">     - Ar (LGC, 175L) : 100.000 ► 120.000원</t>
    <phoneticPr fontId="2" type="noConversion"/>
  </si>
  <si>
    <t xml:space="preserve">     - Ar (일반 : 6.000 ► 12.000원 </t>
    <phoneticPr fontId="2" type="noConversion"/>
  </si>
  <si>
    <t xml:space="preserve">    </t>
    <phoneticPr fontId="2" type="noConversion"/>
  </si>
  <si>
    <t xml:space="preserve"> ○ HLB생명공학</t>
    <phoneticPr fontId="2" type="noConversion"/>
  </si>
  <si>
    <t xml:space="preserve">    • 멸균기 호환 테스트 4대중 1대 완료</t>
    <phoneticPr fontId="2" type="noConversion"/>
  </si>
  <si>
    <t xml:space="preserve">    - 현재 납품된 당사 병 전량 사용대기 중</t>
    <phoneticPr fontId="2" type="noConversion"/>
  </si>
  <si>
    <t xml:space="preserve">    - 9월부터 정상가동 결론 , 단일시스캠 공유</t>
    <phoneticPr fontId="2" type="noConversion"/>
  </si>
  <si>
    <t xml:space="preserve">    - 8월 120병 MTOP 해제 , 9월부터 적용하기로 함 (의무 120병 청구 건)</t>
    <phoneticPr fontId="2" type="noConversion"/>
  </si>
  <si>
    <t xml:space="preserve">  ○ 이엔에이치</t>
    <phoneticPr fontId="2" type="noConversion"/>
  </si>
  <si>
    <t xml:space="preserve">    • 정기 HE 단가인상 조율 건 (매년 단가협의 전산등록업체)</t>
    <phoneticPr fontId="2" type="noConversion"/>
  </si>
  <si>
    <t xml:space="preserve">    • 사입단가인상 고려 협의 중</t>
    <phoneticPr fontId="2" type="noConversion"/>
  </si>
  <si>
    <t xml:space="preserve">  ○ 채권관리 </t>
    <phoneticPr fontId="2" type="noConversion"/>
  </si>
  <si>
    <t xml:space="preserve">    • 정상거래처 월말 미입금업체 관리 </t>
    <phoneticPr fontId="2" type="noConversion"/>
  </si>
  <si>
    <t xml:space="preserve">    - 부림가스 외 </t>
    <phoneticPr fontId="2" type="noConversion"/>
  </si>
  <si>
    <t xml:space="preserve">    • 포엠 : 카드결재 유도</t>
    <phoneticPr fontId="2" type="noConversion"/>
  </si>
  <si>
    <t xml:space="preserve">  ○ 경리부 휴가 대체 대응</t>
    <phoneticPr fontId="2" type="noConversion"/>
  </si>
  <si>
    <t xml:space="preserve">    • 거래처 발주 및 성적서 발급 . 세금계산서 수정 등 대리업무 </t>
    <phoneticPr fontId="2" type="noConversion"/>
  </si>
  <si>
    <t xml:space="preserve"> • 제이아이금속 방문 및 인근 시장조사 </t>
    <phoneticPr fontId="2" type="noConversion"/>
  </si>
  <si>
    <t>이엔에이치</t>
    <phoneticPr fontId="2" type="noConversion"/>
  </si>
  <si>
    <t xml:space="preserve"> ○ HE 단가인상 협의 건</t>
    <phoneticPr fontId="2" type="noConversion"/>
  </si>
  <si>
    <t xml:space="preserve">   • 47리터 22년 2월이후 납품없음 - 10.2리터 변경후 극소량 납품중</t>
    <phoneticPr fontId="2" type="noConversion"/>
  </si>
  <si>
    <t xml:space="preserve">   • 10.2리터 현단가 : 120.000원</t>
    <phoneticPr fontId="2" type="noConversion"/>
  </si>
  <si>
    <t xml:space="preserve">   • 구두 조정 협의단간 : 180.000원 협의 중</t>
    <phoneticPr fontId="2" type="noConversion"/>
  </si>
  <si>
    <t>제이피에스테크</t>
    <phoneticPr fontId="2" type="noConversion"/>
  </si>
  <si>
    <t xml:space="preserve"> ○ 악성채권관리 방문 (보성엔지니어링 채권양도업체)</t>
    <phoneticPr fontId="2" type="noConversion"/>
  </si>
  <si>
    <t xml:space="preserve">   • 전세계대표 : 유선 상 다툼 해소 . 담당자로서 어쩔 수 없는 부분</t>
    <phoneticPr fontId="2" type="noConversion"/>
  </si>
  <si>
    <t xml:space="preserve">     이해와 3월 채권양도 후 미입금 주지 . 채권양도 귀사의 채권임을 </t>
    <phoneticPr fontId="2" type="noConversion"/>
  </si>
  <si>
    <t xml:space="preserve">     다시한번 인지시킴 </t>
    <phoneticPr fontId="2" type="noConversion"/>
  </si>
  <si>
    <t xml:space="preserve">     접대용 음료수 증정 </t>
    <phoneticPr fontId="2" type="noConversion"/>
  </si>
  <si>
    <t xml:space="preserve"> ○ 신규거래업체 납품주기 협의 및 경계표지판 설치 방문</t>
    <phoneticPr fontId="2" type="noConversion"/>
  </si>
  <si>
    <t xml:space="preserve">   • 이순범과장 : 충전 3일전 연락 필. 탱크 용량 테이블 확인 후 </t>
    <phoneticPr fontId="2" type="noConversion"/>
  </si>
  <si>
    <t xml:space="preserve">     충전 레벨게이지 계산 후 발주시점 확인</t>
    <phoneticPr fontId="2" type="noConversion"/>
  </si>
  <si>
    <t xml:space="preserve">   • 알곤 월 16톤사용 예상이나 , 한달정도 사용량 추이 지켜봐야 함 </t>
    <phoneticPr fontId="2" type="noConversion"/>
  </si>
  <si>
    <t>단일시스캠</t>
    <phoneticPr fontId="2" type="noConversion"/>
  </si>
  <si>
    <t xml:space="preserve"> ○ 익일 저녁식사 예정</t>
    <phoneticPr fontId="2" type="noConversion"/>
  </si>
  <si>
    <t xml:space="preserve">   • 참석자 : 단일시스캠 본사 이왕수부장 </t>
    <phoneticPr fontId="2" type="noConversion"/>
  </si>
  <si>
    <t xml:space="preserve">              단일시스캠 음성지점 이영원이사 </t>
    <phoneticPr fontId="2" type="noConversion"/>
  </si>
  <si>
    <t xml:space="preserve">              단일시스캠 음성지점 생산팀장  </t>
    <phoneticPr fontId="2" type="noConversion"/>
  </si>
  <si>
    <t xml:space="preserve"> • 예성이엔지 단가인상 최종협의 </t>
    <phoneticPr fontId="2" type="noConversion"/>
  </si>
  <si>
    <t xml:space="preserve"> • 악성채권 관리 방문 </t>
    <phoneticPr fontId="2" type="noConversion"/>
  </si>
  <si>
    <t xml:space="preserve"> ○ 채권관리 </t>
    <phoneticPr fontId="2" type="noConversion"/>
  </si>
  <si>
    <t xml:space="preserve">   • 경민산업 (소액 : 2개월연체)</t>
    <phoneticPr fontId="2" type="noConversion"/>
  </si>
  <si>
    <t xml:space="preserve">   - 김철화이사 : 새로운 아이템 개발로 잠시 기존영업 소홀, 8월부터 </t>
    <phoneticPr fontId="2" type="noConversion"/>
  </si>
  <si>
    <t xml:space="preserve">     정상영업. 익일 납부 약속 (대표이사 부친. 실질키맨)</t>
    <phoneticPr fontId="2" type="noConversion"/>
  </si>
  <si>
    <t xml:space="preserve">   • 포엠 </t>
    <phoneticPr fontId="2" type="noConversion"/>
  </si>
  <si>
    <t xml:space="preserve">   - 최경일대표 : 익일 천만 카드결재 약속</t>
    <phoneticPr fontId="2" type="noConversion"/>
  </si>
  <si>
    <t xml:space="preserve">   - 지속적인 연체 가스발주통제 우려 표명</t>
    <phoneticPr fontId="2" type="noConversion"/>
  </si>
  <si>
    <t xml:space="preserve">   • 명성코리아테크 </t>
    <phoneticPr fontId="2" type="noConversion"/>
  </si>
  <si>
    <t xml:space="preserve">   - 이한영대표 : 윗선 가스발주통제 전달 . </t>
    <phoneticPr fontId="2" type="noConversion"/>
  </si>
  <si>
    <t xml:space="preserve">     21일 기한 연체금 전액 카드결재 약속</t>
    <phoneticPr fontId="2" type="noConversion"/>
  </si>
  <si>
    <t xml:space="preserve">   • 주관: 김명현이사 </t>
    <phoneticPr fontId="2" type="noConversion"/>
  </si>
  <si>
    <t xml:space="preserve"> ○ 주간 영업부 회의 </t>
    <phoneticPr fontId="2" type="noConversion"/>
  </si>
  <si>
    <t xml:space="preserve">   - 탄산 , 알곤 주력 직거래처 영업집중</t>
    <phoneticPr fontId="2" type="noConversion"/>
  </si>
  <si>
    <t xml:space="preserve">   - 선도산업 거래처 시장조사 병행 </t>
    <phoneticPr fontId="2" type="noConversion"/>
  </si>
  <si>
    <t xml:space="preserve">   - 개별 채권거래선 관리 포인트 공유</t>
    <phoneticPr fontId="2" type="noConversion"/>
  </si>
  <si>
    <t xml:space="preserve">   - SK하이닉스 공사 샾장 영업 </t>
    <phoneticPr fontId="2" type="noConversion"/>
  </si>
  <si>
    <t xml:space="preserve"> ○ 용인 시장조사 일정 및 영업지역 검색 영업구간 구분</t>
    <phoneticPr fontId="2" type="noConversion"/>
  </si>
  <si>
    <t xml:space="preserve">   - 김혁수과장 , 박준우대리</t>
    <phoneticPr fontId="2" type="noConversion"/>
  </si>
  <si>
    <t xml:space="preserve">제티아 </t>
    <phoneticPr fontId="2" type="noConversion"/>
  </si>
  <si>
    <t xml:space="preserve"> ○ 조관기 배관공사 건</t>
    <phoneticPr fontId="2" type="noConversion"/>
  </si>
  <si>
    <t xml:space="preserve">   • 우신공업 전영우대표 : 새로운 조관기 테스트 마무리 단계로. 빠른 </t>
    <phoneticPr fontId="2" type="noConversion"/>
  </si>
  <si>
    <t xml:space="preserve">     공사 독촉으로 익일 공무팀 고광석계장 동행 견적산출 , 공사일정 </t>
    <phoneticPr fontId="2" type="noConversion"/>
  </si>
  <si>
    <t xml:space="preserve">     등 마무리 하기로 함</t>
    <phoneticPr fontId="2" type="noConversion"/>
  </si>
  <si>
    <t xml:space="preserve">포엠 </t>
    <phoneticPr fontId="2" type="noConversion"/>
  </si>
  <si>
    <t xml:space="preserve"> ○ 채권관리 방문</t>
    <phoneticPr fontId="2" type="noConversion"/>
  </si>
  <si>
    <t xml:space="preserve">   • 최경일대표 : 7월까지 잔여 미수금 1.000만원 카드결재 완료</t>
    <phoneticPr fontId="2" type="noConversion"/>
  </si>
  <si>
    <t xml:space="preserve">경민산업 </t>
    <phoneticPr fontId="2" type="noConversion"/>
  </si>
  <si>
    <t xml:space="preserve"> ○ 1개월 연체관리 </t>
    <phoneticPr fontId="2" type="noConversion"/>
  </si>
  <si>
    <t xml:space="preserve">   • 부림가스 : 금주 완납 약속</t>
    <phoneticPr fontId="2" type="noConversion"/>
  </si>
  <si>
    <t xml:space="preserve">   • 재원인더스터리 : 15일 입금 약속</t>
    <phoneticPr fontId="2" type="noConversion"/>
  </si>
  <si>
    <t xml:space="preserve">   • 예성이엔지 : 20일 입금 약속</t>
    <phoneticPr fontId="2" type="noConversion"/>
  </si>
  <si>
    <t xml:space="preserve">   • 일영랩 : 경리부 통화 및 대표이사 문자발송.</t>
    <phoneticPr fontId="2" type="noConversion"/>
  </si>
  <si>
    <t xml:space="preserve"> ○ 소액연체 2개월 : 80만 정상입금 완료</t>
    <phoneticPr fontId="2" type="noConversion"/>
  </si>
  <si>
    <t xml:space="preserve"> ○ 조관기 추가 도입으로 인한 배관공사 견적 방문 (고광석계장 동행)</t>
    <phoneticPr fontId="2" type="noConversion"/>
  </si>
  <si>
    <t xml:space="preserve">    • 예가견적 : 30만원</t>
    <phoneticPr fontId="2" type="noConversion"/>
  </si>
  <si>
    <t xml:space="preserve">    • 당사 공무 고광서계장 납품지원으로 인한 공사 딜레이 요청</t>
    <phoneticPr fontId="2" type="noConversion"/>
  </si>
  <si>
    <t xml:space="preserve">    • 전영우대표 : 차주 금요일까지 공사 완료 협의</t>
    <phoneticPr fontId="2" type="noConversion"/>
  </si>
  <si>
    <t xml:space="preserve">    • 사용량 증가</t>
    <phoneticPr fontId="2" type="noConversion"/>
  </si>
  <si>
    <t xml:space="preserve">    - 현제 월 AR 사용량 60ea 에서 2배 증가할것으로 전망</t>
    <phoneticPr fontId="2" type="noConversion"/>
  </si>
  <si>
    <t>단일시스탬</t>
    <phoneticPr fontId="2" type="noConversion"/>
  </si>
  <si>
    <t xml:space="preserve"> ○ EO 혼합으로 납품거래 계약 . 저녁식사 대접</t>
    <phoneticPr fontId="2" type="noConversion"/>
  </si>
  <si>
    <t xml:space="preserve">      단일시스캠 음성지점 지점장 김우영이사 </t>
    <phoneticPr fontId="2" type="noConversion"/>
  </si>
  <si>
    <t xml:space="preserve">      단일시스캠 음성지점 생산팀장 이완수팀장 </t>
    <phoneticPr fontId="2" type="noConversion"/>
  </si>
  <si>
    <t xml:space="preserve">    • 참석자 :</t>
    <phoneticPr fontId="2" type="noConversion"/>
  </si>
  <si>
    <t xml:space="preserve">      단일시스캠 본사 이왕수부장</t>
    <phoneticPr fontId="2" type="noConversion"/>
  </si>
  <si>
    <t xml:space="preserve">    - 병당 10.000 타겟 협의 중</t>
    <phoneticPr fontId="2" type="noConversion"/>
  </si>
  <si>
    <t xml:space="preserve">    • 안정적인 EO가스 공급요청 및 납품단가 인하 요청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</si>
</sst>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바탕글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바탕체"/>
      <family val="1"/>
      <charset val="129"/>
    </font>
    <font>
      <u/>
      <sz val="11"/>
      <color theme="1"/>
      <name val="바탕글"/>
      <family val="1"/>
      <charset val="129"/>
    </font>
    <font>
      <u/>
      <sz val="36"/>
      <color theme="1"/>
      <name val="바탕체"/>
      <family val="1"/>
      <charset val="129"/>
    </font>
    <font>
      <sz val="12"/>
      <color theme="1"/>
      <name val="바탕체"/>
      <family val="1"/>
      <charset val="129"/>
    </font>
    <font>
      <sz val="14"/>
      <color theme="1"/>
      <name val="바탕체"/>
      <family val="1"/>
      <charset val="129"/>
    </font>
    <font>
      <sz val="12"/>
      <color theme="1"/>
      <name val="바탕글"/>
      <family val="1"/>
      <charset val="129"/>
    </font>
    <font>
      <sz val="14"/>
      <color theme="1"/>
      <name val="바탕글"/>
      <family val="1"/>
      <charset val="129"/>
    </font>
    <font>
      <sz val="13"/>
      <color theme="1"/>
      <name val="바탕체"/>
      <family val="1"/>
      <charset val="129"/>
    </font>
    <font>
      <sz val="13"/>
      <color theme="1"/>
      <name val="바탕글"/>
      <family val="1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3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0" fontId="6" fillId="2" borderId="7" xfId="0" applyNumberFormat="1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20" fontId="6" fillId="2" borderId="0" xfId="0" applyNumberFormat="1" applyFont="1" applyFill="1" applyAlignment="1">
      <alignment horizontal="left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8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31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20" fontId="7" fillId="2" borderId="14" xfId="0" applyNumberFormat="1" applyFont="1" applyFill="1" applyBorder="1" applyAlignment="1">
      <alignment horizontal="left" vertical="center"/>
    </xf>
    <xf numFmtId="20" fontId="7" fillId="2" borderId="15" xfId="0" applyNumberFormat="1" applyFont="1" applyFill="1" applyBorder="1" applyAlignment="1">
      <alignment horizontal="left" vertical="center"/>
    </xf>
    <xf numFmtId="20" fontId="7" fillId="2" borderId="16" xfId="0" applyNumberFormat="1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20" fontId="6" fillId="2" borderId="0" xfId="0" applyNumberFormat="1" applyFont="1" applyFill="1" applyAlignment="1">
      <alignment horizontal="left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20" fontId="7" fillId="2" borderId="17" xfId="0" applyNumberFormat="1" applyFont="1" applyFill="1" applyBorder="1" applyAlignment="1">
      <alignment horizontal="left" vertical="center"/>
    </xf>
    <xf numFmtId="20" fontId="7" fillId="2" borderId="0" xfId="0" applyNumberFormat="1" applyFont="1" applyFill="1" applyAlignment="1">
      <alignment horizontal="left" vertical="center"/>
    </xf>
    <xf numFmtId="20" fontId="7" fillId="2" borderId="18" xfId="0" applyNumberFormat="1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left" vertical="center"/>
    </xf>
    <xf numFmtId="0" fontId="7" fillId="2" borderId="29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237433</xdr:colOff>
      <xdr:row>46</xdr:row>
      <xdr:rowOff>169891</xdr:rowOff>
    </xdr:from>
    <xdr:to>
      <xdr:col>20</xdr:col>
      <xdr:colOff>293602</xdr:colOff>
      <xdr:row>49</xdr:row>
      <xdr:rowOff>81626</xdr:rowOff>
    </xdr:to>
    <xdr:pic>
      <xdr:nvPicPr>
        <xdr:cNvPr id="2" name="_x148637672" descr="xl/media/image1.jpeg">
          <a:extLst>
            <a:ext uri="{FF2B5EF4-FFF2-40B4-BE49-F238E27FC236}">
              <a16:creationId xmlns:a16="http://schemas.microsoft.com/office/drawing/2014/main" id="{FDCF2DEA-41E3-574C-9EA1-B802AA364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17833" y="12628591"/>
          <a:ext cx="4323369" cy="59753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237433</xdr:colOff>
      <xdr:row>46</xdr:row>
      <xdr:rowOff>169891</xdr:rowOff>
    </xdr:from>
    <xdr:to>
      <xdr:col>20</xdr:col>
      <xdr:colOff>293602</xdr:colOff>
      <xdr:row>49</xdr:row>
      <xdr:rowOff>81626</xdr:rowOff>
    </xdr:to>
    <xdr:pic>
      <xdr:nvPicPr>
        <xdr:cNvPr id="2" name="_x148637672" descr="xl/media/image1.jpeg">
          <a:extLst>
            <a:ext uri="{FF2B5EF4-FFF2-40B4-BE49-F238E27FC236}">
              <a16:creationId xmlns:a16="http://schemas.microsoft.com/office/drawing/2014/main" id="{E937D44A-47A8-2F46-9BAF-9DD620BA2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17833" y="12628591"/>
          <a:ext cx="4323369" cy="59753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237433</xdr:colOff>
      <xdr:row>46</xdr:row>
      <xdr:rowOff>169891</xdr:rowOff>
    </xdr:from>
    <xdr:to>
      <xdr:col>20</xdr:col>
      <xdr:colOff>293602</xdr:colOff>
      <xdr:row>49</xdr:row>
      <xdr:rowOff>81626</xdr:rowOff>
    </xdr:to>
    <xdr:pic>
      <xdr:nvPicPr>
        <xdr:cNvPr id="2" name="_x148637672" descr="xl/media/image1.jpeg">
          <a:extLst>
            <a:ext uri="{FF2B5EF4-FFF2-40B4-BE49-F238E27FC236}">
              <a16:creationId xmlns:a16="http://schemas.microsoft.com/office/drawing/2014/main" id="{883E8010-0903-FA4D-84B6-E8FED73C4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17833" y="12628591"/>
          <a:ext cx="4323369" cy="59753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237433</xdr:colOff>
      <xdr:row>46</xdr:row>
      <xdr:rowOff>169891</xdr:rowOff>
    </xdr:from>
    <xdr:to>
      <xdr:col>20</xdr:col>
      <xdr:colOff>293602</xdr:colOff>
      <xdr:row>49</xdr:row>
      <xdr:rowOff>81626</xdr:rowOff>
    </xdr:to>
    <xdr:pic>
      <xdr:nvPicPr>
        <xdr:cNvPr id="2" name="_x148637672" descr="xl/media/image1.jpeg">
          <a:extLst>
            <a:ext uri="{FF2B5EF4-FFF2-40B4-BE49-F238E27FC236}">
              <a16:creationId xmlns:a16="http://schemas.microsoft.com/office/drawing/2014/main" id="{B380ED25-4F46-4945-9206-3EAB3E166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17833" y="12628591"/>
          <a:ext cx="4323369" cy="59753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237433</xdr:colOff>
      <xdr:row>46</xdr:row>
      <xdr:rowOff>169891</xdr:rowOff>
    </xdr:from>
    <xdr:to>
      <xdr:col>20</xdr:col>
      <xdr:colOff>293602</xdr:colOff>
      <xdr:row>49</xdr:row>
      <xdr:rowOff>81626</xdr:rowOff>
    </xdr:to>
    <xdr:pic>
      <xdr:nvPicPr>
        <xdr:cNvPr id="2" name="_x148637672" descr="xl/media/image1.jpeg">
          <a:extLst>
            <a:ext uri="{FF2B5EF4-FFF2-40B4-BE49-F238E27FC236}">
              <a16:creationId xmlns:a16="http://schemas.microsoft.com/office/drawing/2014/main" id="{ABC79FF2-4377-064D-80EB-B1DB12F9A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17833" y="12628591"/>
          <a:ext cx="4323369" cy="59753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237433</xdr:colOff>
      <xdr:row>47</xdr:row>
      <xdr:rowOff>169891</xdr:rowOff>
    </xdr:from>
    <xdr:to>
      <xdr:col>20</xdr:col>
      <xdr:colOff>293602</xdr:colOff>
      <xdr:row>50</xdr:row>
      <xdr:rowOff>81626</xdr:rowOff>
    </xdr:to>
    <xdr:pic>
      <xdr:nvPicPr>
        <xdr:cNvPr id="2" name="_x148637672" descr="xl/media/image1.jpeg">
          <a:extLst>
            <a:ext uri="{FF2B5EF4-FFF2-40B4-BE49-F238E27FC236}">
              <a16:creationId xmlns:a16="http://schemas.microsoft.com/office/drawing/2014/main" id="{6F4CE289-724D-0F41-976E-1C4510EE1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17833" y="12628591"/>
          <a:ext cx="4323369" cy="5975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0E54-C20C-9D48-805A-0C8016FB9832}">
  <sheetPr>
    <tabColor theme="4"/>
  </sheetPr>
  <dimension ref="A1:AB47"/>
  <sheetViews>
    <sheetView topLeftCell="A13" zoomScaleNormal="100" workbookViewId="0">
      <selection activeCell="G18" sqref="G18:X18"/>
    </sheetView>
  </sheetViews>
  <sheetFormatPr defaultColWidth="3.7109375" defaultRowHeight="13.5" x14ac:dyDescent="0.25"/>
  <cols>
    <col min="1" max="1" width="3.7109375" style="1"/>
    <col min="2" max="2" width="76.99609375" style="1" customWidth="1"/>
    <col min="3" max="3" width="4.453125" style="1" customWidth="1"/>
    <col min="4" max="5" width="3.7109375" style="1" customWidth="1"/>
    <col min="6" max="6" width="6.8046875" style="1" customWidth="1"/>
    <col min="7" max="28" width="4.703125" style="1" customWidth="1"/>
    <col min="29" max="29" width="12.87109375" style="1" customWidth="1"/>
    <col min="30" max="30" width="3.7109375" style="1" customWidth="1"/>
    <col min="31" max="16384" width="3.7109375" style="1"/>
  </cols>
  <sheetData>
    <row r="1" spans="2:247" x14ac:dyDescent="0.25">
      <c r="D1" s="1" t="s">
        <v>0</v>
      </c>
      <c r="G1" s="2"/>
      <c r="W1" s="3"/>
    </row>
    <row r="2" spans="2:247" ht="17.25" customHeight="1" x14ac:dyDescent="0.25">
      <c r="E2" s="28" t="s">
        <v>1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T2" s="29" t="s">
        <v>2</v>
      </c>
      <c r="U2" s="23" t="s">
        <v>3</v>
      </c>
      <c r="V2" s="23"/>
      <c r="W2" s="23" t="s">
        <v>4</v>
      </c>
      <c r="X2" s="23"/>
      <c r="Y2" s="23" t="s">
        <v>5</v>
      </c>
      <c r="Z2" s="23"/>
      <c r="AA2" s="23" t="s">
        <v>6</v>
      </c>
      <c r="AB2" s="23"/>
    </row>
    <row r="3" spans="2:247" ht="17.100000000000001" customHeight="1" x14ac:dyDescent="0.25"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T3" s="30"/>
      <c r="U3" s="24"/>
      <c r="V3" s="25"/>
      <c r="W3" s="24"/>
      <c r="X3" s="25"/>
      <c r="Y3" s="24"/>
      <c r="Z3" s="25"/>
      <c r="AA3" s="24"/>
      <c r="AB3" s="25"/>
    </row>
    <row r="4" spans="2:247" ht="18" customHeight="1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T4" s="30"/>
      <c r="U4" s="26"/>
      <c r="V4" s="27"/>
      <c r="W4" s="26"/>
      <c r="X4" s="27"/>
      <c r="Y4" s="26"/>
      <c r="Z4" s="27"/>
      <c r="AA4" s="26"/>
      <c r="AB4" s="27"/>
      <c r="AL4" s="2"/>
    </row>
    <row r="5" spans="2:247" ht="15.75" customHeight="1" x14ac:dyDescent="0.25">
      <c r="C5" s="31" t="str">
        <f ca="1">TEXT(TODAY()-1, "yyyy-mm-dd (aaa)")</f>
        <v>2026-08-13 (목)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0"/>
      <c r="U5" s="26"/>
      <c r="V5" s="27"/>
      <c r="W5" s="26"/>
      <c r="X5" s="27"/>
      <c r="Y5" s="26"/>
      <c r="Z5" s="27"/>
      <c r="AA5" s="26"/>
      <c r="AB5" s="27"/>
      <c r="AS5" s="2"/>
    </row>
    <row r="6" spans="2:247" ht="6" customHeight="1" thickBot="1" x14ac:dyDescent="0.3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0"/>
      <c r="U6" s="26"/>
      <c r="V6" s="27"/>
      <c r="W6" s="26"/>
      <c r="X6" s="27"/>
      <c r="Y6" s="26"/>
      <c r="Z6" s="27"/>
      <c r="AA6" s="26"/>
      <c r="AB6" s="27"/>
      <c r="AS6" s="2"/>
    </row>
    <row r="7" spans="2:247" ht="26.1" customHeight="1" thickBot="1" x14ac:dyDescent="0.3">
      <c r="C7" s="34" t="s">
        <v>7</v>
      </c>
      <c r="D7" s="35"/>
      <c r="E7" s="35"/>
      <c r="F7" s="36"/>
      <c r="G7" s="37" t="s">
        <v>8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  <c r="Y7" s="40"/>
      <c r="Z7" s="35"/>
      <c r="AA7" s="35"/>
      <c r="AB7" s="36"/>
    </row>
    <row r="8" spans="2:247" ht="23.25" customHeight="1" x14ac:dyDescent="0.25">
      <c r="C8" s="41"/>
      <c r="D8" s="42"/>
      <c r="E8" s="42"/>
      <c r="F8" s="43"/>
      <c r="G8" s="44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6"/>
      <c r="Y8" s="47"/>
      <c r="Z8" s="48"/>
      <c r="AA8" s="48"/>
      <c r="AB8" s="49"/>
    </row>
    <row r="9" spans="2:247" ht="23.25" customHeight="1" x14ac:dyDescent="0.25">
      <c r="C9" s="51"/>
      <c r="D9" s="52"/>
      <c r="E9" s="52"/>
      <c r="F9" s="53"/>
      <c r="G9" s="54" t="s">
        <v>16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  <c r="Y9" s="51"/>
      <c r="Z9" s="52"/>
      <c r="AA9" s="52"/>
      <c r="AB9" s="53"/>
      <c r="AG9" s="2"/>
      <c r="AN9" s="2"/>
      <c r="DU9" s="2" t="s">
        <v>9</v>
      </c>
      <c r="IM9" s="2" t="s">
        <v>10</v>
      </c>
    </row>
    <row r="10" spans="2:247" ht="23.25" customHeight="1" x14ac:dyDescent="0.25">
      <c r="B10" s="9"/>
      <c r="C10" s="51"/>
      <c r="D10" s="52"/>
      <c r="E10" s="52"/>
      <c r="F10" s="53"/>
      <c r="G10" s="54" t="s">
        <v>0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6"/>
      <c r="Y10" s="6"/>
      <c r="Z10" s="7"/>
      <c r="AA10" s="7"/>
      <c r="AB10" s="8"/>
      <c r="AG10" s="2"/>
      <c r="AN10" s="2"/>
      <c r="DU10" s="2"/>
      <c r="IM10" s="2"/>
    </row>
    <row r="11" spans="2:247" ht="23.25" customHeight="1" x14ac:dyDescent="0.25">
      <c r="C11" s="51"/>
      <c r="D11" s="52"/>
      <c r="E11" s="52"/>
      <c r="F11" s="53"/>
      <c r="G11" s="54" t="s">
        <v>18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6"/>
      <c r="Z11" s="7"/>
      <c r="AA11" s="7"/>
      <c r="AB11" s="8"/>
      <c r="AL11" s="2"/>
      <c r="AN11" s="2"/>
      <c r="BE11" s="10"/>
    </row>
    <row r="12" spans="2:247" ht="23.25" customHeight="1" x14ac:dyDescent="0.25">
      <c r="C12" s="51"/>
      <c r="D12" s="52"/>
      <c r="E12" s="52"/>
      <c r="F12" s="53"/>
      <c r="G12" s="54" t="s">
        <v>17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  <c r="Y12" s="11"/>
      <c r="Z12" s="12"/>
      <c r="AA12" s="12"/>
      <c r="AB12" s="1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2:247" ht="23.25" customHeight="1" x14ac:dyDescent="0.25">
      <c r="C13" s="51"/>
      <c r="D13" s="52"/>
      <c r="E13" s="52"/>
      <c r="F13" s="53"/>
      <c r="G13" s="54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6"/>
      <c r="Y13" s="57"/>
      <c r="Z13" s="58"/>
      <c r="AA13" s="58"/>
      <c r="AB13" s="59"/>
      <c r="AF13" s="50" t="s">
        <v>11</v>
      </c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</row>
    <row r="14" spans="2:247" ht="23.25" customHeight="1" x14ac:dyDescent="0.25">
      <c r="C14" s="6"/>
      <c r="D14" s="7"/>
      <c r="E14" s="7"/>
      <c r="F14" s="8"/>
      <c r="G14" s="54" t="s">
        <v>19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6"/>
      <c r="Y14" s="11"/>
      <c r="Z14" s="12"/>
      <c r="AA14" s="12"/>
      <c r="AB14" s="13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2:247" ht="23.25" customHeight="1" x14ac:dyDescent="0.25">
      <c r="C15" s="51"/>
      <c r="D15" s="52"/>
      <c r="E15" s="52"/>
      <c r="F15" s="53"/>
      <c r="G15" s="54" t="s">
        <v>20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6"/>
      <c r="Y15" s="51"/>
      <c r="Z15" s="52"/>
      <c r="AA15" s="52"/>
      <c r="AB15" s="53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2:247" ht="23.25" customHeight="1" x14ac:dyDescent="0.25">
      <c r="C16" s="51"/>
      <c r="D16" s="52"/>
      <c r="E16" s="52"/>
      <c r="F16" s="53"/>
      <c r="G16" s="54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51"/>
      <c r="Z16" s="52"/>
      <c r="AA16" s="52"/>
      <c r="AB16" s="53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3:45" ht="23.25" customHeight="1" x14ac:dyDescent="0.25">
      <c r="C17" s="51"/>
      <c r="D17" s="52"/>
      <c r="E17" s="52"/>
      <c r="F17" s="53"/>
      <c r="G17" s="54" t="s">
        <v>21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6"/>
      <c r="Y17" s="6"/>
      <c r="Z17" s="7"/>
      <c r="AA17" s="7"/>
      <c r="AB17" s="8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3:45" ht="23.25" customHeight="1" x14ac:dyDescent="0.25">
      <c r="C18" s="51"/>
      <c r="D18" s="52"/>
      <c r="E18" s="52"/>
      <c r="F18" s="53"/>
      <c r="G18" s="54" t="s">
        <v>22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6"/>
      <c r="Y18" s="6"/>
      <c r="Z18" s="7"/>
      <c r="AA18" s="7"/>
      <c r="AB18" s="8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3:45" ht="23.25" customHeight="1" x14ac:dyDescent="0.25">
      <c r="C19" s="60"/>
      <c r="D19" s="61"/>
      <c r="E19" s="61"/>
      <c r="F19" s="62"/>
      <c r="G19" s="54" t="s">
        <v>23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6"/>
      <c r="Y19" s="6"/>
      <c r="Z19" s="7"/>
      <c r="AA19" s="7"/>
      <c r="AB19" s="8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3:45" ht="23.25" customHeight="1" x14ac:dyDescent="0.25">
      <c r="C20" s="51"/>
      <c r="D20" s="52"/>
      <c r="E20" s="52"/>
      <c r="F20" s="53"/>
      <c r="G20" s="54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6"/>
      <c r="Y20" s="51"/>
      <c r="Z20" s="52"/>
      <c r="AA20" s="52"/>
      <c r="AB20" s="53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3:45" ht="23.25" customHeight="1" x14ac:dyDescent="0.25">
      <c r="C21" s="51" t="s">
        <v>24</v>
      </c>
      <c r="D21" s="52"/>
      <c r="E21" s="52"/>
      <c r="F21" s="53"/>
      <c r="G21" s="54" t="s">
        <v>25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6"/>
      <c r="Y21" s="6"/>
      <c r="Z21" s="7"/>
      <c r="AA21" s="7"/>
      <c r="AB21" s="8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3:45" ht="23.25" customHeight="1" x14ac:dyDescent="0.25">
      <c r="C22" s="51"/>
      <c r="D22" s="52"/>
      <c r="E22" s="52"/>
      <c r="F22" s="53"/>
      <c r="G22" s="54" t="s">
        <v>26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6"/>
      <c r="Y22" s="6"/>
      <c r="Z22" s="7"/>
      <c r="AA22" s="7"/>
      <c r="AB22" s="8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3:45" ht="23.25" customHeight="1" x14ac:dyDescent="0.25">
      <c r="C23" s="51"/>
      <c r="D23" s="52"/>
      <c r="E23" s="52"/>
      <c r="F23" s="53"/>
      <c r="G23" s="54" t="s">
        <v>27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6"/>
      <c r="Y23" s="6"/>
      <c r="Z23" s="7"/>
      <c r="AA23" s="7"/>
      <c r="AB23" s="8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3:45" ht="23.25" customHeight="1" x14ac:dyDescent="0.25">
      <c r="C24" s="60"/>
      <c r="D24" s="61"/>
      <c r="E24" s="61"/>
      <c r="F24" s="62"/>
      <c r="G24" s="54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6"/>
      <c r="Y24" s="6"/>
      <c r="Z24" s="7"/>
      <c r="AA24" s="7"/>
      <c r="AB24" s="8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3:45" ht="23.25" customHeight="1" x14ac:dyDescent="0.25">
      <c r="C25" s="60"/>
      <c r="D25" s="61"/>
      <c r="E25" s="61"/>
      <c r="F25" s="62"/>
      <c r="G25" s="54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  <c r="Y25" s="51"/>
      <c r="Z25" s="52"/>
      <c r="AA25" s="52"/>
      <c r="AB25" s="53"/>
    </row>
    <row r="26" spans="3:45" ht="23.25" customHeight="1" x14ac:dyDescent="0.25">
      <c r="C26" s="51" t="s">
        <v>29</v>
      </c>
      <c r="D26" s="52"/>
      <c r="E26" s="52"/>
      <c r="F26" s="53"/>
      <c r="G26" s="54" t="s">
        <v>30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6"/>
      <c r="Y26" s="51"/>
      <c r="Z26" s="52"/>
      <c r="AA26" s="52"/>
      <c r="AB26" s="53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3:45" ht="23.25" customHeight="1" x14ac:dyDescent="0.25">
      <c r="C27" s="51"/>
      <c r="D27" s="52"/>
      <c r="E27" s="52"/>
      <c r="F27" s="53"/>
      <c r="G27" s="54" t="s">
        <v>31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6"/>
      <c r="Y27" s="51"/>
      <c r="Z27" s="52"/>
      <c r="AA27" s="52"/>
      <c r="AB27" s="53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 spans="3:45" ht="23.25" customHeight="1" x14ac:dyDescent="0.25">
      <c r="C28" s="51"/>
      <c r="D28" s="52"/>
      <c r="E28" s="52"/>
      <c r="F28" s="53"/>
      <c r="G28" s="54" t="s">
        <v>32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6"/>
      <c r="Y28" s="6"/>
      <c r="Z28" s="7"/>
      <c r="AA28" s="7"/>
      <c r="AB28" s="8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3:45" ht="23.25" customHeight="1" x14ac:dyDescent="0.25">
      <c r="C29" s="51"/>
      <c r="D29" s="52"/>
      <c r="E29" s="52"/>
      <c r="F29" s="53"/>
      <c r="G29" s="54" t="s">
        <v>33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6"/>
      <c r="Y29" s="6"/>
      <c r="Z29" s="7"/>
      <c r="AA29" s="7"/>
      <c r="AB29" s="8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3:45" ht="23.25" customHeight="1" x14ac:dyDescent="0.25">
      <c r="C30" s="60"/>
      <c r="D30" s="61"/>
      <c r="E30" s="61"/>
      <c r="F30" s="62"/>
      <c r="G30" s="54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6"/>
      <c r="Y30" s="6"/>
      <c r="Z30" s="7"/>
      <c r="AA30" s="7"/>
      <c r="AB30" s="8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3:45" ht="23.25" customHeight="1" x14ac:dyDescent="0.25">
      <c r="C31" s="51" t="s">
        <v>28</v>
      </c>
      <c r="D31" s="52"/>
      <c r="E31" s="52"/>
      <c r="F31" s="53"/>
      <c r="G31" s="54" t="s">
        <v>34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6"/>
      <c r="Y31" s="51"/>
      <c r="Z31" s="52"/>
      <c r="AA31" s="52"/>
      <c r="AB31" s="53"/>
    </row>
    <row r="32" spans="3:45" ht="23.25" customHeight="1" x14ac:dyDescent="0.25">
      <c r="C32" s="60"/>
      <c r="D32" s="61"/>
      <c r="E32" s="61"/>
      <c r="F32" s="62"/>
      <c r="G32" s="54" t="s">
        <v>35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6"/>
      <c r="Y32" s="11"/>
      <c r="Z32" s="12"/>
      <c r="AA32" s="12"/>
      <c r="AB32" s="13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 spans="3:45" ht="23.25" customHeight="1" x14ac:dyDescent="0.25">
      <c r="C33" s="60"/>
      <c r="D33" s="61"/>
      <c r="E33" s="61"/>
      <c r="F33" s="62"/>
      <c r="G33" s="54" t="s">
        <v>36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6"/>
      <c r="Y33" s="11"/>
      <c r="Z33" s="12"/>
      <c r="AA33" s="12"/>
      <c r="AB33" s="13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3:45" ht="23.25" customHeight="1" x14ac:dyDescent="0.25">
      <c r="C34" s="51"/>
      <c r="D34" s="52"/>
      <c r="E34" s="52"/>
      <c r="F34" s="53"/>
      <c r="G34" s="54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6"/>
      <c r="Y34" s="11"/>
      <c r="Z34" s="12"/>
      <c r="AA34" s="12"/>
      <c r="AB34" s="13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3:45" ht="23.25" customHeight="1" x14ac:dyDescent="0.25">
      <c r="C35" s="63"/>
      <c r="D35" s="64"/>
      <c r="E35" s="64"/>
      <c r="F35" s="65"/>
      <c r="G35" s="54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6"/>
      <c r="Y35" s="6"/>
      <c r="Z35" s="7"/>
      <c r="AA35" s="7"/>
      <c r="AB35" s="8"/>
      <c r="AD35" s="2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3:45" ht="23.25" customHeight="1" x14ac:dyDescent="0.25">
      <c r="C36" s="63"/>
      <c r="D36" s="64"/>
      <c r="E36" s="64"/>
      <c r="F36" s="65"/>
      <c r="G36" s="54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6"/>
      <c r="Y36" s="6"/>
      <c r="Z36" s="7"/>
      <c r="AA36" s="7"/>
      <c r="AB36" s="8"/>
      <c r="AD36" s="2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3:45" ht="23.25" customHeight="1" x14ac:dyDescent="0.25">
      <c r="C37" s="63"/>
      <c r="D37" s="64"/>
      <c r="E37" s="64"/>
      <c r="F37" s="65"/>
      <c r="G37" s="5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6"/>
      <c r="Y37" s="6"/>
      <c r="Z37" s="7"/>
      <c r="AA37" s="7"/>
      <c r="AB37" s="8"/>
      <c r="AD37" s="2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3:45" ht="23.25" customHeight="1" thickBot="1" x14ac:dyDescent="0.3">
      <c r="C38" s="78"/>
      <c r="D38" s="79"/>
      <c r="E38" s="79"/>
      <c r="F38" s="80"/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6"/>
      <c r="Y38" s="15"/>
      <c r="Z38" s="16"/>
      <c r="AA38" s="16"/>
      <c r="AB38" s="17"/>
      <c r="AD38" s="2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3:45" ht="20.100000000000001" customHeight="1" x14ac:dyDescent="0.25">
      <c r="C39" s="81" t="s">
        <v>12</v>
      </c>
      <c r="D39" s="84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6"/>
      <c r="AC39" s="1" t="s">
        <v>13</v>
      </c>
    </row>
    <row r="40" spans="3:45" ht="20.100000000000001" customHeight="1" x14ac:dyDescent="0.25">
      <c r="C40" s="82"/>
      <c r="D40" s="87" t="s">
        <v>37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9"/>
    </row>
    <row r="41" spans="3:45" ht="20.100000000000001" customHeight="1" x14ac:dyDescent="0.25">
      <c r="C41" s="82"/>
      <c r="D41" s="87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9"/>
    </row>
    <row r="42" spans="3:45" ht="20.100000000000001" customHeight="1" thickBot="1" x14ac:dyDescent="0.3">
      <c r="C42" s="83"/>
      <c r="D42" s="90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2"/>
    </row>
    <row r="43" spans="3:45" ht="18" customHeight="1" x14ac:dyDescent="0.25">
      <c r="C43" s="66" t="s">
        <v>14</v>
      </c>
      <c r="D43" s="69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1"/>
    </row>
    <row r="44" spans="3:45" ht="18" customHeight="1" x14ac:dyDescent="0.25">
      <c r="C44" s="67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0"/>
    </row>
    <row r="45" spans="3:45" ht="18" customHeight="1" x14ac:dyDescent="0.25">
      <c r="C45" s="67"/>
      <c r="D45" s="72" t="s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4"/>
    </row>
    <row r="46" spans="3:45" ht="18" customHeight="1" thickBot="1" x14ac:dyDescent="0.3">
      <c r="C46" s="68"/>
      <c r="D46" s="75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</row>
    <row r="47" spans="3:45" ht="14.25" x14ac:dyDescent="0.25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</sheetData>
  <mergeCells count="95">
    <mergeCell ref="AA2:AB2"/>
    <mergeCell ref="U3:V6"/>
    <mergeCell ref="W3:X6"/>
    <mergeCell ref="Y3:Z6"/>
    <mergeCell ref="AA3:AB6"/>
    <mergeCell ref="E2:Q4"/>
    <mergeCell ref="T2:T6"/>
    <mergeCell ref="U2:V2"/>
    <mergeCell ref="W2:X2"/>
    <mergeCell ref="Y2:Z2"/>
    <mergeCell ref="C5:S5"/>
    <mergeCell ref="C7:F7"/>
    <mergeCell ref="G7:X7"/>
    <mergeCell ref="Y7:AB7"/>
    <mergeCell ref="C8:F8"/>
    <mergeCell ref="G8:X8"/>
    <mergeCell ref="Y8:AB8"/>
    <mergeCell ref="C9:F9"/>
    <mergeCell ref="G9:X9"/>
    <mergeCell ref="Y9:AB9"/>
    <mergeCell ref="C10:F10"/>
    <mergeCell ref="G10:X10"/>
    <mergeCell ref="C11:F11"/>
    <mergeCell ref="G11:X11"/>
    <mergeCell ref="C12:F12"/>
    <mergeCell ref="G12:X12"/>
    <mergeCell ref="C13:F13"/>
    <mergeCell ref="G13:X13"/>
    <mergeCell ref="Y13:AB13"/>
    <mergeCell ref="G14:X14"/>
    <mergeCell ref="C15:F15"/>
    <mergeCell ref="G15:X15"/>
    <mergeCell ref="Y15:AB15"/>
    <mergeCell ref="C16:F16"/>
    <mergeCell ref="G16:X16"/>
    <mergeCell ref="Y16:AB16"/>
    <mergeCell ref="C17:F17"/>
    <mergeCell ref="G17:X17"/>
    <mergeCell ref="C18:F18"/>
    <mergeCell ref="G18:X18"/>
    <mergeCell ref="C19:F19"/>
    <mergeCell ref="G19:X19"/>
    <mergeCell ref="Y20:AB20"/>
    <mergeCell ref="C21:F21"/>
    <mergeCell ref="G21:X21"/>
    <mergeCell ref="C23:F23"/>
    <mergeCell ref="G23:X23"/>
    <mergeCell ref="C22:F22"/>
    <mergeCell ref="G22:X22"/>
    <mergeCell ref="C20:F20"/>
    <mergeCell ref="G20:X20"/>
    <mergeCell ref="C24:F24"/>
    <mergeCell ref="G24:X24"/>
    <mergeCell ref="C25:F25"/>
    <mergeCell ref="G25:X25"/>
    <mergeCell ref="Y25:AB25"/>
    <mergeCell ref="C26:F26"/>
    <mergeCell ref="G26:X26"/>
    <mergeCell ref="Y26:AB26"/>
    <mergeCell ref="C27:F27"/>
    <mergeCell ref="G27:X27"/>
    <mergeCell ref="Y27:AB27"/>
    <mergeCell ref="C35:F35"/>
    <mergeCell ref="G35:X35"/>
    <mergeCell ref="C36:F36"/>
    <mergeCell ref="G36:X36"/>
    <mergeCell ref="C28:F28"/>
    <mergeCell ref="G28:X28"/>
    <mergeCell ref="C29:F29"/>
    <mergeCell ref="G29:X29"/>
    <mergeCell ref="C30:F30"/>
    <mergeCell ref="G30:X30"/>
    <mergeCell ref="Y31:AB31"/>
    <mergeCell ref="C32:F32"/>
    <mergeCell ref="G32:X32"/>
    <mergeCell ref="C34:F34"/>
    <mergeCell ref="G34:X34"/>
    <mergeCell ref="C33:F33"/>
    <mergeCell ref="G33:X33"/>
    <mergeCell ref="C31:F31"/>
    <mergeCell ref="G31:X31"/>
    <mergeCell ref="C43:C46"/>
    <mergeCell ref="D43:AB43"/>
    <mergeCell ref="D45:AB45"/>
    <mergeCell ref="D46:AB46"/>
    <mergeCell ref="C37:F37"/>
    <mergeCell ref="G37:X37"/>
    <mergeCell ref="C38:F38"/>
    <mergeCell ref="G38:X38"/>
    <mergeCell ref="C39:C42"/>
    <mergeCell ref="D39:AB39"/>
    <mergeCell ref="D40:AB40"/>
    <mergeCell ref="D41:AB41"/>
    <mergeCell ref="D42:AB42"/>
  </mergeCells>
  <phoneticPr fontId="2" type="noConversion"/>
  <printOptions horizontalCentered="1" verticalCentered="1"/>
  <pageMargins left="0.51" right="0.51" top="0.55000000000000004" bottom="0.55000000000000004" header="0.31" footer="0.31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ACC0-8693-A94D-A8C3-7CE547D3AE8E}">
  <sheetPr>
    <tabColor theme="4"/>
  </sheetPr>
  <dimension ref="A1:AB47"/>
  <sheetViews>
    <sheetView zoomScaleNormal="100" workbookViewId="0">
      <selection activeCell="AB19" sqref="AB19"/>
    </sheetView>
  </sheetViews>
  <sheetFormatPr defaultColWidth="3.7109375" defaultRowHeight="13.5" x14ac:dyDescent="0.25"/>
  <cols>
    <col min="1" max="1" width="3.7109375" style="1"/>
    <col min="2" max="2" width="76.99609375" style="1" customWidth="1"/>
    <col min="3" max="3" width="4.453125" style="1" customWidth="1"/>
    <col min="4" max="5" width="3.7109375" style="1" customWidth="1"/>
    <col min="6" max="6" width="6.8046875" style="1" customWidth="1"/>
    <col min="7" max="28" width="4.703125" style="1" customWidth="1"/>
    <col min="29" max="29" width="12.87109375" style="1" customWidth="1"/>
    <col min="30" max="30" width="3.7109375" style="1" customWidth="1"/>
    <col min="31" max="16384" width="3.7109375" style="1"/>
  </cols>
  <sheetData>
    <row r="1" spans="2:247" x14ac:dyDescent="0.25">
      <c r="D1" s="1" t="s">
        <v>0</v>
      </c>
      <c r="G1" s="2"/>
      <c r="W1" s="3"/>
    </row>
    <row r="2" spans="2:247" ht="17.25" customHeight="1" x14ac:dyDescent="0.25">
      <c r="E2" s="28" t="s">
        <v>1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T2" s="29" t="s">
        <v>2</v>
      </c>
      <c r="U2" s="23" t="s">
        <v>3</v>
      </c>
      <c r="V2" s="23"/>
      <c r="W2" s="23" t="s">
        <v>4</v>
      </c>
      <c r="X2" s="23"/>
      <c r="Y2" s="23" t="s">
        <v>5</v>
      </c>
      <c r="Z2" s="23"/>
      <c r="AA2" s="23" t="s">
        <v>6</v>
      </c>
      <c r="AB2" s="23"/>
    </row>
    <row r="3" spans="2:247" ht="17.100000000000001" customHeight="1" x14ac:dyDescent="0.25"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T3" s="30"/>
      <c r="U3" s="24"/>
      <c r="V3" s="25"/>
      <c r="W3" s="24"/>
      <c r="X3" s="25"/>
      <c r="Y3" s="24"/>
      <c r="Z3" s="25"/>
      <c r="AA3" s="24"/>
      <c r="AB3" s="25"/>
    </row>
    <row r="4" spans="2:247" ht="18" customHeight="1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T4" s="30"/>
      <c r="U4" s="26"/>
      <c r="V4" s="27"/>
      <c r="W4" s="26"/>
      <c r="X4" s="27"/>
      <c r="Y4" s="26"/>
      <c r="Z4" s="27"/>
      <c r="AA4" s="26"/>
      <c r="AB4" s="27"/>
      <c r="AL4" s="2"/>
    </row>
    <row r="5" spans="2:247" ht="15.75" customHeight="1" x14ac:dyDescent="0.25">
      <c r="C5" s="31" t="str">
        <f ca="1">TEXT(TODAY()-1, "yyyy-mm-dd (aaa)")</f>
        <v>2026-08-13 (목)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0"/>
      <c r="U5" s="26"/>
      <c r="V5" s="27"/>
      <c r="W5" s="26"/>
      <c r="X5" s="27"/>
      <c r="Y5" s="26"/>
      <c r="Z5" s="27"/>
      <c r="AA5" s="26"/>
      <c r="AB5" s="27"/>
      <c r="AS5" s="2"/>
    </row>
    <row r="6" spans="2:247" ht="6" customHeight="1" thickBot="1" x14ac:dyDescent="0.3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0"/>
      <c r="U6" s="26"/>
      <c r="V6" s="27"/>
      <c r="W6" s="26"/>
      <c r="X6" s="27"/>
      <c r="Y6" s="26"/>
      <c r="Z6" s="27"/>
      <c r="AA6" s="26"/>
      <c r="AB6" s="27"/>
      <c r="AS6" s="2"/>
    </row>
    <row r="7" spans="2:247" ht="26.1" customHeight="1" thickBot="1" x14ac:dyDescent="0.3">
      <c r="C7" s="34" t="s">
        <v>7</v>
      </c>
      <c r="D7" s="35"/>
      <c r="E7" s="35"/>
      <c r="F7" s="36"/>
      <c r="G7" s="37" t="s">
        <v>8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  <c r="Y7" s="40"/>
      <c r="Z7" s="35"/>
      <c r="AA7" s="35"/>
      <c r="AB7" s="36"/>
    </row>
    <row r="8" spans="2:247" ht="23.25" customHeight="1" x14ac:dyDescent="0.25">
      <c r="C8" s="41"/>
      <c r="D8" s="42"/>
      <c r="E8" s="42"/>
      <c r="F8" s="43"/>
      <c r="G8" s="44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6"/>
      <c r="Y8" s="47"/>
      <c r="Z8" s="48"/>
      <c r="AA8" s="48"/>
      <c r="AB8" s="49"/>
    </row>
    <row r="9" spans="2:247" ht="23.25" customHeight="1" x14ac:dyDescent="0.25">
      <c r="C9" s="51" t="s">
        <v>29</v>
      </c>
      <c r="D9" s="52"/>
      <c r="E9" s="52"/>
      <c r="F9" s="53"/>
      <c r="G9" s="54" t="s">
        <v>39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  <c r="Y9" s="51"/>
      <c r="Z9" s="52"/>
      <c r="AA9" s="52"/>
      <c r="AB9" s="53"/>
      <c r="AG9" s="2"/>
      <c r="AN9" s="2"/>
      <c r="DU9" s="2" t="s">
        <v>9</v>
      </c>
      <c r="IM9" s="2" t="s">
        <v>10</v>
      </c>
    </row>
    <row r="10" spans="2:247" ht="23.25" customHeight="1" x14ac:dyDescent="0.25">
      <c r="B10" s="9"/>
      <c r="C10" s="51"/>
      <c r="D10" s="52"/>
      <c r="E10" s="52"/>
      <c r="F10" s="53"/>
      <c r="G10" s="54" t="s">
        <v>40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6"/>
      <c r="Y10" s="6"/>
      <c r="Z10" s="7"/>
      <c r="AA10" s="7"/>
      <c r="AB10" s="8"/>
      <c r="AG10" s="2"/>
      <c r="AN10" s="2"/>
      <c r="DU10" s="2"/>
      <c r="IM10" s="2"/>
    </row>
    <row r="11" spans="2:247" ht="23.25" customHeight="1" x14ac:dyDescent="0.25">
      <c r="C11" s="51"/>
      <c r="D11" s="52"/>
      <c r="E11" s="52"/>
      <c r="F11" s="53"/>
      <c r="G11" s="54" t="s">
        <v>41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6"/>
      <c r="Z11" s="7"/>
      <c r="AA11" s="7"/>
      <c r="AB11" s="8"/>
      <c r="AL11" s="2"/>
      <c r="AN11" s="2"/>
      <c r="BE11" s="10"/>
    </row>
    <row r="12" spans="2:247" ht="23.25" customHeight="1" x14ac:dyDescent="0.25">
      <c r="C12" s="51"/>
      <c r="D12" s="52"/>
      <c r="E12" s="52"/>
      <c r="F12" s="53"/>
      <c r="G12" s="54" t="s">
        <v>42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  <c r="Y12" s="11"/>
      <c r="Z12" s="12"/>
      <c r="AA12" s="12"/>
      <c r="AB12" s="1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2:247" ht="23.25" customHeight="1" x14ac:dyDescent="0.25">
      <c r="C13" s="51"/>
      <c r="D13" s="52"/>
      <c r="E13" s="52"/>
      <c r="F13" s="53"/>
      <c r="G13" s="54" t="s">
        <v>43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6"/>
      <c r="Y13" s="57"/>
      <c r="Z13" s="58"/>
      <c r="AA13" s="58"/>
      <c r="AB13" s="59"/>
      <c r="AF13" s="50" t="s">
        <v>11</v>
      </c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</row>
    <row r="14" spans="2:247" ht="23.25" customHeight="1" x14ac:dyDescent="0.25">
      <c r="C14" s="6"/>
      <c r="D14" s="7"/>
      <c r="E14" s="7"/>
      <c r="F14" s="8"/>
      <c r="G14" s="54" t="s">
        <v>44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6"/>
      <c r="Y14" s="11"/>
      <c r="Z14" s="12"/>
      <c r="AA14" s="12"/>
      <c r="AB14" s="13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2:247" ht="23.25" customHeight="1" x14ac:dyDescent="0.25">
      <c r="C15" s="51"/>
      <c r="D15" s="52"/>
      <c r="E15" s="52"/>
      <c r="F15" s="53"/>
      <c r="G15" s="54" t="s">
        <v>45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6"/>
      <c r="Y15" s="51"/>
      <c r="Z15" s="52"/>
      <c r="AA15" s="52"/>
      <c r="AB15" s="53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2:247" ht="23.25" customHeight="1" x14ac:dyDescent="0.25">
      <c r="C16" s="51"/>
      <c r="D16" s="52"/>
      <c r="E16" s="52"/>
      <c r="F16" s="53"/>
      <c r="G16" s="54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51"/>
      <c r="Z16" s="52"/>
      <c r="AA16" s="52"/>
      <c r="AB16" s="53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3:45" ht="23.25" customHeight="1" x14ac:dyDescent="0.25">
      <c r="C17" s="51"/>
      <c r="D17" s="52"/>
      <c r="E17" s="52"/>
      <c r="F17" s="53"/>
      <c r="G17" s="54" t="s">
        <v>46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6"/>
      <c r="Y17" s="6"/>
      <c r="Z17" s="7"/>
      <c r="AA17" s="7"/>
      <c r="AB17" s="8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3:45" ht="23.25" customHeight="1" x14ac:dyDescent="0.25">
      <c r="C18" s="51"/>
      <c r="D18" s="52"/>
      <c r="E18" s="52"/>
      <c r="F18" s="53"/>
      <c r="G18" s="54" t="s">
        <v>47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6"/>
      <c r="Y18" s="6"/>
      <c r="Z18" s="7"/>
      <c r="AA18" s="7"/>
      <c r="AB18" s="8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3:45" ht="23.25" customHeight="1" x14ac:dyDescent="0.25">
      <c r="C19" s="60"/>
      <c r="D19" s="61"/>
      <c r="E19" s="61"/>
      <c r="F19" s="62"/>
      <c r="G19" s="54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6"/>
      <c r="Y19" s="6"/>
      <c r="Z19" s="7"/>
      <c r="AA19" s="7"/>
      <c r="AB19" s="8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3:45" ht="23.25" customHeight="1" x14ac:dyDescent="0.25">
      <c r="C20" s="51"/>
      <c r="D20" s="52"/>
      <c r="E20" s="52"/>
      <c r="F20" s="53"/>
      <c r="G20" s="54" t="s">
        <v>48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6"/>
      <c r="Y20" s="51"/>
      <c r="Z20" s="52"/>
      <c r="AA20" s="52"/>
      <c r="AB20" s="53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3:45" ht="23.25" customHeight="1" x14ac:dyDescent="0.25">
      <c r="C21" s="51"/>
      <c r="D21" s="52"/>
      <c r="E21" s="52"/>
      <c r="F21" s="53"/>
      <c r="G21" s="54" t="s">
        <v>49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6"/>
      <c r="Y21" s="6"/>
      <c r="Z21" s="7"/>
      <c r="AA21" s="7"/>
      <c r="AB21" s="8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3:45" ht="23.25" customHeight="1" x14ac:dyDescent="0.25">
      <c r="C22" s="51"/>
      <c r="D22" s="52"/>
      <c r="E22" s="52"/>
      <c r="F22" s="53"/>
      <c r="G22" s="54" t="s">
        <v>50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6"/>
      <c r="Y22" s="6"/>
      <c r="Z22" s="7"/>
      <c r="AA22" s="7"/>
      <c r="AB22" s="8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3:45" ht="23.25" customHeight="1" x14ac:dyDescent="0.25">
      <c r="C23" s="51"/>
      <c r="D23" s="52"/>
      <c r="E23" s="52"/>
      <c r="F23" s="53"/>
      <c r="G23" s="54" t="s">
        <v>51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6"/>
      <c r="Y23" s="6"/>
      <c r="Z23" s="7"/>
      <c r="AA23" s="7"/>
      <c r="AB23" s="8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3:45" ht="23.25" customHeight="1" x14ac:dyDescent="0.25">
      <c r="C24" s="60"/>
      <c r="D24" s="61"/>
      <c r="E24" s="61"/>
      <c r="F24" s="62"/>
      <c r="G24" s="54" t="s">
        <v>38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6"/>
      <c r="Y24" s="6"/>
      <c r="Z24" s="7"/>
      <c r="AA24" s="7"/>
      <c r="AB24" s="8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3:45" ht="23.25" customHeight="1" x14ac:dyDescent="0.25">
      <c r="C25" s="60"/>
      <c r="D25" s="61"/>
      <c r="E25" s="61"/>
      <c r="F25" s="62"/>
      <c r="G25" s="54" t="s">
        <v>52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  <c r="Y25" s="51"/>
      <c r="Z25" s="52"/>
      <c r="AA25" s="52"/>
      <c r="AB25" s="53"/>
    </row>
    <row r="26" spans="3:45" ht="23.25" customHeight="1" x14ac:dyDescent="0.25">
      <c r="C26" s="51"/>
      <c r="D26" s="52"/>
      <c r="E26" s="52"/>
      <c r="F26" s="53"/>
      <c r="G26" s="54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6"/>
      <c r="Y26" s="51"/>
      <c r="Z26" s="52"/>
      <c r="AA26" s="52"/>
      <c r="AB26" s="53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3:45" ht="23.25" customHeight="1" x14ac:dyDescent="0.25">
      <c r="C27" s="51"/>
      <c r="D27" s="52"/>
      <c r="E27" s="52"/>
      <c r="F27" s="53"/>
      <c r="G27" s="54" t="s">
        <v>53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6"/>
      <c r="Y27" s="51"/>
      <c r="Z27" s="52"/>
      <c r="AA27" s="52"/>
      <c r="AB27" s="53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 spans="3:45" ht="23.25" customHeight="1" x14ac:dyDescent="0.25">
      <c r="C28" s="51"/>
      <c r="D28" s="52"/>
      <c r="E28" s="52"/>
      <c r="F28" s="53"/>
      <c r="G28" s="54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6"/>
      <c r="Y28" s="6"/>
      <c r="Z28" s="7"/>
      <c r="AA28" s="7"/>
      <c r="AB28" s="8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3:45" ht="23.25" customHeight="1" x14ac:dyDescent="0.25">
      <c r="C29" s="51"/>
      <c r="D29" s="52"/>
      <c r="E29" s="52"/>
      <c r="F29" s="53"/>
      <c r="G29" s="54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6"/>
      <c r="Y29" s="6"/>
      <c r="Z29" s="7"/>
      <c r="AA29" s="7"/>
      <c r="AB29" s="8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3:45" ht="23.25" customHeight="1" x14ac:dyDescent="0.25">
      <c r="C30" s="60"/>
      <c r="D30" s="61"/>
      <c r="E30" s="61"/>
      <c r="F30" s="62"/>
      <c r="G30" s="54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6"/>
      <c r="Y30" s="6"/>
      <c r="Z30" s="7"/>
      <c r="AA30" s="7"/>
      <c r="AB30" s="8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3:45" ht="23.25" customHeight="1" x14ac:dyDescent="0.25">
      <c r="C31" s="51"/>
      <c r="D31" s="52"/>
      <c r="E31" s="52"/>
      <c r="F31" s="53"/>
      <c r="G31" s="54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6"/>
      <c r="Y31" s="51"/>
      <c r="Z31" s="52"/>
      <c r="AA31" s="52"/>
      <c r="AB31" s="53"/>
    </row>
    <row r="32" spans="3:45" ht="23.25" customHeight="1" x14ac:dyDescent="0.25">
      <c r="C32" s="60"/>
      <c r="D32" s="61"/>
      <c r="E32" s="61"/>
      <c r="F32" s="62"/>
      <c r="G32" s="54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6"/>
      <c r="Y32" s="11"/>
      <c r="Z32" s="12"/>
      <c r="AA32" s="12"/>
      <c r="AB32" s="13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 spans="3:45" ht="23.25" customHeight="1" x14ac:dyDescent="0.25">
      <c r="C33" s="60"/>
      <c r="D33" s="61"/>
      <c r="E33" s="61"/>
      <c r="F33" s="62"/>
      <c r="G33" s="54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6"/>
      <c r="Y33" s="11"/>
      <c r="Z33" s="12"/>
      <c r="AA33" s="12"/>
      <c r="AB33" s="13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3:45" ht="23.25" customHeight="1" x14ac:dyDescent="0.25">
      <c r="C34" s="51"/>
      <c r="D34" s="52"/>
      <c r="E34" s="52"/>
      <c r="F34" s="53"/>
      <c r="G34" s="54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6"/>
      <c r="Y34" s="11"/>
      <c r="Z34" s="12"/>
      <c r="AA34" s="12"/>
      <c r="AB34" s="13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3:45" ht="23.25" customHeight="1" x14ac:dyDescent="0.25">
      <c r="C35" s="63"/>
      <c r="D35" s="64"/>
      <c r="E35" s="64"/>
      <c r="F35" s="65"/>
      <c r="G35" s="54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6"/>
      <c r="Y35" s="6"/>
      <c r="Z35" s="7"/>
      <c r="AA35" s="7"/>
      <c r="AB35" s="8"/>
      <c r="AD35" s="2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3:45" ht="23.25" customHeight="1" x14ac:dyDescent="0.25">
      <c r="C36" s="63"/>
      <c r="D36" s="64"/>
      <c r="E36" s="64"/>
      <c r="F36" s="65"/>
      <c r="G36" s="54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6"/>
      <c r="Y36" s="6"/>
      <c r="Z36" s="7"/>
      <c r="AA36" s="7"/>
      <c r="AB36" s="8"/>
      <c r="AD36" s="2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3:45" ht="23.25" customHeight="1" x14ac:dyDescent="0.25">
      <c r="C37" s="63"/>
      <c r="D37" s="64"/>
      <c r="E37" s="64"/>
      <c r="F37" s="65"/>
      <c r="G37" s="5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6"/>
      <c r="Y37" s="6"/>
      <c r="Z37" s="7"/>
      <c r="AA37" s="7"/>
      <c r="AB37" s="8"/>
      <c r="AD37" s="2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3:45" ht="23.25" customHeight="1" thickBot="1" x14ac:dyDescent="0.3">
      <c r="C38" s="78"/>
      <c r="D38" s="79"/>
      <c r="E38" s="79"/>
      <c r="F38" s="80"/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6"/>
      <c r="Y38" s="15"/>
      <c r="Z38" s="16"/>
      <c r="AA38" s="16"/>
      <c r="AB38" s="17"/>
      <c r="AD38" s="2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3:45" ht="20.100000000000001" customHeight="1" x14ac:dyDescent="0.25">
      <c r="C39" s="81" t="s">
        <v>12</v>
      </c>
      <c r="D39" s="84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6"/>
      <c r="AC39" s="1" t="s">
        <v>13</v>
      </c>
    </row>
    <row r="40" spans="3:45" ht="20.100000000000001" customHeight="1" x14ac:dyDescent="0.25">
      <c r="C40" s="82"/>
      <c r="D40" s="87" t="s">
        <v>54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9"/>
    </row>
    <row r="41" spans="3:45" ht="20.100000000000001" customHeight="1" x14ac:dyDescent="0.25">
      <c r="C41" s="82"/>
      <c r="D41" s="87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9"/>
    </row>
    <row r="42" spans="3:45" ht="20.100000000000001" customHeight="1" thickBot="1" x14ac:dyDescent="0.3">
      <c r="C42" s="83"/>
      <c r="D42" s="90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2"/>
    </row>
    <row r="43" spans="3:45" ht="18" customHeight="1" x14ac:dyDescent="0.25">
      <c r="C43" s="66" t="s">
        <v>14</v>
      </c>
      <c r="D43" s="69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1"/>
    </row>
    <row r="44" spans="3:45" ht="18" customHeight="1" x14ac:dyDescent="0.25">
      <c r="C44" s="67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0"/>
    </row>
    <row r="45" spans="3:45" ht="18" customHeight="1" x14ac:dyDescent="0.25">
      <c r="C45" s="67"/>
      <c r="D45" s="72" t="s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4"/>
    </row>
    <row r="46" spans="3:45" ht="18" customHeight="1" thickBot="1" x14ac:dyDescent="0.3">
      <c r="C46" s="68"/>
      <c r="D46" s="75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</row>
    <row r="47" spans="3:45" ht="14.25" x14ac:dyDescent="0.25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</sheetData>
  <mergeCells count="95">
    <mergeCell ref="AA2:AB2"/>
    <mergeCell ref="U3:V6"/>
    <mergeCell ref="W3:X6"/>
    <mergeCell ref="Y3:Z6"/>
    <mergeCell ref="AA3:AB6"/>
    <mergeCell ref="E2:Q4"/>
    <mergeCell ref="T2:T6"/>
    <mergeCell ref="U2:V2"/>
    <mergeCell ref="W2:X2"/>
    <mergeCell ref="Y2:Z2"/>
    <mergeCell ref="C5:S5"/>
    <mergeCell ref="C7:F7"/>
    <mergeCell ref="G7:X7"/>
    <mergeCell ref="Y7:AB7"/>
    <mergeCell ref="C8:F8"/>
    <mergeCell ref="G8:X8"/>
    <mergeCell ref="Y8:AB8"/>
    <mergeCell ref="C9:F9"/>
    <mergeCell ref="G9:X9"/>
    <mergeCell ref="Y9:AB9"/>
    <mergeCell ref="C10:F10"/>
    <mergeCell ref="G10:X10"/>
    <mergeCell ref="C11:F11"/>
    <mergeCell ref="G11:X11"/>
    <mergeCell ref="C12:F12"/>
    <mergeCell ref="G12:X12"/>
    <mergeCell ref="C13:F13"/>
    <mergeCell ref="G13:X13"/>
    <mergeCell ref="Y13:AB13"/>
    <mergeCell ref="G14:X14"/>
    <mergeCell ref="C15:F15"/>
    <mergeCell ref="G15:X15"/>
    <mergeCell ref="Y15:AB15"/>
    <mergeCell ref="C16:F16"/>
    <mergeCell ref="G16:X16"/>
    <mergeCell ref="Y16:AB16"/>
    <mergeCell ref="C17:F17"/>
    <mergeCell ref="G17:X17"/>
    <mergeCell ref="C18:F18"/>
    <mergeCell ref="G18:X18"/>
    <mergeCell ref="C19:F19"/>
    <mergeCell ref="G19:X19"/>
    <mergeCell ref="Y20:AB20"/>
    <mergeCell ref="C21:F21"/>
    <mergeCell ref="G21:X21"/>
    <mergeCell ref="C23:F23"/>
    <mergeCell ref="G23:X23"/>
    <mergeCell ref="C22:F22"/>
    <mergeCell ref="G22:X22"/>
    <mergeCell ref="C20:F20"/>
    <mergeCell ref="G20:X20"/>
    <mergeCell ref="C24:F24"/>
    <mergeCell ref="G24:X24"/>
    <mergeCell ref="C25:F25"/>
    <mergeCell ref="G25:X25"/>
    <mergeCell ref="Y25:AB25"/>
    <mergeCell ref="C26:F26"/>
    <mergeCell ref="G26:X26"/>
    <mergeCell ref="Y26:AB26"/>
    <mergeCell ref="C27:F27"/>
    <mergeCell ref="G27:X27"/>
    <mergeCell ref="Y27:AB27"/>
    <mergeCell ref="C35:F35"/>
    <mergeCell ref="G35:X35"/>
    <mergeCell ref="C36:F36"/>
    <mergeCell ref="G36:X36"/>
    <mergeCell ref="C28:F28"/>
    <mergeCell ref="G28:X28"/>
    <mergeCell ref="C29:F29"/>
    <mergeCell ref="G29:X29"/>
    <mergeCell ref="C30:F30"/>
    <mergeCell ref="G30:X30"/>
    <mergeCell ref="Y31:AB31"/>
    <mergeCell ref="C32:F32"/>
    <mergeCell ref="G32:X32"/>
    <mergeCell ref="C34:F34"/>
    <mergeCell ref="G34:X34"/>
    <mergeCell ref="C33:F33"/>
    <mergeCell ref="G33:X33"/>
    <mergeCell ref="C31:F31"/>
    <mergeCell ref="G31:X31"/>
    <mergeCell ref="C43:C46"/>
    <mergeCell ref="D43:AB43"/>
    <mergeCell ref="D45:AB45"/>
    <mergeCell ref="D46:AB46"/>
    <mergeCell ref="C37:F37"/>
    <mergeCell ref="G37:X37"/>
    <mergeCell ref="C38:F38"/>
    <mergeCell ref="G38:X38"/>
    <mergeCell ref="C39:C42"/>
    <mergeCell ref="D39:AB39"/>
    <mergeCell ref="D40:AB40"/>
    <mergeCell ref="D41:AB41"/>
    <mergeCell ref="D42:AB42"/>
  </mergeCells>
  <phoneticPr fontId="2" type="noConversion"/>
  <printOptions horizontalCentered="1" verticalCentered="1"/>
  <pageMargins left="0.51" right="0.51" top="0.55000000000000004" bottom="0.55000000000000004" header="0.31" footer="0.31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1109-0049-E14E-8893-8DFFE7445CE2}">
  <sheetPr>
    <tabColor theme="4"/>
  </sheetPr>
  <dimension ref="A1:AB47"/>
  <sheetViews>
    <sheetView zoomScaleNormal="100" workbookViewId="0">
      <selection activeCell="C22" sqref="C22:F22"/>
    </sheetView>
  </sheetViews>
  <sheetFormatPr defaultColWidth="3.7109375" defaultRowHeight="13.5" x14ac:dyDescent="0.25"/>
  <cols>
    <col min="1" max="1" width="3.7109375" style="1"/>
    <col min="2" max="2" width="76.99609375" style="1" customWidth="1"/>
    <col min="3" max="3" width="4.453125" style="1" customWidth="1"/>
    <col min="4" max="5" width="3.7109375" style="1" customWidth="1"/>
    <col min="6" max="6" width="6.8046875" style="1" customWidth="1"/>
    <col min="7" max="28" width="4.703125" style="1" customWidth="1"/>
    <col min="29" max="29" width="12.87109375" style="1" customWidth="1"/>
    <col min="30" max="30" width="3.7109375" style="1" customWidth="1"/>
    <col min="31" max="16384" width="3.7109375" style="1"/>
  </cols>
  <sheetData>
    <row r="1" spans="2:247" x14ac:dyDescent="0.25">
      <c r="D1" s="1" t="s">
        <v>0</v>
      </c>
      <c r="G1" s="2"/>
      <c r="W1" s="3"/>
    </row>
    <row r="2" spans="2:247" ht="17.25" customHeight="1" x14ac:dyDescent="0.25">
      <c r="E2" s="28" t="s">
        <v>1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T2" s="29" t="s">
        <v>2</v>
      </c>
      <c r="U2" s="23" t="s">
        <v>3</v>
      </c>
      <c r="V2" s="23"/>
      <c r="W2" s="23" t="s">
        <v>4</v>
      </c>
      <c r="X2" s="23"/>
      <c r="Y2" s="23" t="s">
        <v>5</v>
      </c>
      <c r="Z2" s="23"/>
      <c r="AA2" s="23" t="s">
        <v>6</v>
      </c>
      <c r="AB2" s="23"/>
    </row>
    <row r="3" spans="2:247" ht="17.100000000000001" customHeight="1" x14ac:dyDescent="0.25"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T3" s="30"/>
      <c r="U3" s="24"/>
      <c r="V3" s="25"/>
      <c r="W3" s="24"/>
      <c r="X3" s="25"/>
      <c r="Y3" s="24"/>
      <c r="Z3" s="25"/>
      <c r="AA3" s="24"/>
      <c r="AB3" s="25"/>
    </row>
    <row r="4" spans="2:247" ht="18" customHeight="1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T4" s="30"/>
      <c r="U4" s="26"/>
      <c r="V4" s="27"/>
      <c r="W4" s="26"/>
      <c r="X4" s="27"/>
      <c r="Y4" s="26"/>
      <c r="Z4" s="27"/>
      <c r="AA4" s="26"/>
      <c r="AB4" s="27"/>
      <c r="AL4" s="2"/>
    </row>
    <row r="5" spans="2:247" ht="15.75" customHeight="1" x14ac:dyDescent="0.25">
      <c r="C5" s="31" t="str">
        <f ca="1">TEXT(TODAY()-1, "yyyy-mm-dd (aaa)")</f>
        <v>2026-08-13 (목)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0"/>
      <c r="U5" s="26"/>
      <c r="V5" s="27"/>
      <c r="W5" s="26"/>
      <c r="X5" s="27"/>
      <c r="Y5" s="26"/>
      <c r="Z5" s="27"/>
      <c r="AA5" s="26"/>
      <c r="AB5" s="27"/>
      <c r="AS5" s="2"/>
    </row>
    <row r="6" spans="2:247" ht="6" customHeight="1" thickBot="1" x14ac:dyDescent="0.3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0"/>
      <c r="U6" s="26"/>
      <c r="V6" s="27"/>
      <c r="W6" s="26"/>
      <c r="X6" s="27"/>
      <c r="Y6" s="26"/>
      <c r="Z6" s="27"/>
      <c r="AA6" s="26"/>
      <c r="AB6" s="27"/>
      <c r="AS6" s="2"/>
    </row>
    <row r="7" spans="2:247" ht="26.1" customHeight="1" thickBot="1" x14ac:dyDescent="0.3">
      <c r="C7" s="34" t="s">
        <v>7</v>
      </c>
      <c r="D7" s="35"/>
      <c r="E7" s="35"/>
      <c r="F7" s="36"/>
      <c r="G7" s="37" t="s">
        <v>8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  <c r="Y7" s="40"/>
      <c r="Z7" s="35"/>
      <c r="AA7" s="35"/>
      <c r="AB7" s="36"/>
    </row>
    <row r="8" spans="2:247" ht="23.25" customHeight="1" x14ac:dyDescent="0.25">
      <c r="C8" s="41"/>
      <c r="D8" s="42"/>
      <c r="E8" s="42"/>
      <c r="F8" s="43"/>
      <c r="G8" s="44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6"/>
      <c r="Y8" s="47"/>
      <c r="Z8" s="48"/>
      <c r="AA8" s="48"/>
      <c r="AB8" s="49"/>
    </row>
    <row r="9" spans="2:247" ht="23.25" customHeight="1" x14ac:dyDescent="0.25">
      <c r="C9" s="51"/>
      <c r="D9" s="52"/>
      <c r="E9" s="52"/>
      <c r="F9" s="53"/>
      <c r="G9" s="54" t="s">
        <v>55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  <c r="Y9" s="51"/>
      <c r="Z9" s="52"/>
      <c r="AA9" s="52"/>
      <c r="AB9" s="53"/>
      <c r="AG9" s="2"/>
      <c r="AN9" s="2"/>
      <c r="DU9" s="2" t="s">
        <v>9</v>
      </c>
      <c r="IM9" s="2" t="s">
        <v>10</v>
      </c>
    </row>
    <row r="10" spans="2:247" ht="23.25" customHeight="1" x14ac:dyDescent="0.25">
      <c r="B10" s="9"/>
      <c r="C10" s="51"/>
      <c r="D10" s="52"/>
      <c r="E10" s="52"/>
      <c r="F10" s="53"/>
      <c r="G10" s="54" t="s">
        <v>56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6"/>
      <c r="Y10" s="6"/>
      <c r="Z10" s="7"/>
      <c r="AA10" s="7"/>
      <c r="AB10" s="8"/>
      <c r="AG10" s="2"/>
      <c r="AN10" s="2"/>
      <c r="DU10" s="2"/>
      <c r="IM10" s="2"/>
    </row>
    <row r="11" spans="2:247" ht="23.25" customHeight="1" x14ac:dyDescent="0.25">
      <c r="C11" s="51"/>
      <c r="D11" s="52"/>
      <c r="E11" s="52"/>
      <c r="F11" s="53"/>
      <c r="G11" s="54" t="s">
        <v>57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6"/>
      <c r="Z11" s="7"/>
      <c r="AA11" s="7"/>
      <c r="AB11" s="8"/>
      <c r="AL11" s="2"/>
      <c r="AN11" s="2"/>
      <c r="BE11" s="10"/>
    </row>
    <row r="12" spans="2:247" ht="23.25" customHeight="1" x14ac:dyDescent="0.25">
      <c r="C12" s="51"/>
      <c r="D12" s="52"/>
      <c r="E12" s="52"/>
      <c r="F12" s="53"/>
      <c r="G12" s="54" t="s">
        <v>59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  <c r="Y12" s="11"/>
      <c r="Z12" s="12"/>
      <c r="AA12" s="12"/>
      <c r="AB12" s="1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2:247" ht="23.25" customHeight="1" x14ac:dyDescent="0.25">
      <c r="C13" s="51"/>
      <c r="D13" s="52"/>
      <c r="E13" s="52"/>
      <c r="F13" s="53"/>
      <c r="G13" s="54" t="s">
        <v>58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6"/>
      <c r="Y13" s="57"/>
      <c r="Z13" s="58"/>
      <c r="AA13" s="58"/>
      <c r="AB13" s="59"/>
      <c r="AF13" s="50" t="s">
        <v>11</v>
      </c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</row>
    <row r="14" spans="2:247" ht="23.25" customHeight="1" x14ac:dyDescent="0.25">
      <c r="C14" s="6"/>
      <c r="D14" s="7"/>
      <c r="E14" s="7"/>
      <c r="F14" s="8"/>
      <c r="G14" s="54" t="s">
        <v>60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6"/>
      <c r="Y14" s="11"/>
      <c r="Z14" s="12"/>
      <c r="AA14" s="12"/>
      <c r="AB14" s="13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2:247" ht="23.25" customHeight="1" x14ac:dyDescent="0.25">
      <c r="C15" s="51"/>
      <c r="D15" s="52"/>
      <c r="E15" s="52"/>
      <c r="F15" s="53"/>
      <c r="G15" s="54" t="s">
        <v>61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6"/>
      <c r="Y15" s="51"/>
      <c r="Z15" s="52"/>
      <c r="AA15" s="52"/>
      <c r="AB15" s="53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2:247" ht="23.25" customHeight="1" x14ac:dyDescent="0.25">
      <c r="C16" s="51"/>
      <c r="D16" s="52"/>
      <c r="E16" s="52"/>
      <c r="F16" s="53"/>
      <c r="G16" s="54" t="s">
        <v>62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51"/>
      <c r="Z16" s="52"/>
      <c r="AA16" s="52"/>
      <c r="AB16" s="53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3:45" ht="23.25" customHeight="1" x14ac:dyDescent="0.25">
      <c r="C17" s="51"/>
      <c r="D17" s="52"/>
      <c r="E17" s="52"/>
      <c r="F17" s="53"/>
      <c r="G17" s="54" t="s">
        <v>63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6"/>
      <c r="Y17" s="6"/>
      <c r="Z17" s="7"/>
      <c r="AA17" s="7"/>
      <c r="AB17" s="8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3:45" ht="23.25" customHeight="1" x14ac:dyDescent="0.25">
      <c r="C18" s="51"/>
      <c r="D18" s="52"/>
      <c r="E18" s="52"/>
      <c r="F18" s="53"/>
      <c r="G18" s="54" t="s">
        <v>64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6"/>
      <c r="Y18" s="6"/>
      <c r="Z18" s="7"/>
      <c r="AA18" s="7"/>
      <c r="AB18" s="8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3:45" ht="23.25" customHeight="1" x14ac:dyDescent="0.25">
      <c r="C19" s="60"/>
      <c r="D19" s="61"/>
      <c r="E19" s="61"/>
      <c r="F19" s="62"/>
      <c r="G19" s="54" t="s">
        <v>65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6"/>
      <c r="Y19" s="6"/>
      <c r="Z19" s="7"/>
      <c r="AA19" s="7"/>
      <c r="AB19" s="8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3:45" ht="23.25" customHeight="1" x14ac:dyDescent="0.25">
      <c r="C20" s="51"/>
      <c r="D20" s="52"/>
      <c r="E20" s="52"/>
      <c r="F20" s="53"/>
      <c r="G20" s="54" t="s">
        <v>66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6"/>
      <c r="Y20" s="51"/>
      <c r="Z20" s="52"/>
      <c r="AA20" s="52"/>
      <c r="AB20" s="53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3:45" ht="23.25" customHeight="1" x14ac:dyDescent="0.25">
      <c r="C21" s="51"/>
      <c r="D21" s="52"/>
      <c r="E21" s="52"/>
      <c r="F21" s="53"/>
      <c r="G21" s="54" t="s">
        <v>68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6"/>
      <c r="Y21" s="6"/>
      <c r="Z21" s="7"/>
      <c r="AA21" s="7"/>
      <c r="AB21" s="8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3:45" ht="23.25" customHeight="1" x14ac:dyDescent="0.25">
      <c r="C22" s="51"/>
      <c r="D22" s="52"/>
      <c r="E22" s="52"/>
      <c r="F22" s="53"/>
      <c r="G22" s="54" t="s">
        <v>67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6"/>
      <c r="Y22" s="6"/>
      <c r="Z22" s="7"/>
      <c r="AA22" s="7"/>
      <c r="AB22" s="8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3:45" ht="23.25" customHeight="1" x14ac:dyDescent="0.25">
      <c r="C23" s="51"/>
      <c r="D23" s="52"/>
      <c r="E23" s="52"/>
      <c r="F23" s="53"/>
      <c r="G23" s="54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6"/>
      <c r="Y23" s="6"/>
      <c r="Z23" s="7"/>
      <c r="AA23" s="7"/>
      <c r="AB23" s="8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3:45" ht="23.25" customHeight="1" x14ac:dyDescent="0.25">
      <c r="C24" s="60"/>
      <c r="D24" s="61"/>
      <c r="E24" s="61"/>
      <c r="F24" s="62"/>
      <c r="G24" s="54" t="s">
        <v>69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6"/>
      <c r="Y24" s="6"/>
      <c r="Z24" s="7"/>
      <c r="AA24" s="7"/>
      <c r="AB24" s="8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3:45" ht="23.25" customHeight="1" x14ac:dyDescent="0.25">
      <c r="C25" s="60"/>
      <c r="D25" s="61"/>
      <c r="E25" s="61"/>
      <c r="F25" s="62"/>
      <c r="G25" s="54" t="s">
        <v>70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  <c r="Y25" s="51"/>
      <c r="Z25" s="52"/>
      <c r="AA25" s="52"/>
      <c r="AB25" s="53"/>
    </row>
    <row r="26" spans="3:45" ht="23.25" customHeight="1" x14ac:dyDescent="0.25">
      <c r="C26" s="51"/>
      <c r="D26" s="52"/>
      <c r="E26" s="52"/>
      <c r="F26" s="53"/>
      <c r="G26" s="54" t="s">
        <v>71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6"/>
      <c r="Y26" s="51"/>
      <c r="Z26" s="52"/>
      <c r="AA26" s="52"/>
      <c r="AB26" s="53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3:45" ht="23.25" customHeight="1" x14ac:dyDescent="0.25">
      <c r="C27" s="51"/>
      <c r="D27" s="52"/>
      <c r="E27" s="52"/>
      <c r="F27" s="53"/>
      <c r="G27" s="54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6"/>
      <c r="Y27" s="51"/>
      <c r="Z27" s="52"/>
      <c r="AA27" s="52"/>
      <c r="AB27" s="53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 spans="3:45" ht="23.25" customHeight="1" x14ac:dyDescent="0.25">
      <c r="C28" s="51"/>
      <c r="D28" s="52"/>
      <c r="E28" s="52"/>
      <c r="F28" s="53"/>
      <c r="G28" s="54" t="s">
        <v>72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6"/>
      <c r="Y28" s="6"/>
      <c r="Z28" s="7"/>
      <c r="AA28" s="7"/>
      <c r="AB28" s="8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3:45" ht="23.25" customHeight="1" x14ac:dyDescent="0.25">
      <c r="C29" s="51"/>
      <c r="D29" s="52"/>
      <c r="E29" s="52"/>
      <c r="F29" s="53"/>
      <c r="G29" s="54" t="s">
        <v>73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6"/>
      <c r="Y29" s="6"/>
      <c r="Z29" s="7"/>
      <c r="AA29" s="7"/>
      <c r="AB29" s="8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3:45" ht="23.25" customHeight="1" x14ac:dyDescent="0.25">
      <c r="C30" s="60"/>
      <c r="D30" s="61"/>
      <c r="E30" s="61"/>
      <c r="F30" s="62"/>
      <c r="G30" s="54" t="s">
        <v>74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6"/>
      <c r="Y30" s="6"/>
      <c r="Z30" s="7"/>
      <c r="AA30" s="7"/>
      <c r="AB30" s="8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3:45" ht="23.25" customHeight="1" x14ac:dyDescent="0.25">
      <c r="C31" s="51"/>
      <c r="D31" s="52"/>
      <c r="E31" s="52"/>
      <c r="F31" s="53"/>
      <c r="G31" s="54" t="s">
        <v>75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6"/>
      <c r="Y31" s="51"/>
      <c r="Z31" s="52"/>
      <c r="AA31" s="52"/>
      <c r="AB31" s="53"/>
    </row>
    <row r="32" spans="3:45" ht="23.25" customHeight="1" x14ac:dyDescent="0.25">
      <c r="C32" s="60"/>
      <c r="D32" s="61"/>
      <c r="E32" s="61"/>
      <c r="F32" s="62"/>
      <c r="G32" s="54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6"/>
      <c r="Y32" s="11"/>
      <c r="Z32" s="12"/>
      <c r="AA32" s="12"/>
      <c r="AB32" s="13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 spans="3:45" ht="23.25" customHeight="1" x14ac:dyDescent="0.25">
      <c r="C33" s="60"/>
      <c r="D33" s="61"/>
      <c r="E33" s="61"/>
      <c r="F33" s="62"/>
      <c r="G33" s="93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5"/>
      <c r="Y33" s="11"/>
      <c r="Z33" s="12"/>
      <c r="AA33" s="12"/>
      <c r="AB33" s="13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3:45" ht="23.25" customHeight="1" x14ac:dyDescent="0.25">
      <c r="C34" s="51"/>
      <c r="D34" s="52"/>
      <c r="E34" s="52"/>
      <c r="F34" s="53"/>
      <c r="G34" s="54" t="s">
        <v>76</v>
      </c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6"/>
      <c r="Y34" s="11"/>
      <c r="Z34" s="12"/>
      <c r="AA34" s="12"/>
      <c r="AB34" s="13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3:45" ht="23.25" customHeight="1" x14ac:dyDescent="0.25">
      <c r="C35" s="63"/>
      <c r="D35" s="64"/>
      <c r="E35" s="64"/>
      <c r="F35" s="65"/>
      <c r="G35" s="54" t="s">
        <v>77</v>
      </c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6"/>
      <c r="Y35" s="6"/>
      <c r="Z35" s="7"/>
      <c r="AA35" s="7"/>
      <c r="AB35" s="8"/>
      <c r="AD35" s="2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3:45" ht="23.25" customHeight="1" x14ac:dyDescent="0.25">
      <c r="C36" s="63"/>
      <c r="D36" s="64"/>
      <c r="E36" s="64"/>
      <c r="F36" s="65"/>
      <c r="G36" s="54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6"/>
      <c r="Y36" s="6"/>
      <c r="Z36" s="7"/>
      <c r="AA36" s="7"/>
      <c r="AB36" s="8"/>
      <c r="AD36" s="2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3:45" ht="23.25" customHeight="1" x14ac:dyDescent="0.25">
      <c r="C37" s="63"/>
      <c r="D37" s="64"/>
      <c r="E37" s="64"/>
      <c r="F37" s="65"/>
      <c r="G37" s="5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6"/>
      <c r="Y37" s="6"/>
      <c r="Z37" s="7"/>
      <c r="AA37" s="7"/>
      <c r="AB37" s="8"/>
      <c r="AD37" s="2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3:45" ht="23.25" customHeight="1" thickBot="1" x14ac:dyDescent="0.3">
      <c r="C38" s="78"/>
      <c r="D38" s="79"/>
      <c r="E38" s="79"/>
      <c r="F38" s="80"/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6"/>
      <c r="Y38" s="15"/>
      <c r="Z38" s="16"/>
      <c r="AA38" s="16"/>
      <c r="AB38" s="17"/>
      <c r="AD38" s="2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3:45" ht="20.100000000000001" customHeight="1" x14ac:dyDescent="0.25">
      <c r="C39" s="81" t="s">
        <v>12</v>
      </c>
      <c r="D39" s="84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6"/>
      <c r="AC39" s="1" t="s">
        <v>13</v>
      </c>
    </row>
    <row r="40" spans="3:45" ht="20.100000000000001" customHeight="1" x14ac:dyDescent="0.25">
      <c r="C40" s="82"/>
      <c r="D40" s="87" t="s">
        <v>78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9"/>
    </row>
    <row r="41" spans="3:45" ht="20.100000000000001" customHeight="1" x14ac:dyDescent="0.25">
      <c r="C41" s="82"/>
      <c r="D41" s="87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9"/>
    </row>
    <row r="42" spans="3:45" ht="20.100000000000001" customHeight="1" thickBot="1" x14ac:dyDescent="0.3">
      <c r="C42" s="83"/>
      <c r="D42" s="90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2"/>
    </row>
    <row r="43" spans="3:45" ht="18" customHeight="1" x14ac:dyDescent="0.25">
      <c r="C43" s="66" t="s">
        <v>14</v>
      </c>
      <c r="D43" s="69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1"/>
    </row>
    <row r="44" spans="3:45" ht="18" customHeight="1" x14ac:dyDescent="0.25">
      <c r="C44" s="67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0"/>
    </row>
    <row r="45" spans="3:45" ht="18" customHeight="1" x14ac:dyDescent="0.25">
      <c r="C45" s="67"/>
      <c r="D45" s="72" t="s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4"/>
    </row>
    <row r="46" spans="3:45" ht="18" customHeight="1" thickBot="1" x14ac:dyDescent="0.3">
      <c r="C46" s="68"/>
      <c r="D46" s="75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</row>
    <row r="47" spans="3:45" ht="14.25" x14ac:dyDescent="0.25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</sheetData>
  <mergeCells count="95">
    <mergeCell ref="AA2:AB2"/>
    <mergeCell ref="U3:V6"/>
    <mergeCell ref="W3:X6"/>
    <mergeCell ref="Y3:Z6"/>
    <mergeCell ref="AA3:AB6"/>
    <mergeCell ref="E2:Q4"/>
    <mergeCell ref="T2:T6"/>
    <mergeCell ref="U2:V2"/>
    <mergeCell ref="W2:X2"/>
    <mergeCell ref="Y2:Z2"/>
    <mergeCell ref="C5:S5"/>
    <mergeCell ref="C7:F7"/>
    <mergeCell ref="G7:X7"/>
    <mergeCell ref="Y7:AB7"/>
    <mergeCell ref="C8:F8"/>
    <mergeCell ref="G8:X8"/>
    <mergeCell ref="Y8:AB8"/>
    <mergeCell ref="C9:F9"/>
    <mergeCell ref="G9:X9"/>
    <mergeCell ref="Y9:AB9"/>
    <mergeCell ref="C10:F10"/>
    <mergeCell ref="G10:X10"/>
    <mergeCell ref="C11:F11"/>
    <mergeCell ref="G11:X11"/>
    <mergeCell ref="C12:F12"/>
    <mergeCell ref="G12:X12"/>
    <mergeCell ref="C13:F13"/>
    <mergeCell ref="G13:X13"/>
    <mergeCell ref="Y13:AB13"/>
    <mergeCell ref="G14:X14"/>
    <mergeCell ref="C15:F15"/>
    <mergeCell ref="G15:X15"/>
    <mergeCell ref="Y15:AB15"/>
    <mergeCell ref="C16:F16"/>
    <mergeCell ref="G16:X16"/>
    <mergeCell ref="Y16:AB16"/>
    <mergeCell ref="C17:F17"/>
    <mergeCell ref="G17:X17"/>
    <mergeCell ref="C18:F18"/>
    <mergeCell ref="G18:X18"/>
    <mergeCell ref="C19:F19"/>
    <mergeCell ref="G19:X19"/>
    <mergeCell ref="Y20:AB20"/>
    <mergeCell ref="C21:F21"/>
    <mergeCell ref="G21:X21"/>
    <mergeCell ref="C23:F23"/>
    <mergeCell ref="G23:X23"/>
    <mergeCell ref="C22:F22"/>
    <mergeCell ref="G22:X22"/>
    <mergeCell ref="C20:F20"/>
    <mergeCell ref="G20:X20"/>
    <mergeCell ref="C24:F24"/>
    <mergeCell ref="G24:X24"/>
    <mergeCell ref="C25:F25"/>
    <mergeCell ref="Y25:AB25"/>
    <mergeCell ref="C26:F26"/>
    <mergeCell ref="Y26:AB26"/>
    <mergeCell ref="G25:X25"/>
    <mergeCell ref="C27:F27"/>
    <mergeCell ref="G27:X27"/>
    <mergeCell ref="Y27:AB27"/>
    <mergeCell ref="G26:X26"/>
    <mergeCell ref="C28:F28"/>
    <mergeCell ref="G28:X28"/>
    <mergeCell ref="C29:F29"/>
    <mergeCell ref="G29:X29"/>
    <mergeCell ref="C30:F30"/>
    <mergeCell ref="G30:X30"/>
    <mergeCell ref="C31:F31"/>
    <mergeCell ref="G31:X31"/>
    <mergeCell ref="D42:AB42"/>
    <mergeCell ref="Y31:AB31"/>
    <mergeCell ref="C32:F32"/>
    <mergeCell ref="C33:F33"/>
    <mergeCell ref="G32:X32"/>
    <mergeCell ref="G34:X34"/>
    <mergeCell ref="G33:X33"/>
    <mergeCell ref="C34:F34"/>
    <mergeCell ref="C35:F35"/>
    <mergeCell ref="G35:X35"/>
    <mergeCell ref="C36:F36"/>
    <mergeCell ref="G36:X36"/>
    <mergeCell ref="C43:C46"/>
    <mergeCell ref="D43:AB43"/>
    <mergeCell ref="D45:AB45"/>
    <mergeCell ref="D46:AB46"/>
    <mergeCell ref="C37:F37"/>
    <mergeCell ref="G37:X37"/>
    <mergeCell ref="C38:F38"/>
    <mergeCell ref="G38:X38"/>
    <mergeCell ref="C39:C42"/>
    <mergeCell ref="D39:AB39"/>
    <mergeCell ref="D40:AB40"/>
    <mergeCell ref="D41:AB41"/>
  </mergeCells>
  <phoneticPr fontId="2" type="noConversion"/>
  <printOptions horizontalCentered="1" verticalCentered="1"/>
  <pageMargins left="0.51" right="0.51" top="0.55000000000000004" bottom="0.55000000000000004" header="0.31" footer="0.31"/>
  <pageSetup paperSize="9"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0B74-4AA8-5B4F-8656-893539B0B01A}">
  <sheetPr>
    <tabColor theme="4"/>
  </sheetPr>
  <dimension ref="A1:AB47"/>
  <sheetViews>
    <sheetView zoomScaleNormal="100" workbookViewId="0">
      <selection activeCell="B33" sqref="B33"/>
    </sheetView>
  </sheetViews>
  <sheetFormatPr defaultColWidth="3.7109375" defaultRowHeight="13.5" x14ac:dyDescent="0.25"/>
  <cols>
    <col min="1" max="1" width="3.7109375" style="1"/>
    <col min="2" max="2" width="76.99609375" style="1" customWidth="1"/>
    <col min="3" max="3" width="4.453125" style="1" customWidth="1"/>
    <col min="4" max="5" width="3.7109375" style="1" customWidth="1"/>
    <col min="6" max="6" width="6.8046875" style="1" customWidth="1"/>
    <col min="7" max="28" width="4.703125" style="1" customWidth="1"/>
    <col min="29" max="29" width="12.87109375" style="1" customWidth="1"/>
    <col min="30" max="30" width="3.7109375" style="1" customWidth="1"/>
    <col min="31" max="16384" width="3.7109375" style="1"/>
  </cols>
  <sheetData>
    <row r="1" spans="2:247" x14ac:dyDescent="0.25">
      <c r="D1" s="1" t="s">
        <v>0</v>
      </c>
      <c r="G1" s="2"/>
      <c r="W1" s="3"/>
    </row>
    <row r="2" spans="2:247" ht="17.25" customHeight="1" x14ac:dyDescent="0.25">
      <c r="E2" s="28" t="s">
        <v>1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T2" s="29" t="s">
        <v>2</v>
      </c>
      <c r="U2" s="23" t="s">
        <v>3</v>
      </c>
      <c r="V2" s="23"/>
      <c r="W2" s="23" t="s">
        <v>4</v>
      </c>
      <c r="X2" s="23"/>
      <c r="Y2" s="23" t="s">
        <v>5</v>
      </c>
      <c r="Z2" s="23"/>
      <c r="AA2" s="23" t="s">
        <v>6</v>
      </c>
      <c r="AB2" s="23"/>
    </row>
    <row r="3" spans="2:247" ht="17.100000000000001" customHeight="1" x14ac:dyDescent="0.25"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T3" s="30"/>
      <c r="U3" s="24"/>
      <c r="V3" s="25"/>
      <c r="W3" s="24"/>
      <c r="X3" s="25"/>
      <c r="Y3" s="24"/>
      <c r="Z3" s="25"/>
      <c r="AA3" s="24"/>
      <c r="AB3" s="25"/>
    </row>
    <row r="4" spans="2:247" ht="18" customHeight="1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T4" s="30"/>
      <c r="U4" s="26"/>
      <c r="V4" s="27"/>
      <c r="W4" s="26"/>
      <c r="X4" s="27"/>
      <c r="Y4" s="26"/>
      <c r="Z4" s="27"/>
      <c r="AA4" s="26"/>
      <c r="AB4" s="27"/>
      <c r="AL4" s="2"/>
    </row>
    <row r="5" spans="2:247" ht="15.75" customHeight="1" x14ac:dyDescent="0.25">
      <c r="C5" s="31" t="str">
        <f ca="1">TEXT(TODAY()-3, "yyyy-mm-dd (aaa)")</f>
        <v>2026-08-11 (화)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0"/>
      <c r="U5" s="26"/>
      <c r="V5" s="27"/>
      <c r="W5" s="26"/>
      <c r="X5" s="27"/>
      <c r="Y5" s="26"/>
      <c r="Z5" s="27"/>
      <c r="AA5" s="26"/>
      <c r="AB5" s="27"/>
      <c r="AS5" s="2"/>
    </row>
    <row r="6" spans="2:247" ht="6" customHeight="1" thickBot="1" x14ac:dyDescent="0.3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0"/>
      <c r="U6" s="26"/>
      <c r="V6" s="27"/>
      <c r="W6" s="26"/>
      <c r="X6" s="27"/>
      <c r="Y6" s="26"/>
      <c r="Z6" s="27"/>
      <c r="AA6" s="26"/>
      <c r="AB6" s="27"/>
      <c r="AS6" s="2"/>
    </row>
    <row r="7" spans="2:247" ht="26.1" customHeight="1" thickBot="1" x14ac:dyDescent="0.3">
      <c r="C7" s="34" t="s">
        <v>7</v>
      </c>
      <c r="D7" s="35"/>
      <c r="E7" s="35"/>
      <c r="F7" s="36"/>
      <c r="G7" s="37" t="s">
        <v>8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  <c r="Y7" s="40"/>
      <c r="Z7" s="35"/>
      <c r="AA7" s="35"/>
      <c r="AB7" s="36"/>
    </row>
    <row r="8" spans="2:247" ht="23.25" customHeight="1" x14ac:dyDescent="0.25">
      <c r="C8" s="41"/>
      <c r="D8" s="42"/>
      <c r="E8" s="42"/>
      <c r="F8" s="43"/>
      <c r="G8" s="44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6"/>
      <c r="Y8" s="47"/>
      <c r="Z8" s="48"/>
      <c r="AA8" s="48"/>
      <c r="AB8" s="49"/>
    </row>
    <row r="9" spans="2:247" ht="23.25" customHeight="1" x14ac:dyDescent="0.25">
      <c r="C9" s="51" t="s">
        <v>79</v>
      </c>
      <c r="D9" s="52"/>
      <c r="E9" s="52"/>
      <c r="F9" s="53"/>
      <c r="G9" s="54" t="s">
        <v>80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  <c r="Y9" s="51"/>
      <c r="Z9" s="52"/>
      <c r="AA9" s="52"/>
      <c r="AB9" s="53"/>
      <c r="AG9" s="2"/>
      <c r="AN9" s="2"/>
      <c r="DU9" s="2" t="s">
        <v>9</v>
      </c>
      <c r="IM9" s="2" t="s">
        <v>10</v>
      </c>
    </row>
    <row r="10" spans="2:247" ht="23.25" customHeight="1" x14ac:dyDescent="0.25">
      <c r="B10" s="9"/>
      <c r="C10" s="51"/>
      <c r="D10" s="52"/>
      <c r="E10" s="52"/>
      <c r="F10" s="53"/>
      <c r="G10" s="54" t="s">
        <v>81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6"/>
      <c r="Y10" s="6"/>
      <c r="Z10" s="7"/>
      <c r="AA10" s="7"/>
      <c r="AB10" s="8"/>
      <c r="AG10" s="2"/>
      <c r="AN10" s="2"/>
      <c r="DU10" s="2"/>
      <c r="IM10" s="2"/>
    </row>
    <row r="11" spans="2:247" ht="23.25" customHeight="1" x14ac:dyDescent="0.25">
      <c r="C11" s="51"/>
      <c r="D11" s="52"/>
      <c r="E11" s="52"/>
      <c r="F11" s="53"/>
      <c r="G11" s="54" t="s">
        <v>82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6"/>
      <c r="Z11" s="7"/>
      <c r="AA11" s="7"/>
      <c r="AB11" s="8"/>
      <c r="AL11" s="2"/>
      <c r="AN11" s="2"/>
      <c r="BE11" s="10"/>
    </row>
    <row r="12" spans="2:247" ht="23.25" customHeight="1" x14ac:dyDescent="0.25">
      <c r="C12" s="51"/>
      <c r="D12" s="52"/>
      <c r="E12" s="52"/>
      <c r="F12" s="53"/>
      <c r="G12" s="54" t="s">
        <v>83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  <c r="Y12" s="11"/>
      <c r="Z12" s="12"/>
      <c r="AA12" s="12"/>
      <c r="AB12" s="1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2:247" ht="23.25" customHeight="1" x14ac:dyDescent="0.25">
      <c r="C13" s="51"/>
      <c r="D13" s="52"/>
      <c r="E13" s="52"/>
      <c r="F13" s="53"/>
      <c r="G13" s="54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6"/>
      <c r="Y13" s="57"/>
      <c r="Z13" s="58"/>
      <c r="AA13" s="58"/>
      <c r="AB13" s="59"/>
      <c r="AF13" s="50" t="s">
        <v>11</v>
      </c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</row>
    <row r="14" spans="2:247" ht="23.25" customHeight="1" x14ac:dyDescent="0.25">
      <c r="C14" s="6"/>
      <c r="D14" s="7"/>
      <c r="E14" s="7"/>
      <c r="F14" s="8"/>
      <c r="G14" s="54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6"/>
      <c r="Y14" s="11"/>
      <c r="Z14" s="12"/>
      <c r="AA14" s="12"/>
      <c r="AB14" s="13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2:247" ht="23.25" customHeight="1" x14ac:dyDescent="0.25">
      <c r="C15" s="51" t="s">
        <v>84</v>
      </c>
      <c r="D15" s="52"/>
      <c r="E15" s="52"/>
      <c r="F15" s="53"/>
      <c r="G15" s="54" t="s">
        <v>85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6"/>
      <c r="Y15" s="51"/>
      <c r="Z15" s="52"/>
      <c r="AA15" s="52"/>
      <c r="AB15" s="53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2:247" ht="23.25" customHeight="1" x14ac:dyDescent="0.25">
      <c r="C16" s="51"/>
      <c r="D16" s="52"/>
      <c r="E16" s="52"/>
      <c r="F16" s="53"/>
      <c r="G16" s="54" t="s">
        <v>86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51"/>
      <c r="Z16" s="52"/>
      <c r="AA16" s="52"/>
      <c r="AB16" s="53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3:45" ht="23.25" customHeight="1" x14ac:dyDescent="0.25">
      <c r="C17" s="51"/>
      <c r="D17" s="52"/>
      <c r="E17" s="52"/>
      <c r="F17" s="53"/>
      <c r="G17" s="54" t="s">
        <v>87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6"/>
      <c r="Y17" s="6"/>
      <c r="Z17" s="7"/>
      <c r="AA17" s="7"/>
      <c r="AB17" s="8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3:45" ht="23.25" customHeight="1" x14ac:dyDescent="0.25">
      <c r="C18" s="51"/>
      <c r="D18" s="52"/>
      <c r="E18" s="52"/>
      <c r="F18" s="53"/>
      <c r="G18" s="54" t="s">
        <v>88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6"/>
      <c r="Y18" s="6"/>
      <c r="Z18" s="7"/>
      <c r="AA18" s="7"/>
      <c r="AB18" s="8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3:45" ht="23.25" customHeight="1" x14ac:dyDescent="0.25">
      <c r="C19" s="60"/>
      <c r="D19" s="61"/>
      <c r="E19" s="61"/>
      <c r="F19" s="62"/>
      <c r="G19" s="54" t="s">
        <v>89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6"/>
      <c r="Y19" s="6"/>
      <c r="Z19" s="7"/>
      <c r="AA19" s="7"/>
      <c r="AB19" s="8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3:45" ht="23.25" customHeight="1" x14ac:dyDescent="0.25">
      <c r="C20" s="51"/>
      <c r="D20" s="52"/>
      <c r="E20" s="52"/>
      <c r="F20" s="53"/>
      <c r="G20" s="54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6"/>
      <c r="Y20" s="51"/>
      <c r="Z20" s="52"/>
      <c r="AA20" s="52"/>
      <c r="AB20" s="53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3:45" ht="23.25" customHeight="1" x14ac:dyDescent="0.25">
      <c r="C21" s="51"/>
      <c r="D21" s="52"/>
      <c r="E21" s="52"/>
      <c r="F21" s="53"/>
      <c r="G21" s="54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6"/>
      <c r="Y21" s="6"/>
      <c r="Z21" s="7"/>
      <c r="AA21" s="7"/>
      <c r="AB21" s="8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3:45" ht="23.25" customHeight="1" x14ac:dyDescent="0.25">
      <c r="C22" s="51" t="s">
        <v>29</v>
      </c>
      <c r="D22" s="52"/>
      <c r="E22" s="52"/>
      <c r="F22" s="53"/>
      <c r="G22" s="54" t="s">
        <v>90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6"/>
      <c r="Y22" s="6"/>
      <c r="Z22" s="7"/>
      <c r="AA22" s="7"/>
      <c r="AB22" s="8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3:45" ht="23.25" customHeight="1" x14ac:dyDescent="0.25">
      <c r="C23" s="51"/>
      <c r="D23" s="52"/>
      <c r="E23" s="52"/>
      <c r="F23" s="53"/>
      <c r="G23" s="54" t="s">
        <v>91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6"/>
      <c r="Y23" s="6"/>
      <c r="Z23" s="7"/>
      <c r="AA23" s="7"/>
      <c r="AB23" s="8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3:45" ht="23.25" customHeight="1" x14ac:dyDescent="0.25">
      <c r="C24" s="60"/>
      <c r="D24" s="61"/>
      <c r="E24" s="61"/>
      <c r="F24" s="62"/>
      <c r="G24" s="54" t="s">
        <v>92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6"/>
      <c r="Y24" s="6"/>
      <c r="Z24" s="7"/>
      <c r="AA24" s="7"/>
      <c r="AB24" s="8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3:45" ht="23.25" customHeight="1" x14ac:dyDescent="0.25">
      <c r="C25" s="60"/>
      <c r="D25" s="61"/>
      <c r="E25" s="61"/>
      <c r="F25" s="62"/>
      <c r="G25" s="54" t="s">
        <v>93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  <c r="Y25" s="51"/>
      <c r="Z25" s="52"/>
      <c r="AA25" s="52"/>
      <c r="AB25" s="53"/>
    </row>
    <row r="26" spans="3:45" ht="23.25" customHeight="1" x14ac:dyDescent="0.25">
      <c r="C26" s="51"/>
      <c r="D26" s="52"/>
      <c r="E26" s="52"/>
      <c r="F26" s="53"/>
      <c r="G26" s="54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6"/>
      <c r="Y26" s="51"/>
      <c r="Z26" s="52"/>
      <c r="AA26" s="52"/>
      <c r="AB26" s="53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3:45" ht="23.25" customHeight="1" x14ac:dyDescent="0.25">
      <c r="C27" s="51"/>
      <c r="D27" s="52"/>
      <c r="E27" s="52"/>
      <c r="F27" s="53"/>
      <c r="G27" s="54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6"/>
      <c r="Y27" s="51"/>
      <c r="Z27" s="52"/>
      <c r="AA27" s="52"/>
      <c r="AB27" s="53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 spans="3:45" ht="23.25" customHeight="1" x14ac:dyDescent="0.25">
      <c r="C28" s="51" t="s">
        <v>94</v>
      </c>
      <c r="D28" s="52"/>
      <c r="E28" s="52"/>
      <c r="F28" s="53"/>
      <c r="G28" s="54" t="s">
        <v>95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6"/>
      <c r="Y28" s="6"/>
      <c r="Z28" s="7"/>
      <c r="AA28" s="7"/>
      <c r="AB28" s="8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3:45" ht="23.25" customHeight="1" x14ac:dyDescent="0.25">
      <c r="C29" s="51"/>
      <c r="D29" s="52"/>
      <c r="E29" s="52"/>
      <c r="F29" s="53"/>
      <c r="G29" s="54" t="s">
        <v>96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6"/>
      <c r="Y29" s="6"/>
      <c r="Z29" s="7"/>
      <c r="AA29" s="7"/>
      <c r="AB29" s="8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3:45" ht="23.25" customHeight="1" x14ac:dyDescent="0.25">
      <c r="C30" s="60"/>
      <c r="D30" s="61"/>
      <c r="E30" s="61"/>
      <c r="F30" s="62"/>
      <c r="G30" s="54" t="s">
        <v>97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6"/>
      <c r="Y30" s="6"/>
      <c r="Z30" s="7"/>
      <c r="AA30" s="7"/>
      <c r="AB30" s="8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3:45" ht="23.25" customHeight="1" x14ac:dyDescent="0.25">
      <c r="C31" s="51"/>
      <c r="D31" s="52"/>
      <c r="E31" s="52"/>
      <c r="F31" s="53"/>
      <c r="G31" s="54" t="s">
        <v>98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6"/>
      <c r="Y31" s="51"/>
      <c r="Z31" s="52"/>
      <c r="AA31" s="52"/>
      <c r="AB31" s="53"/>
    </row>
    <row r="32" spans="3:45" ht="23.25" customHeight="1" x14ac:dyDescent="0.25">
      <c r="C32" s="60"/>
      <c r="D32" s="61"/>
      <c r="E32" s="61"/>
      <c r="F32" s="62"/>
      <c r="G32" s="54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6"/>
      <c r="Y32" s="11"/>
      <c r="Z32" s="12"/>
      <c r="AA32" s="12"/>
      <c r="AB32" s="13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 spans="3:45" ht="23.25" customHeight="1" x14ac:dyDescent="0.25">
      <c r="C33" s="60"/>
      <c r="D33" s="61"/>
      <c r="E33" s="61"/>
      <c r="F33" s="62"/>
      <c r="G33" s="93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5"/>
      <c r="Y33" s="11"/>
      <c r="Z33" s="12"/>
      <c r="AA33" s="12"/>
      <c r="AB33" s="13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3:45" ht="23.25" customHeight="1" x14ac:dyDescent="0.25">
      <c r="C34" s="51"/>
      <c r="D34" s="52"/>
      <c r="E34" s="52"/>
      <c r="F34" s="53"/>
      <c r="G34" s="54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6"/>
      <c r="Y34" s="11"/>
      <c r="Z34" s="12"/>
      <c r="AA34" s="12"/>
      <c r="AB34" s="13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3:45" ht="23.25" customHeight="1" x14ac:dyDescent="0.25">
      <c r="C35" s="63"/>
      <c r="D35" s="64"/>
      <c r="E35" s="64"/>
      <c r="F35" s="65"/>
      <c r="G35" s="54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6"/>
      <c r="Y35" s="6"/>
      <c r="Z35" s="7"/>
      <c r="AA35" s="7"/>
      <c r="AB35" s="8"/>
      <c r="AD35" s="2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3:45" ht="23.25" customHeight="1" x14ac:dyDescent="0.25">
      <c r="C36" s="63"/>
      <c r="D36" s="64"/>
      <c r="E36" s="64"/>
      <c r="F36" s="65"/>
      <c r="G36" s="54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6"/>
      <c r="Y36" s="6"/>
      <c r="Z36" s="7"/>
      <c r="AA36" s="7"/>
      <c r="AB36" s="8"/>
      <c r="AD36" s="2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3:45" ht="23.25" customHeight="1" x14ac:dyDescent="0.25">
      <c r="C37" s="63"/>
      <c r="D37" s="64"/>
      <c r="E37" s="64"/>
      <c r="F37" s="65"/>
      <c r="G37" s="5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6"/>
      <c r="Y37" s="6"/>
      <c r="Z37" s="7"/>
      <c r="AA37" s="7"/>
      <c r="AB37" s="8"/>
      <c r="AD37" s="2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3:45" ht="23.25" customHeight="1" thickBot="1" x14ac:dyDescent="0.3">
      <c r="C38" s="78"/>
      <c r="D38" s="79"/>
      <c r="E38" s="79"/>
      <c r="F38" s="80"/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6"/>
      <c r="Y38" s="15"/>
      <c r="Z38" s="16"/>
      <c r="AA38" s="16"/>
      <c r="AB38" s="17"/>
      <c r="AD38" s="2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3:45" ht="20.100000000000001" customHeight="1" x14ac:dyDescent="0.25">
      <c r="C39" s="81" t="s">
        <v>12</v>
      </c>
      <c r="D39" s="84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6"/>
      <c r="AC39" s="1" t="s">
        <v>13</v>
      </c>
    </row>
    <row r="40" spans="3:45" ht="20.100000000000001" customHeight="1" x14ac:dyDescent="0.25">
      <c r="C40" s="82"/>
      <c r="D40" s="87" t="s">
        <v>99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9"/>
    </row>
    <row r="41" spans="3:45" ht="20.100000000000001" customHeight="1" x14ac:dyDescent="0.25">
      <c r="C41" s="82"/>
      <c r="D41" s="87" t="s">
        <v>100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9"/>
    </row>
    <row r="42" spans="3:45" ht="20.100000000000001" customHeight="1" thickBot="1" x14ac:dyDescent="0.3">
      <c r="C42" s="83"/>
      <c r="D42" s="90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2"/>
    </row>
    <row r="43" spans="3:45" ht="18" customHeight="1" x14ac:dyDescent="0.25">
      <c r="C43" s="66" t="s">
        <v>14</v>
      </c>
      <c r="D43" s="69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1"/>
    </row>
    <row r="44" spans="3:45" ht="18" customHeight="1" x14ac:dyDescent="0.25">
      <c r="C44" s="67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0"/>
    </row>
    <row r="45" spans="3:45" ht="18" customHeight="1" x14ac:dyDescent="0.25">
      <c r="C45" s="67"/>
      <c r="D45" s="72" t="s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4"/>
    </row>
    <row r="46" spans="3:45" ht="18" customHeight="1" thickBot="1" x14ac:dyDescent="0.3">
      <c r="C46" s="68"/>
      <c r="D46" s="75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</row>
    <row r="47" spans="3:45" ht="14.25" x14ac:dyDescent="0.25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</sheetData>
  <mergeCells count="95">
    <mergeCell ref="C35:F35"/>
    <mergeCell ref="G35:X35"/>
    <mergeCell ref="C36:F36"/>
    <mergeCell ref="G36:X36"/>
    <mergeCell ref="C43:C46"/>
    <mergeCell ref="D43:AB43"/>
    <mergeCell ref="D45:AB45"/>
    <mergeCell ref="D46:AB46"/>
    <mergeCell ref="C37:F37"/>
    <mergeCell ref="G37:X37"/>
    <mergeCell ref="C38:F38"/>
    <mergeCell ref="G38:X38"/>
    <mergeCell ref="C39:C42"/>
    <mergeCell ref="D39:AB39"/>
    <mergeCell ref="D40:AB40"/>
    <mergeCell ref="D41:AB41"/>
    <mergeCell ref="D42:AB42"/>
    <mergeCell ref="Y31:AB31"/>
    <mergeCell ref="C32:F32"/>
    <mergeCell ref="G32:X32"/>
    <mergeCell ref="C34:F34"/>
    <mergeCell ref="G34:X34"/>
    <mergeCell ref="C33:F33"/>
    <mergeCell ref="G33:X33"/>
    <mergeCell ref="C31:F31"/>
    <mergeCell ref="G31:X31"/>
    <mergeCell ref="C28:F28"/>
    <mergeCell ref="G28:X28"/>
    <mergeCell ref="C29:F29"/>
    <mergeCell ref="G29:X29"/>
    <mergeCell ref="C30:F30"/>
    <mergeCell ref="G30:X30"/>
    <mergeCell ref="C26:F26"/>
    <mergeCell ref="G26:X26"/>
    <mergeCell ref="Y26:AB26"/>
    <mergeCell ref="C27:F27"/>
    <mergeCell ref="G27:X27"/>
    <mergeCell ref="Y27:AB27"/>
    <mergeCell ref="C24:F24"/>
    <mergeCell ref="G24:X24"/>
    <mergeCell ref="C25:F25"/>
    <mergeCell ref="G25:X25"/>
    <mergeCell ref="Y25:AB25"/>
    <mergeCell ref="Y20:AB20"/>
    <mergeCell ref="C21:F21"/>
    <mergeCell ref="G21:X21"/>
    <mergeCell ref="C23:F23"/>
    <mergeCell ref="G23:X23"/>
    <mergeCell ref="C22:F22"/>
    <mergeCell ref="G22:X22"/>
    <mergeCell ref="C20:F20"/>
    <mergeCell ref="G20:X20"/>
    <mergeCell ref="C17:F17"/>
    <mergeCell ref="G17:X17"/>
    <mergeCell ref="C18:F18"/>
    <mergeCell ref="G18:X18"/>
    <mergeCell ref="C19:F19"/>
    <mergeCell ref="G19:X19"/>
    <mergeCell ref="G14:X14"/>
    <mergeCell ref="C15:F15"/>
    <mergeCell ref="G15:X15"/>
    <mergeCell ref="Y15:AB15"/>
    <mergeCell ref="C16:F16"/>
    <mergeCell ref="G16:X16"/>
    <mergeCell ref="Y16:AB16"/>
    <mergeCell ref="C9:F9"/>
    <mergeCell ref="G9:X9"/>
    <mergeCell ref="Y9:AB9"/>
    <mergeCell ref="C10:F10"/>
    <mergeCell ref="G10:X10"/>
    <mergeCell ref="C11:F11"/>
    <mergeCell ref="G11:X11"/>
    <mergeCell ref="C12:F12"/>
    <mergeCell ref="G12:X12"/>
    <mergeCell ref="C13:F13"/>
    <mergeCell ref="G13:X13"/>
    <mergeCell ref="Y13:AB13"/>
    <mergeCell ref="C7:F7"/>
    <mergeCell ref="G7:X7"/>
    <mergeCell ref="Y7:AB7"/>
    <mergeCell ref="C8:F8"/>
    <mergeCell ref="G8:X8"/>
    <mergeCell ref="Y8:AB8"/>
    <mergeCell ref="E2:Q4"/>
    <mergeCell ref="T2:T6"/>
    <mergeCell ref="U2:V2"/>
    <mergeCell ref="W2:X2"/>
    <mergeCell ref="Y2:Z2"/>
    <mergeCell ref="C5:S5"/>
    <mergeCell ref="AA2:AB2"/>
    <mergeCell ref="U3:V6"/>
    <mergeCell ref="W3:X6"/>
    <mergeCell ref="Y3:Z6"/>
    <mergeCell ref="AA3:AB6"/>
  </mergeCells>
  <phoneticPr fontId="2" type="noConversion"/>
  <printOptions horizontalCentered="1" verticalCentered="1"/>
  <pageMargins left="0.51" right="0.51" top="0.55000000000000004" bottom="0.55000000000000004" header="0.31" footer="0.31"/>
  <pageSetup paperSize="9"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F5B1-679A-B241-8306-AE1499930691}">
  <sheetPr>
    <tabColor theme="4"/>
  </sheetPr>
  <dimension ref="A1:AB47"/>
  <sheetViews>
    <sheetView topLeftCell="A4" zoomScaleNormal="100" workbookViewId="0">
      <selection activeCell="G19" sqref="G19:X19"/>
    </sheetView>
  </sheetViews>
  <sheetFormatPr defaultColWidth="3.7109375" defaultRowHeight="13.5" x14ac:dyDescent="0.25"/>
  <cols>
    <col min="1" max="1" width="3.7109375" style="1"/>
    <col min="2" max="2" width="76.99609375" style="1" customWidth="1"/>
    <col min="3" max="3" width="4.453125" style="1" customWidth="1"/>
    <col min="4" max="5" width="3.7109375" style="1" customWidth="1"/>
    <col min="6" max="6" width="6.8046875" style="1" customWidth="1"/>
    <col min="7" max="28" width="4.703125" style="1" customWidth="1"/>
    <col min="29" max="29" width="12.87109375" style="1" customWidth="1"/>
    <col min="30" max="30" width="3.7109375" style="1" customWidth="1"/>
    <col min="31" max="16384" width="3.7109375" style="1"/>
  </cols>
  <sheetData>
    <row r="1" spans="2:247" x14ac:dyDescent="0.25">
      <c r="D1" s="1" t="s">
        <v>0</v>
      </c>
      <c r="G1" s="2"/>
      <c r="W1" s="3"/>
    </row>
    <row r="2" spans="2:247" ht="17.25" customHeight="1" x14ac:dyDescent="0.25">
      <c r="E2" s="28" t="s">
        <v>1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T2" s="29" t="s">
        <v>2</v>
      </c>
      <c r="U2" s="23" t="s">
        <v>3</v>
      </c>
      <c r="V2" s="23"/>
      <c r="W2" s="23" t="s">
        <v>4</v>
      </c>
      <c r="X2" s="23"/>
      <c r="Y2" s="23" t="s">
        <v>5</v>
      </c>
      <c r="Z2" s="23"/>
      <c r="AA2" s="23" t="s">
        <v>6</v>
      </c>
      <c r="AB2" s="23"/>
    </row>
    <row r="3" spans="2:247" ht="17.100000000000001" customHeight="1" x14ac:dyDescent="0.25"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T3" s="30"/>
      <c r="U3" s="24"/>
      <c r="V3" s="25"/>
      <c r="W3" s="24"/>
      <c r="X3" s="25"/>
      <c r="Y3" s="24"/>
      <c r="Z3" s="25"/>
      <c r="AA3" s="24"/>
      <c r="AB3" s="25"/>
    </row>
    <row r="4" spans="2:247" ht="18" customHeight="1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T4" s="30"/>
      <c r="U4" s="26"/>
      <c r="V4" s="27"/>
      <c r="W4" s="26"/>
      <c r="X4" s="27"/>
      <c r="Y4" s="26"/>
      <c r="Z4" s="27"/>
      <c r="AA4" s="26"/>
      <c r="AB4" s="27"/>
      <c r="AL4" s="2"/>
    </row>
    <row r="5" spans="2:247" ht="15.75" customHeight="1" x14ac:dyDescent="0.25">
      <c r="C5" s="31" t="str">
        <f ca="1">TEXT(TODAY()-1, "yyyy-mm-dd (aaa)")</f>
        <v>2026-08-13 (목)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0"/>
      <c r="U5" s="26"/>
      <c r="V5" s="27"/>
      <c r="W5" s="26"/>
      <c r="X5" s="27"/>
      <c r="Y5" s="26"/>
      <c r="Z5" s="27"/>
      <c r="AA5" s="26"/>
      <c r="AB5" s="27"/>
      <c r="AS5" s="2"/>
    </row>
    <row r="6" spans="2:247" ht="6" customHeight="1" thickBot="1" x14ac:dyDescent="0.3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0"/>
      <c r="U6" s="26"/>
      <c r="V6" s="27"/>
      <c r="W6" s="26"/>
      <c r="X6" s="27"/>
      <c r="Y6" s="26"/>
      <c r="Z6" s="27"/>
      <c r="AA6" s="26"/>
      <c r="AB6" s="27"/>
      <c r="AS6" s="2"/>
    </row>
    <row r="7" spans="2:247" ht="26.1" customHeight="1" thickBot="1" x14ac:dyDescent="0.3">
      <c r="C7" s="34" t="s">
        <v>7</v>
      </c>
      <c r="D7" s="35"/>
      <c r="E7" s="35"/>
      <c r="F7" s="36"/>
      <c r="G7" s="37" t="s">
        <v>8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  <c r="Y7" s="40"/>
      <c r="Z7" s="35"/>
      <c r="AA7" s="35"/>
      <c r="AB7" s="36"/>
    </row>
    <row r="8" spans="2:247" ht="23.25" customHeight="1" x14ac:dyDescent="0.25">
      <c r="C8" s="41"/>
      <c r="D8" s="42"/>
      <c r="E8" s="42"/>
      <c r="F8" s="43"/>
      <c r="G8" s="44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6"/>
      <c r="Y8" s="47"/>
      <c r="Z8" s="48"/>
      <c r="AA8" s="48"/>
      <c r="AB8" s="49"/>
    </row>
    <row r="9" spans="2:247" ht="23.25" customHeight="1" x14ac:dyDescent="0.25">
      <c r="C9" s="51" t="s">
        <v>0</v>
      </c>
      <c r="D9" s="52"/>
      <c r="E9" s="52"/>
      <c r="F9" s="53"/>
      <c r="G9" s="54" t="s">
        <v>101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  <c r="Y9" s="51"/>
      <c r="Z9" s="52"/>
      <c r="AA9" s="52"/>
      <c r="AB9" s="53"/>
      <c r="AG9" s="2"/>
      <c r="AN9" s="2"/>
      <c r="DU9" s="2" t="s">
        <v>9</v>
      </c>
      <c r="IM9" s="2" t="s">
        <v>10</v>
      </c>
    </row>
    <row r="10" spans="2:247" ht="23.25" customHeight="1" x14ac:dyDescent="0.25">
      <c r="B10" s="9"/>
      <c r="C10" s="51"/>
      <c r="D10" s="52"/>
      <c r="E10" s="52"/>
      <c r="F10" s="53"/>
      <c r="G10" s="54" t="s">
        <v>102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6"/>
      <c r="Y10" s="6"/>
      <c r="Z10" s="7"/>
      <c r="AA10" s="7"/>
      <c r="AB10" s="8"/>
      <c r="AG10" s="2"/>
      <c r="AN10" s="2"/>
      <c r="DU10" s="2"/>
      <c r="IM10" s="2"/>
    </row>
    <row r="11" spans="2:247" ht="23.25" customHeight="1" x14ac:dyDescent="0.25">
      <c r="C11" s="51"/>
      <c r="D11" s="52"/>
      <c r="E11" s="52"/>
      <c r="F11" s="53"/>
      <c r="G11" s="54" t="s">
        <v>103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6"/>
      <c r="Z11" s="7"/>
      <c r="AA11" s="7"/>
      <c r="AB11" s="8"/>
      <c r="AL11" s="2"/>
      <c r="AN11" s="2"/>
      <c r="BE11" s="10"/>
    </row>
    <row r="12" spans="2:247" ht="23.25" customHeight="1" x14ac:dyDescent="0.25">
      <c r="C12" s="51"/>
      <c r="D12" s="52"/>
      <c r="E12" s="52"/>
      <c r="F12" s="53"/>
      <c r="G12" s="54" t="s">
        <v>104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  <c r="Y12" s="11"/>
      <c r="Z12" s="12"/>
      <c r="AA12" s="12"/>
      <c r="AB12" s="1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2:247" ht="23.25" customHeight="1" x14ac:dyDescent="0.25">
      <c r="C13" s="51"/>
      <c r="D13" s="52"/>
      <c r="E13" s="52"/>
      <c r="F13" s="53"/>
      <c r="G13" s="54" t="s">
        <v>105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6"/>
      <c r="Y13" s="57"/>
      <c r="Z13" s="58"/>
      <c r="AA13" s="58"/>
      <c r="AB13" s="59"/>
      <c r="AF13" s="50" t="s">
        <v>11</v>
      </c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</row>
    <row r="14" spans="2:247" ht="23.25" customHeight="1" x14ac:dyDescent="0.25">
      <c r="C14" s="6"/>
      <c r="D14" s="7"/>
      <c r="E14" s="7"/>
      <c r="F14" s="8"/>
      <c r="G14" s="54" t="s">
        <v>106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6"/>
      <c r="Y14" s="11"/>
      <c r="Z14" s="12"/>
      <c r="AA14" s="12"/>
      <c r="AB14" s="13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2:247" ht="23.25" customHeight="1" x14ac:dyDescent="0.25">
      <c r="C15" s="51"/>
      <c r="D15" s="52"/>
      <c r="E15" s="52"/>
      <c r="F15" s="53"/>
      <c r="G15" s="54" t="s">
        <v>107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6"/>
      <c r="Y15" s="51"/>
      <c r="Z15" s="52"/>
      <c r="AA15" s="52"/>
      <c r="AB15" s="53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2:247" ht="23.25" customHeight="1" x14ac:dyDescent="0.25">
      <c r="C16" s="51"/>
      <c r="D16" s="52"/>
      <c r="E16" s="52"/>
      <c r="F16" s="53"/>
      <c r="G16" s="54" t="s">
        <v>108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51"/>
      <c r="Z16" s="52"/>
      <c r="AA16" s="52"/>
      <c r="AB16" s="53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3:45" ht="23.25" customHeight="1" x14ac:dyDescent="0.25">
      <c r="C17" s="51"/>
      <c r="D17" s="52"/>
      <c r="E17" s="52"/>
      <c r="F17" s="53"/>
      <c r="G17" s="54" t="s">
        <v>109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6"/>
      <c r="Y17" s="6"/>
      <c r="Z17" s="7"/>
      <c r="AA17" s="7"/>
      <c r="AB17" s="8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3:45" ht="23.25" customHeight="1" x14ac:dyDescent="0.25">
      <c r="C18" s="51"/>
      <c r="D18" s="52"/>
      <c r="E18" s="52"/>
      <c r="F18" s="53"/>
      <c r="G18" s="54" t="s">
        <v>110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6"/>
      <c r="Y18" s="6"/>
      <c r="Z18" s="7"/>
      <c r="AA18" s="7"/>
      <c r="AB18" s="8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3:45" ht="23.25" customHeight="1" x14ac:dyDescent="0.25">
      <c r="C19" s="60"/>
      <c r="D19" s="61"/>
      <c r="E19" s="61"/>
      <c r="F19" s="62"/>
      <c r="G19" s="54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6"/>
      <c r="Y19" s="6"/>
      <c r="Z19" s="7"/>
      <c r="AA19" s="7"/>
      <c r="AB19" s="8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3:45" ht="23.25" customHeight="1" x14ac:dyDescent="0.25">
      <c r="C20" s="51"/>
      <c r="D20" s="52"/>
      <c r="E20" s="52"/>
      <c r="F20" s="53"/>
      <c r="G20" s="54" t="s">
        <v>112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6"/>
      <c r="Y20" s="51"/>
      <c r="Z20" s="52"/>
      <c r="AA20" s="52"/>
      <c r="AB20" s="53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3:45" ht="23.25" customHeight="1" x14ac:dyDescent="0.25">
      <c r="C21" s="51"/>
      <c r="D21" s="52"/>
      <c r="E21" s="52"/>
      <c r="F21" s="53"/>
      <c r="G21" s="54" t="s">
        <v>111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6"/>
      <c r="Y21" s="6"/>
      <c r="Z21" s="7"/>
      <c r="AA21" s="7"/>
      <c r="AB21" s="8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3:45" ht="23.25" customHeight="1" x14ac:dyDescent="0.25">
      <c r="C22" s="51"/>
      <c r="D22" s="52"/>
      <c r="E22" s="52"/>
      <c r="F22" s="53"/>
      <c r="G22" s="54" t="s">
        <v>113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6"/>
      <c r="Y22" s="6"/>
      <c r="Z22" s="7"/>
      <c r="AA22" s="7"/>
      <c r="AB22" s="8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3:45" ht="23.25" customHeight="1" x14ac:dyDescent="0.25">
      <c r="C23" s="51"/>
      <c r="D23" s="52"/>
      <c r="E23" s="52"/>
      <c r="F23" s="53"/>
      <c r="G23" s="54" t="s">
        <v>114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6"/>
      <c r="Y23" s="6"/>
      <c r="Z23" s="7"/>
      <c r="AA23" s="7"/>
      <c r="AB23" s="8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3:45" ht="23.25" customHeight="1" x14ac:dyDescent="0.25">
      <c r="C24" s="60"/>
      <c r="D24" s="61"/>
      <c r="E24" s="61"/>
      <c r="F24" s="62"/>
      <c r="G24" s="54" t="s">
        <v>115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6"/>
      <c r="Y24" s="6"/>
      <c r="Z24" s="7"/>
      <c r="AA24" s="7"/>
      <c r="AB24" s="8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3:45" ht="23.25" customHeight="1" x14ac:dyDescent="0.25">
      <c r="C25" s="60"/>
      <c r="D25" s="61"/>
      <c r="E25" s="61"/>
      <c r="F25" s="62"/>
      <c r="G25" s="54" t="s">
        <v>116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  <c r="Y25" s="51"/>
      <c r="Z25" s="52"/>
      <c r="AA25" s="52"/>
      <c r="AB25" s="53"/>
    </row>
    <row r="26" spans="3:45" ht="23.25" customHeight="1" x14ac:dyDescent="0.25">
      <c r="C26" s="51"/>
      <c r="D26" s="52"/>
      <c r="E26" s="52"/>
      <c r="F26" s="53"/>
      <c r="G26" s="54" t="s">
        <v>38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6"/>
      <c r="Y26" s="51"/>
      <c r="Z26" s="52"/>
      <c r="AA26" s="52"/>
      <c r="AB26" s="53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3:45" ht="23.25" customHeight="1" x14ac:dyDescent="0.25">
      <c r="C27" s="51"/>
      <c r="D27" s="52"/>
      <c r="E27" s="52"/>
      <c r="F27" s="53"/>
      <c r="G27" s="54" t="s">
        <v>117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6"/>
      <c r="Y27" s="51"/>
      <c r="Z27" s="52"/>
      <c r="AA27" s="52"/>
      <c r="AB27" s="53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 spans="3:45" ht="23.25" customHeight="1" x14ac:dyDescent="0.25">
      <c r="C28" s="51"/>
      <c r="D28" s="52"/>
      <c r="E28" s="52"/>
      <c r="F28" s="53"/>
      <c r="G28" s="54" t="s">
        <v>118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6"/>
      <c r="Y28" s="6"/>
      <c r="Z28" s="7"/>
      <c r="AA28" s="7"/>
      <c r="AB28" s="8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3:45" ht="23.25" customHeight="1" x14ac:dyDescent="0.25">
      <c r="C29" s="51"/>
      <c r="D29" s="52"/>
      <c r="E29" s="52"/>
      <c r="F29" s="53"/>
      <c r="G29" s="54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6"/>
      <c r="Y29" s="6"/>
      <c r="Z29" s="7"/>
      <c r="AA29" s="7"/>
      <c r="AB29" s="8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3:45" ht="23.25" customHeight="1" x14ac:dyDescent="0.25">
      <c r="C30" s="60"/>
      <c r="D30" s="61"/>
      <c r="E30" s="61"/>
      <c r="F30" s="62"/>
      <c r="G30" s="54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6"/>
      <c r="Y30" s="6"/>
      <c r="Z30" s="7"/>
      <c r="AA30" s="7"/>
      <c r="AB30" s="8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3:45" ht="23.25" customHeight="1" x14ac:dyDescent="0.25">
      <c r="C31" s="51" t="s">
        <v>119</v>
      </c>
      <c r="D31" s="52"/>
      <c r="E31" s="52"/>
      <c r="F31" s="53"/>
      <c r="G31" s="54" t="s">
        <v>120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6"/>
      <c r="Y31" s="51"/>
      <c r="Z31" s="52"/>
      <c r="AA31" s="52"/>
      <c r="AB31" s="53"/>
    </row>
    <row r="32" spans="3:45" ht="23.25" customHeight="1" x14ac:dyDescent="0.25">
      <c r="C32" s="60"/>
      <c r="D32" s="61"/>
      <c r="E32" s="61"/>
      <c r="F32" s="62"/>
      <c r="G32" s="54" t="s">
        <v>121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6"/>
      <c r="Y32" s="11"/>
      <c r="Z32" s="12"/>
      <c r="AA32" s="12"/>
      <c r="AB32" s="13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 spans="3:45" ht="23.25" customHeight="1" x14ac:dyDescent="0.25">
      <c r="C33" s="60"/>
      <c r="D33" s="61"/>
      <c r="E33" s="61"/>
      <c r="F33" s="62"/>
      <c r="G33" s="54" t="s">
        <v>122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6"/>
      <c r="Y33" s="11"/>
      <c r="Z33" s="12"/>
      <c r="AA33" s="12"/>
      <c r="AB33" s="13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3:45" ht="23.25" customHeight="1" x14ac:dyDescent="0.25">
      <c r="C34" s="51"/>
      <c r="D34" s="52"/>
      <c r="E34" s="52"/>
      <c r="F34" s="53"/>
      <c r="G34" s="54" t="s">
        <v>123</v>
      </c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6"/>
      <c r="Y34" s="11"/>
      <c r="Z34" s="12"/>
      <c r="AA34" s="12"/>
      <c r="AB34" s="13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3:45" ht="23.25" customHeight="1" x14ac:dyDescent="0.25">
      <c r="C35" s="63"/>
      <c r="D35" s="64"/>
      <c r="E35" s="64"/>
      <c r="F35" s="65"/>
      <c r="G35" s="54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6"/>
      <c r="Y35" s="6"/>
      <c r="Z35" s="7"/>
      <c r="AA35" s="7"/>
      <c r="AB35" s="8"/>
      <c r="AD35" s="2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3:45" ht="23.25" customHeight="1" x14ac:dyDescent="0.25">
      <c r="C36" s="63"/>
      <c r="D36" s="64"/>
      <c r="E36" s="64"/>
      <c r="F36" s="65"/>
      <c r="G36" s="54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6"/>
      <c r="Y36" s="6"/>
      <c r="Z36" s="7"/>
      <c r="AA36" s="7"/>
      <c r="AB36" s="8"/>
      <c r="AD36" s="2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3:45" ht="23.25" customHeight="1" x14ac:dyDescent="0.25">
      <c r="C37" s="63"/>
      <c r="D37" s="64"/>
      <c r="E37" s="64"/>
      <c r="F37" s="65"/>
      <c r="G37" s="5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6"/>
      <c r="Y37" s="6"/>
      <c r="Z37" s="7"/>
      <c r="AA37" s="7"/>
      <c r="AB37" s="8"/>
      <c r="AD37" s="2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3:45" ht="23.25" customHeight="1" thickBot="1" x14ac:dyDescent="0.3">
      <c r="C38" s="78"/>
      <c r="D38" s="79"/>
      <c r="E38" s="79"/>
      <c r="F38" s="80"/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6"/>
      <c r="Y38" s="15"/>
      <c r="Z38" s="16"/>
      <c r="AA38" s="16"/>
      <c r="AB38" s="17"/>
      <c r="AD38" s="2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3:45" ht="20.100000000000001" customHeight="1" x14ac:dyDescent="0.25">
      <c r="C39" s="81" t="s">
        <v>12</v>
      </c>
      <c r="D39" s="84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6"/>
      <c r="AC39" s="1" t="s">
        <v>13</v>
      </c>
    </row>
    <row r="40" spans="3:45" ht="20.100000000000001" customHeight="1" x14ac:dyDescent="0.25">
      <c r="C40" s="82"/>
      <c r="D40" s="87" t="s">
        <v>99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9"/>
    </row>
    <row r="41" spans="3:45" ht="20.100000000000001" customHeight="1" x14ac:dyDescent="0.25">
      <c r="C41" s="82"/>
      <c r="D41" s="87" t="s">
        <v>100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9"/>
    </row>
    <row r="42" spans="3:45" ht="20.100000000000001" customHeight="1" thickBot="1" x14ac:dyDescent="0.3">
      <c r="C42" s="83"/>
      <c r="D42" s="90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2"/>
    </row>
    <row r="43" spans="3:45" ht="18" customHeight="1" x14ac:dyDescent="0.25">
      <c r="C43" s="66" t="s">
        <v>14</v>
      </c>
      <c r="D43" s="69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1"/>
    </row>
    <row r="44" spans="3:45" ht="18" customHeight="1" x14ac:dyDescent="0.25">
      <c r="C44" s="67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0"/>
    </row>
    <row r="45" spans="3:45" ht="18" customHeight="1" x14ac:dyDescent="0.25">
      <c r="C45" s="67"/>
      <c r="D45" s="72" t="s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4"/>
    </row>
    <row r="46" spans="3:45" ht="18" customHeight="1" thickBot="1" x14ac:dyDescent="0.3">
      <c r="C46" s="68"/>
      <c r="D46" s="75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</row>
    <row r="47" spans="3:45" ht="14.25" x14ac:dyDescent="0.25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</sheetData>
  <mergeCells count="95">
    <mergeCell ref="AA2:AB2"/>
    <mergeCell ref="U3:V6"/>
    <mergeCell ref="W3:X6"/>
    <mergeCell ref="Y3:Z6"/>
    <mergeCell ref="AA3:AB6"/>
    <mergeCell ref="E2:Q4"/>
    <mergeCell ref="T2:T6"/>
    <mergeCell ref="U2:V2"/>
    <mergeCell ref="W2:X2"/>
    <mergeCell ref="Y2:Z2"/>
    <mergeCell ref="C5:S5"/>
    <mergeCell ref="C7:F7"/>
    <mergeCell ref="G7:X7"/>
    <mergeCell ref="Y7:AB7"/>
    <mergeCell ref="C8:F8"/>
    <mergeCell ref="G8:X8"/>
    <mergeCell ref="Y8:AB8"/>
    <mergeCell ref="C9:F9"/>
    <mergeCell ref="G9:X9"/>
    <mergeCell ref="Y9:AB9"/>
    <mergeCell ref="C10:F10"/>
    <mergeCell ref="G10:X10"/>
    <mergeCell ref="C11:F11"/>
    <mergeCell ref="G11:X11"/>
    <mergeCell ref="C12:F12"/>
    <mergeCell ref="G12:X12"/>
    <mergeCell ref="C13:F13"/>
    <mergeCell ref="G13:X13"/>
    <mergeCell ref="Y13:AB13"/>
    <mergeCell ref="G14:X14"/>
    <mergeCell ref="C15:F15"/>
    <mergeCell ref="G15:X15"/>
    <mergeCell ref="Y15:AB15"/>
    <mergeCell ref="C16:F16"/>
    <mergeCell ref="G16:X16"/>
    <mergeCell ref="Y16:AB16"/>
    <mergeCell ref="C17:F17"/>
    <mergeCell ref="G17:X17"/>
    <mergeCell ref="C18:F18"/>
    <mergeCell ref="G18:X18"/>
    <mergeCell ref="C19:F19"/>
    <mergeCell ref="G19:X19"/>
    <mergeCell ref="Y20:AB20"/>
    <mergeCell ref="C21:F21"/>
    <mergeCell ref="G21:X21"/>
    <mergeCell ref="C23:F23"/>
    <mergeCell ref="G23:X23"/>
    <mergeCell ref="C22:F22"/>
    <mergeCell ref="G22:X22"/>
    <mergeCell ref="C20:F20"/>
    <mergeCell ref="G20:X20"/>
    <mergeCell ref="C24:F24"/>
    <mergeCell ref="G24:X24"/>
    <mergeCell ref="C25:F25"/>
    <mergeCell ref="G25:X25"/>
    <mergeCell ref="Y25:AB25"/>
    <mergeCell ref="C26:F26"/>
    <mergeCell ref="G26:X26"/>
    <mergeCell ref="Y26:AB26"/>
    <mergeCell ref="C27:F27"/>
    <mergeCell ref="G27:X27"/>
    <mergeCell ref="Y27:AB27"/>
    <mergeCell ref="C28:F28"/>
    <mergeCell ref="G28:X28"/>
    <mergeCell ref="C29:F29"/>
    <mergeCell ref="G29:X29"/>
    <mergeCell ref="C30:F30"/>
    <mergeCell ref="G30:X30"/>
    <mergeCell ref="Y31:AB31"/>
    <mergeCell ref="C32:F32"/>
    <mergeCell ref="G32:X32"/>
    <mergeCell ref="C34:F34"/>
    <mergeCell ref="G34:X34"/>
    <mergeCell ref="C33:F33"/>
    <mergeCell ref="G33:X33"/>
    <mergeCell ref="C31:F31"/>
    <mergeCell ref="G31:X31"/>
    <mergeCell ref="C43:C46"/>
    <mergeCell ref="D43:AB43"/>
    <mergeCell ref="D45:AB45"/>
    <mergeCell ref="D46:AB46"/>
    <mergeCell ref="C37:F37"/>
    <mergeCell ref="G37:X37"/>
    <mergeCell ref="C38:F38"/>
    <mergeCell ref="G38:X38"/>
    <mergeCell ref="C39:C42"/>
    <mergeCell ref="D39:AB39"/>
    <mergeCell ref="D40:AB40"/>
    <mergeCell ref="D41:AB41"/>
    <mergeCell ref="D42:AB42"/>
    <mergeCell ref="C35:F35"/>
    <mergeCell ref="G35:X35"/>
    <mergeCell ref="C36:F36"/>
    <mergeCell ref="G36:X36"/>
  </mergeCells>
  <phoneticPr fontId="2" type="noConversion"/>
  <printOptions horizontalCentered="1" verticalCentered="1"/>
  <pageMargins left="0.51" right="0.51" top="0.55000000000000004" bottom="0.55000000000000004" header="0.31" footer="0.31"/>
  <pageSetup paperSize="9" scale="6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8DC0-E5FA-D14F-9EBB-E72B2FEE4466}">
  <sheetPr>
    <tabColor theme="4"/>
  </sheetPr>
  <dimension ref="A1:AB47"/>
  <sheetViews>
    <sheetView tabSelected="1" topLeftCell="A13" zoomScaleNormal="100" workbookViewId="0">
      <selection activeCell="G28" sqref="G28:X28"/>
    </sheetView>
  </sheetViews>
  <sheetFormatPr defaultColWidth="3.7109375" defaultRowHeight="13.5" x14ac:dyDescent="0.25"/>
  <cols>
    <col min="1" max="1" width="3.7109375" style="1"/>
    <col min="2" max="2" width="76.99609375" style="1" customWidth="1"/>
    <col min="3" max="3" width="4.453125" style="1" customWidth="1"/>
    <col min="4" max="5" width="3.7109375" style="1" customWidth="1"/>
    <col min="6" max="6" width="6.8046875" style="1" customWidth="1"/>
    <col min="7" max="28" width="4.703125" style="1" customWidth="1"/>
    <col min="29" max="29" width="12.87109375" style="1" customWidth="1"/>
    <col min="30" max="30" width="3.7109375" style="1" customWidth="1"/>
    <col min="31" max="16384" width="3.7109375" style="1"/>
  </cols>
  <sheetData>
    <row r="1" spans="2:247" x14ac:dyDescent="0.25">
      <c r="D1" s="1" t="s">
        <v>0</v>
      </c>
      <c r="G1" s="2"/>
      <c r="W1" s="3"/>
    </row>
    <row r="2" spans="2:247" ht="17.25" customHeight="1" x14ac:dyDescent="0.25">
      <c r="E2" s="28" t="s">
        <v>1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T2" s="29" t="s">
        <v>2</v>
      </c>
      <c r="U2" s="23" t="s">
        <v>3</v>
      </c>
      <c r="V2" s="23"/>
      <c r="W2" s="23" t="s">
        <v>4</v>
      </c>
      <c r="X2" s="23"/>
      <c r="Y2" s="23" t="s">
        <v>5</v>
      </c>
      <c r="Z2" s="23"/>
      <c r="AA2" s="23" t="s">
        <v>6</v>
      </c>
      <c r="AB2" s="23"/>
    </row>
    <row r="3" spans="2:247" ht="17.100000000000001" customHeight="1" x14ac:dyDescent="0.25"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T3" s="30"/>
      <c r="U3" s="24"/>
      <c r="V3" s="25"/>
      <c r="W3" s="24"/>
      <c r="X3" s="25"/>
      <c r="Y3" s="24"/>
      <c r="Z3" s="25"/>
      <c r="AA3" s="24"/>
      <c r="AB3" s="25"/>
    </row>
    <row r="4" spans="2:247" ht="18" customHeight="1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T4" s="30"/>
      <c r="U4" s="26"/>
      <c r="V4" s="27"/>
      <c r="W4" s="26"/>
      <c r="X4" s="27"/>
      <c r="Y4" s="26"/>
      <c r="Z4" s="27"/>
      <c r="AA4" s="26"/>
      <c r="AB4" s="27"/>
      <c r="AL4" s="2"/>
    </row>
    <row r="5" spans="2:247" ht="15.75" customHeight="1" x14ac:dyDescent="0.25">
      <c r="C5" s="31" t="str">
        <f ca="1">TEXT(TODAY()-1, "yyyy-mm-dd (aaa)")</f>
        <v>2026-08-13 (목)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0"/>
      <c r="U5" s="26"/>
      <c r="V5" s="27"/>
      <c r="W5" s="26"/>
      <c r="X5" s="27"/>
      <c r="Y5" s="26"/>
      <c r="Z5" s="27"/>
      <c r="AA5" s="26"/>
      <c r="AB5" s="27"/>
      <c r="AS5" s="2"/>
    </row>
    <row r="6" spans="2:247" ht="6" customHeight="1" thickBot="1" x14ac:dyDescent="0.3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0"/>
      <c r="U6" s="26"/>
      <c r="V6" s="27"/>
      <c r="W6" s="26"/>
      <c r="X6" s="27"/>
      <c r="Y6" s="26"/>
      <c r="Z6" s="27"/>
      <c r="AA6" s="26"/>
      <c r="AB6" s="27"/>
      <c r="AS6" s="2"/>
    </row>
    <row r="7" spans="2:247" ht="26.1" customHeight="1" thickBot="1" x14ac:dyDescent="0.3">
      <c r="C7" s="34" t="s">
        <v>7</v>
      </c>
      <c r="D7" s="35"/>
      <c r="E7" s="35"/>
      <c r="F7" s="36"/>
      <c r="G7" s="37" t="s">
        <v>8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  <c r="Y7" s="40"/>
      <c r="Z7" s="35"/>
      <c r="AA7" s="35"/>
      <c r="AB7" s="36"/>
    </row>
    <row r="8" spans="2:247" ht="23.25" customHeight="1" x14ac:dyDescent="0.25">
      <c r="C8" s="41"/>
      <c r="D8" s="42"/>
      <c r="E8" s="42"/>
      <c r="F8" s="43"/>
      <c r="G8" s="44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6"/>
      <c r="Y8" s="47"/>
      <c r="Z8" s="48"/>
      <c r="AA8" s="48"/>
      <c r="AB8" s="49"/>
    </row>
    <row r="9" spans="2:247" ht="23.25" customHeight="1" x14ac:dyDescent="0.25">
      <c r="C9" s="51" t="s">
        <v>124</v>
      </c>
      <c r="D9" s="52"/>
      <c r="E9" s="52"/>
      <c r="F9" s="53"/>
      <c r="G9" s="54" t="s">
        <v>125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6"/>
      <c r="Y9" s="51"/>
      <c r="Z9" s="52"/>
      <c r="AA9" s="52"/>
      <c r="AB9" s="53"/>
      <c r="AG9" s="2"/>
      <c r="AN9" s="2"/>
      <c r="DU9" s="2" t="s">
        <v>9</v>
      </c>
      <c r="IM9" s="2" t="s">
        <v>10</v>
      </c>
    </row>
    <row r="10" spans="2:247" ht="23.25" customHeight="1" x14ac:dyDescent="0.25">
      <c r="B10" s="9"/>
      <c r="C10" s="51"/>
      <c r="D10" s="52"/>
      <c r="E10" s="52"/>
      <c r="F10" s="53"/>
      <c r="G10" s="54" t="s">
        <v>126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6"/>
      <c r="Y10" s="6"/>
      <c r="Z10" s="7"/>
      <c r="AA10" s="7"/>
      <c r="AB10" s="8"/>
      <c r="AG10" s="2"/>
      <c r="AN10" s="2"/>
      <c r="DU10" s="2"/>
      <c r="IM10" s="2"/>
    </row>
    <row r="11" spans="2:247" ht="23.25" customHeight="1" x14ac:dyDescent="0.25">
      <c r="C11" s="51"/>
      <c r="D11" s="52"/>
      <c r="E11" s="52"/>
      <c r="F11" s="53"/>
      <c r="G11" s="54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6"/>
      <c r="Z11" s="7"/>
      <c r="AA11" s="7"/>
      <c r="AB11" s="8"/>
      <c r="AL11" s="2"/>
      <c r="AN11" s="2"/>
      <c r="BE11" s="10"/>
    </row>
    <row r="12" spans="2:247" ht="23.25" customHeight="1" x14ac:dyDescent="0.25">
      <c r="C12" s="51" t="s">
        <v>127</v>
      </c>
      <c r="D12" s="52"/>
      <c r="E12" s="52"/>
      <c r="F12" s="53"/>
      <c r="G12" s="54" t="s">
        <v>133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  <c r="Y12" s="11"/>
      <c r="Z12" s="12"/>
      <c r="AA12" s="12"/>
      <c r="AB12" s="1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2:247" ht="23.25" customHeight="1" x14ac:dyDescent="0.25">
      <c r="C13" s="51"/>
      <c r="D13" s="52"/>
      <c r="E13" s="52"/>
      <c r="F13" s="53"/>
      <c r="G13" s="54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6"/>
      <c r="Y13" s="57"/>
      <c r="Z13" s="58"/>
      <c r="AA13" s="58"/>
      <c r="AB13" s="59"/>
      <c r="AF13" s="50" t="s">
        <v>11</v>
      </c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</row>
    <row r="14" spans="2:247" ht="23.25" customHeight="1" x14ac:dyDescent="0.25">
      <c r="C14" s="51"/>
      <c r="D14" s="52"/>
      <c r="E14" s="52"/>
      <c r="F14" s="53"/>
      <c r="G14" s="54" t="s">
        <v>128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6"/>
      <c r="Y14" s="11"/>
      <c r="Z14" s="12"/>
      <c r="AA14" s="12"/>
      <c r="AB14" s="13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2:247" ht="23.25" customHeight="1" x14ac:dyDescent="0.25">
      <c r="C15" s="51"/>
      <c r="D15" s="52"/>
      <c r="E15" s="52"/>
      <c r="F15" s="53"/>
      <c r="G15" s="54" t="s">
        <v>129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6"/>
      <c r="Y15" s="51"/>
      <c r="Z15" s="52"/>
      <c r="AA15" s="52"/>
      <c r="AB15" s="53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2:247" ht="23.25" customHeight="1" x14ac:dyDescent="0.25">
      <c r="C16" s="51"/>
      <c r="D16" s="52"/>
      <c r="E16" s="52"/>
      <c r="F16" s="53"/>
      <c r="G16" s="54" t="s">
        <v>130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51"/>
      <c r="Z16" s="52"/>
      <c r="AA16" s="52"/>
      <c r="AB16" s="53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3:45" ht="23.25" customHeight="1" x14ac:dyDescent="0.25">
      <c r="C17" s="51"/>
      <c r="D17" s="52"/>
      <c r="E17" s="52"/>
      <c r="F17" s="53"/>
      <c r="G17" s="54" t="s">
        <v>131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6"/>
      <c r="Y17" s="6"/>
      <c r="Z17" s="7"/>
      <c r="AA17" s="7"/>
      <c r="AB17" s="8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3:45" ht="23.25" customHeight="1" x14ac:dyDescent="0.25">
      <c r="C18" s="51"/>
      <c r="D18" s="52"/>
      <c r="E18" s="52"/>
      <c r="F18" s="53"/>
      <c r="G18" s="54" t="s">
        <v>132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6"/>
      <c r="Y18" s="6"/>
      <c r="Z18" s="7"/>
      <c r="AA18" s="7"/>
      <c r="AB18" s="8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3:45" ht="23.25" customHeight="1" x14ac:dyDescent="0.25">
      <c r="C19" s="60"/>
      <c r="D19" s="61"/>
      <c r="E19" s="61"/>
      <c r="F19" s="62"/>
      <c r="G19" s="54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6"/>
      <c r="Y19" s="6"/>
      <c r="Z19" s="7"/>
      <c r="AA19" s="7"/>
      <c r="AB19" s="8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3:45" ht="23.25" customHeight="1" x14ac:dyDescent="0.25">
      <c r="C20" s="51"/>
      <c r="D20" s="52"/>
      <c r="E20" s="52"/>
      <c r="F20" s="53"/>
      <c r="G20" s="54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6"/>
      <c r="Y20" s="51"/>
      <c r="Z20" s="52"/>
      <c r="AA20" s="52"/>
      <c r="AB20" s="53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3:45" ht="23.25" customHeight="1" x14ac:dyDescent="0.25">
      <c r="C21" s="51" t="s">
        <v>119</v>
      </c>
      <c r="D21" s="52"/>
      <c r="E21" s="52"/>
      <c r="F21" s="53"/>
      <c r="G21" s="54" t="s">
        <v>134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6"/>
      <c r="Y21" s="6"/>
      <c r="Z21" s="7"/>
      <c r="AA21" s="7"/>
      <c r="AB21" s="8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3:45" ht="23.25" customHeight="1" x14ac:dyDescent="0.25">
      <c r="C22" s="51"/>
      <c r="D22" s="52"/>
      <c r="E22" s="52"/>
      <c r="F22" s="53"/>
      <c r="G22" s="54" t="s">
        <v>135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6"/>
      <c r="Y22" s="6"/>
      <c r="Z22" s="7"/>
      <c r="AA22" s="7"/>
      <c r="AB22" s="8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3:45" ht="23.25" customHeight="1" x14ac:dyDescent="0.25">
      <c r="C23" s="51"/>
      <c r="D23" s="52"/>
      <c r="E23" s="52"/>
      <c r="F23" s="53"/>
      <c r="G23" s="54" t="s">
        <v>136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6"/>
      <c r="Y23" s="6"/>
      <c r="Z23" s="7"/>
      <c r="AA23" s="7"/>
      <c r="AB23" s="8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3:45" ht="23.25" customHeight="1" x14ac:dyDescent="0.25">
      <c r="C24" s="60"/>
      <c r="D24" s="61"/>
      <c r="E24" s="61"/>
      <c r="F24" s="62"/>
      <c r="G24" s="54" t="s">
        <v>137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6"/>
      <c r="Y24" s="6"/>
      <c r="Z24" s="7"/>
      <c r="AA24" s="7"/>
      <c r="AB24" s="8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3:45" ht="23.25" customHeight="1" x14ac:dyDescent="0.25">
      <c r="C25" s="60"/>
      <c r="D25" s="61"/>
      <c r="E25" s="61"/>
      <c r="F25" s="62"/>
      <c r="G25" s="54" t="s">
        <v>138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  <c r="Y25" s="51"/>
      <c r="Z25" s="52"/>
      <c r="AA25" s="52"/>
      <c r="AB25" s="53"/>
    </row>
    <row r="26" spans="3:45" ht="23.25" customHeight="1" x14ac:dyDescent="0.25">
      <c r="C26" s="51"/>
      <c r="D26" s="52"/>
      <c r="E26" s="52"/>
      <c r="F26" s="53"/>
      <c r="G26" s="54" t="s">
        <v>139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6"/>
      <c r="Y26" s="51"/>
      <c r="Z26" s="52"/>
      <c r="AA26" s="52"/>
      <c r="AB26" s="53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3:45" ht="23.25" customHeight="1" x14ac:dyDescent="0.25">
      <c r="C27" s="51"/>
      <c r="D27" s="52"/>
      <c r="E27" s="52"/>
      <c r="F27" s="53"/>
      <c r="G27" s="54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6"/>
      <c r="Y27" s="51"/>
      <c r="Z27" s="52"/>
      <c r="AA27" s="52"/>
      <c r="AB27" s="53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 spans="3:45" ht="23.25" customHeight="1" x14ac:dyDescent="0.25">
      <c r="C28" s="51"/>
      <c r="D28" s="52"/>
      <c r="E28" s="52"/>
      <c r="F28" s="53"/>
      <c r="G28" s="54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6"/>
      <c r="Y28" s="6"/>
      <c r="Z28" s="7"/>
      <c r="AA28" s="7"/>
      <c r="AB28" s="8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3:45" ht="23.25" customHeight="1" x14ac:dyDescent="0.25">
      <c r="C29" s="51" t="s">
        <v>140</v>
      </c>
      <c r="D29" s="52"/>
      <c r="E29" s="52"/>
      <c r="F29" s="53"/>
      <c r="G29" s="54" t="s">
        <v>141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6"/>
      <c r="Y29" s="6"/>
      <c r="Z29" s="7"/>
      <c r="AA29" s="7"/>
      <c r="AB29" s="8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3:45" ht="23.25" customHeight="1" x14ac:dyDescent="0.25">
      <c r="C30" s="6"/>
      <c r="D30" s="7"/>
      <c r="E30" s="7"/>
      <c r="F30" s="8"/>
      <c r="G30" s="54" t="s">
        <v>144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6"/>
      <c r="Y30" s="6"/>
      <c r="Z30" s="7"/>
      <c r="AA30" s="7"/>
      <c r="AB30" s="8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3:45" ht="23.25" customHeight="1" x14ac:dyDescent="0.25">
      <c r="C31" s="60"/>
      <c r="D31" s="61"/>
      <c r="E31" s="61"/>
      <c r="F31" s="62"/>
      <c r="G31" s="54" t="s">
        <v>145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6"/>
      <c r="Y31" s="6"/>
      <c r="Z31" s="7"/>
      <c r="AA31" s="7"/>
      <c r="AB31" s="8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</row>
    <row r="32" spans="3:45" ht="23.25" customHeight="1" x14ac:dyDescent="0.25">
      <c r="C32" s="51"/>
      <c r="D32" s="52"/>
      <c r="E32" s="52"/>
      <c r="F32" s="53"/>
      <c r="G32" s="54" t="s">
        <v>142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6"/>
      <c r="Y32" s="51"/>
      <c r="Z32" s="52"/>
      <c r="AA32" s="52"/>
      <c r="AB32" s="53"/>
    </row>
    <row r="33" spans="3:45" ht="23.25" customHeight="1" x14ac:dyDescent="0.25">
      <c r="C33" s="60"/>
      <c r="D33" s="61"/>
      <c r="E33" s="61"/>
      <c r="F33" s="62"/>
      <c r="G33" s="54" t="s">
        <v>143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6"/>
      <c r="Y33" s="11"/>
      <c r="Z33" s="12"/>
      <c r="AA33" s="12"/>
      <c r="AB33" s="13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3:45" ht="23.25" customHeight="1" x14ac:dyDescent="0.25">
      <c r="C34" s="60"/>
      <c r="D34" s="61"/>
      <c r="E34" s="61"/>
      <c r="F34" s="62"/>
      <c r="G34" s="54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6"/>
      <c r="Y34" s="11"/>
      <c r="Z34" s="12"/>
      <c r="AA34" s="12"/>
      <c r="AB34" s="13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3:45" ht="23.25" customHeight="1" x14ac:dyDescent="0.25">
      <c r="C35" s="51"/>
      <c r="D35" s="52"/>
      <c r="E35" s="52"/>
      <c r="F35" s="53"/>
      <c r="G35" s="54" t="s">
        <v>147</v>
      </c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6"/>
      <c r="Y35" s="11"/>
      <c r="Z35" s="12"/>
      <c r="AA35" s="12"/>
      <c r="AB35" s="13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3:45" ht="23.25" customHeight="1" x14ac:dyDescent="0.25">
      <c r="C36" s="63"/>
      <c r="D36" s="64"/>
      <c r="E36" s="64"/>
      <c r="F36" s="65"/>
      <c r="G36" s="54" t="s">
        <v>146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6"/>
      <c r="Y36" s="6"/>
      <c r="Z36" s="7"/>
      <c r="AA36" s="7"/>
      <c r="AB36" s="8"/>
      <c r="AD36" s="2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3:45" ht="23.25" customHeight="1" x14ac:dyDescent="0.25">
      <c r="C37" s="63"/>
      <c r="D37" s="64"/>
      <c r="E37" s="64"/>
      <c r="F37" s="65"/>
      <c r="G37" s="5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6"/>
      <c r="Y37" s="6"/>
      <c r="Z37" s="7"/>
      <c r="AA37" s="7"/>
      <c r="AB37" s="8"/>
      <c r="AD37" s="2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3:45" ht="23.25" customHeight="1" x14ac:dyDescent="0.25">
      <c r="C38" s="63"/>
      <c r="D38" s="64"/>
      <c r="E38" s="64"/>
      <c r="F38" s="65"/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6"/>
      <c r="Y38" s="6"/>
      <c r="Z38" s="7"/>
      <c r="AA38" s="7"/>
      <c r="AB38" s="8"/>
      <c r="AD38" s="2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3:45" ht="23.25" customHeight="1" thickBot="1" x14ac:dyDescent="0.3">
      <c r="C39" s="78"/>
      <c r="D39" s="79"/>
      <c r="E39" s="79"/>
      <c r="F39" s="80"/>
      <c r="G39" s="54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6"/>
      <c r="Y39" s="15"/>
      <c r="Z39" s="16"/>
      <c r="AA39" s="16"/>
      <c r="AB39" s="17"/>
      <c r="AD39" s="2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</row>
    <row r="40" spans="3:45" ht="20.100000000000001" customHeight="1" x14ac:dyDescent="0.25">
      <c r="C40" s="81" t="s">
        <v>12</v>
      </c>
      <c r="D40" s="84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6"/>
      <c r="AC40" s="1" t="s">
        <v>13</v>
      </c>
    </row>
    <row r="41" spans="3:45" ht="20.100000000000001" customHeight="1" x14ac:dyDescent="0.25">
      <c r="C41" s="82"/>
      <c r="D41" s="87" t="s">
        <v>99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9"/>
    </row>
    <row r="42" spans="3:45" ht="20.100000000000001" customHeight="1" x14ac:dyDescent="0.25">
      <c r="C42" s="82"/>
      <c r="D42" s="87" t="s">
        <v>100</v>
      </c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9"/>
    </row>
    <row r="43" spans="3:45" ht="20.100000000000001" customHeight="1" thickBot="1" x14ac:dyDescent="0.3">
      <c r="C43" s="83"/>
      <c r="D43" s="90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2"/>
    </row>
    <row r="44" spans="3:45" ht="18" customHeight="1" x14ac:dyDescent="0.25">
      <c r="C44" s="66" t="s">
        <v>14</v>
      </c>
      <c r="D44" s="69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1"/>
    </row>
    <row r="45" spans="3:45" ht="18" customHeight="1" x14ac:dyDescent="0.25">
      <c r="C45" s="67"/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20"/>
    </row>
    <row r="46" spans="3:45" ht="18" customHeight="1" x14ac:dyDescent="0.25">
      <c r="C46" s="67"/>
      <c r="D46" s="72" t="s">
        <v>0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4"/>
    </row>
    <row r="47" spans="3:45" ht="18" customHeight="1" thickBot="1" x14ac:dyDescent="0.3">
      <c r="C47" s="68"/>
      <c r="D47" s="75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</row>
  </sheetData>
  <mergeCells count="97">
    <mergeCell ref="C37:F37"/>
    <mergeCell ref="G37:X37"/>
    <mergeCell ref="C44:C47"/>
    <mergeCell ref="D44:AB44"/>
    <mergeCell ref="D46:AB46"/>
    <mergeCell ref="D47:AB47"/>
    <mergeCell ref="C38:F38"/>
    <mergeCell ref="G38:X38"/>
    <mergeCell ref="C39:F39"/>
    <mergeCell ref="G39:X39"/>
    <mergeCell ref="C40:C43"/>
    <mergeCell ref="D40:AB40"/>
    <mergeCell ref="D41:AB41"/>
    <mergeCell ref="D42:AB42"/>
    <mergeCell ref="D43:AB43"/>
    <mergeCell ref="Y32:AB32"/>
    <mergeCell ref="C33:F33"/>
    <mergeCell ref="G33:X33"/>
    <mergeCell ref="G35:X35"/>
    <mergeCell ref="C36:F36"/>
    <mergeCell ref="G36:X36"/>
    <mergeCell ref="C35:F35"/>
    <mergeCell ref="C34:F34"/>
    <mergeCell ref="G34:X34"/>
    <mergeCell ref="C28:F28"/>
    <mergeCell ref="G28:X28"/>
    <mergeCell ref="C29:F29"/>
    <mergeCell ref="G29:X29"/>
    <mergeCell ref="C31:F31"/>
    <mergeCell ref="G31:X31"/>
    <mergeCell ref="C32:F32"/>
    <mergeCell ref="G32:X32"/>
    <mergeCell ref="G30:X30"/>
    <mergeCell ref="C26:F26"/>
    <mergeCell ref="G26:X26"/>
    <mergeCell ref="Y26:AB26"/>
    <mergeCell ref="C27:F27"/>
    <mergeCell ref="G27:X27"/>
    <mergeCell ref="Y27:AB27"/>
    <mergeCell ref="C24:F24"/>
    <mergeCell ref="G24:X24"/>
    <mergeCell ref="C25:F25"/>
    <mergeCell ref="G25:X25"/>
    <mergeCell ref="Y25:AB25"/>
    <mergeCell ref="Y20:AB20"/>
    <mergeCell ref="C21:F21"/>
    <mergeCell ref="G21:X21"/>
    <mergeCell ref="C23:F23"/>
    <mergeCell ref="G23:X23"/>
    <mergeCell ref="C22:F22"/>
    <mergeCell ref="G22:X22"/>
    <mergeCell ref="C17:F17"/>
    <mergeCell ref="G17:X17"/>
    <mergeCell ref="C18:F18"/>
    <mergeCell ref="G18:X18"/>
    <mergeCell ref="C19:F19"/>
    <mergeCell ref="G19:X19"/>
    <mergeCell ref="C20:F20"/>
    <mergeCell ref="G20:X20"/>
    <mergeCell ref="G14:X14"/>
    <mergeCell ref="C15:F15"/>
    <mergeCell ref="G15:X15"/>
    <mergeCell ref="Y15:AB15"/>
    <mergeCell ref="C16:F16"/>
    <mergeCell ref="G16:X16"/>
    <mergeCell ref="Y16:AB16"/>
    <mergeCell ref="C14:F14"/>
    <mergeCell ref="C9:F9"/>
    <mergeCell ref="G9:X9"/>
    <mergeCell ref="Y9:AB9"/>
    <mergeCell ref="C10:F10"/>
    <mergeCell ref="G10:X10"/>
    <mergeCell ref="C11:F11"/>
    <mergeCell ref="G11:X11"/>
    <mergeCell ref="C12:F12"/>
    <mergeCell ref="G12:X12"/>
    <mergeCell ref="C13:F13"/>
    <mergeCell ref="G13:X13"/>
    <mergeCell ref="Y13:AB13"/>
    <mergeCell ref="C7:F7"/>
    <mergeCell ref="G7:X7"/>
    <mergeCell ref="Y7:AB7"/>
    <mergeCell ref="C8:F8"/>
    <mergeCell ref="G8:X8"/>
    <mergeCell ref="Y8:AB8"/>
    <mergeCell ref="E2:Q4"/>
    <mergeCell ref="T2:T6"/>
    <mergeCell ref="U2:V2"/>
    <mergeCell ref="W2:X2"/>
    <mergeCell ref="Y2:Z2"/>
    <mergeCell ref="C5:S5"/>
    <mergeCell ref="AA2:AB2"/>
    <mergeCell ref="U3:V6"/>
    <mergeCell ref="W3:X6"/>
    <mergeCell ref="Y3:Z6"/>
    <mergeCell ref="AA3:AB6"/>
  </mergeCells>
  <phoneticPr fontId="2" type="noConversion"/>
  <printOptions horizontalCentered="1" verticalCentered="1"/>
  <pageMargins left="0.51" right="0.51" top="0.55000000000000004" bottom="0.55000000000000004" header="0.31" footer="0.31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03</vt:lpstr>
      <vt:lpstr>04</vt:lpstr>
      <vt:lpstr>05</vt:lpstr>
      <vt:lpstr>07</vt:lpstr>
      <vt:lpstr>10</vt:lpstr>
      <vt:lpstr>11</vt:lpstr>
      <vt:lpstr>03!Print_Area</vt:lpstr>
      <vt:lpstr>04!Print_Area</vt:lpstr>
      <vt:lpstr>05!Print_Area</vt:lpstr>
      <vt:lpstr>07!Print_Area</vt:lpstr>
      <vt:lpstr>10!Print_Area</vt:lpstr>
      <vt:lpstr>11!Print_Area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맥북프로 m1</dc:creator>
  <cp:lastModifiedBy>맥북프로 m1</cp:lastModifiedBy>
  <cp:lastPrinted>2026-08-11T22:40:14Z</cp:lastPrinted>
  <dcterms:created xsi:type="dcterms:W3CDTF">2026-08-02T21:58:23Z</dcterms:created>
  <dcterms:modified xsi:type="dcterms:W3CDTF">2026-08-13T10:14:42Z</dcterms:modified>
</cp:coreProperties>
</file>