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3D425B2-577C-4B9C-9895-E467E9166A0C}" xr6:coauthVersionLast="47" xr6:coauthVersionMax="47" xr10:uidLastSave="{00000000-0000-0000-0000-000000000000}"/>
  <bookViews>
    <workbookView xWindow="-120" yWindow="-120" windowWidth="38640" windowHeight="21120" activeTab="1" xr2:uid="{ED38CAD0-7D5D-43B8-8D70-872393D996FB}"/>
  </bookViews>
  <sheets>
    <sheet name="사업분석" sheetId="4" r:id="rId1"/>
    <sheet name="초안_v2" sheetId="2" r:id="rId2"/>
  </sheets>
  <definedNames>
    <definedName name="_xlnm.Print_Area" localSheetId="0">사업분석!$B$1:$K$39</definedName>
    <definedName name="_xlnm.Print_Area" localSheetId="1">초안_v2!$A$1:$L$109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G26" i="2"/>
  <c r="H26" i="2"/>
  <c r="D26" i="2"/>
  <c r="J26" i="2"/>
  <c r="K26" i="2"/>
  <c r="K7" i="2"/>
  <c r="K9" i="2"/>
  <c r="K6" i="2"/>
</calcChain>
</file>

<file path=xl/sharedStrings.xml><?xml version="1.0" encoding="utf-8"?>
<sst xmlns="http://schemas.openxmlformats.org/spreadsheetml/2006/main" count="160" uniqueCount="145">
  <si>
    <t>1월</t>
    <phoneticPr fontId="1" type="noConversion"/>
  </si>
  <si>
    <t>2월</t>
    <phoneticPr fontId="1" type="noConversion"/>
  </si>
  <si>
    <t>3월</t>
    <phoneticPr fontId="1" type="noConversion"/>
  </si>
  <si>
    <t xml:space="preserve">    5.</t>
  </si>
  <si>
    <t xml:space="preserve">    4.</t>
  </si>
  <si>
    <t xml:space="preserve">    3.</t>
  </si>
  <si>
    <t xml:space="preserve">    2.</t>
    <phoneticPr fontId="4" type="noConversion"/>
  </si>
  <si>
    <t xml:space="preserve">    1.</t>
    <phoneticPr fontId="4" type="noConversion"/>
  </si>
  <si>
    <t>■ 향후 추진</t>
    <phoneticPr fontId="4" type="noConversion"/>
  </si>
  <si>
    <t xml:space="preserve">    10.</t>
  </si>
  <si>
    <t xml:space="preserve">    9.</t>
  </si>
  <si>
    <t xml:space="preserve">    8.</t>
  </si>
  <si>
    <t xml:space="preserve">    7.</t>
  </si>
  <si>
    <t xml:space="preserve">    6.</t>
  </si>
  <si>
    <t>■ 실적 / 분석</t>
    <phoneticPr fontId="4" type="noConversion"/>
  </si>
  <si>
    <t xml:space="preserve">       -</t>
    <phoneticPr fontId="4" type="noConversion"/>
  </si>
  <si>
    <t>■ 목표 / 달성</t>
    <phoneticPr fontId="4" type="noConversion"/>
  </si>
  <si>
    <t>`25년 1분기 사업분석</t>
    <phoneticPr fontId="4" type="noConversion"/>
  </si>
  <si>
    <t>구  분</t>
    <phoneticPr fontId="1" type="noConversion"/>
  </si>
  <si>
    <t>목 표</t>
    <phoneticPr fontId="1" type="noConversion"/>
  </si>
  <si>
    <t>실 적</t>
    <phoneticPr fontId="1" type="noConversion"/>
  </si>
  <si>
    <t>달성률</t>
    <phoneticPr fontId="1" type="noConversion"/>
  </si>
  <si>
    <t>합계</t>
    <phoneticPr fontId="1" type="noConversion"/>
  </si>
  <si>
    <t>▼7%</t>
    <phoneticPr fontId="1" type="noConversion"/>
  </si>
  <si>
    <t>■ 목표 / 달성</t>
    <phoneticPr fontId="1" type="noConversion"/>
  </si>
  <si>
    <t xml:space="preserve"> ※ 원인 / 분석</t>
    <phoneticPr fontId="1" type="noConversion"/>
  </si>
  <si>
    <t xml:space="preserve"> ※ 전망</t>
    <phoneticPr fontId="1" type="noConversion"/>
  </si>
  <si>
    <t>■ 실적 / 분석</t>
    <phoneticPr fontId="1" type="noConversion"/>
  </si>
  <si>
    <t>■ 2분기 추진계획</t>
    <phoneticPr fontId="1" type="noConversion"/>
  </si>
  <si>
    <t>’25년 1월</t>
    <phoneticPr fontId="1" type="noConversion"/>
  </si>
  <si>
    <t>’25년 2월</t>
    <phoneticPr fontId="1" type="noConversion"/>
  </si>
  <si>
    <t>’25년 3월</t>
    <phoneticPr fontId="1" type="noConversion"/>
  </si>
  <si>
    <t>L-O2</t>
    <phoneticPr fontId="1" type="noConversion"/>
  </si>
  <si>
    <t>L-N2</t>
    <phoneticPr fontId="1" type="noConversion"/>
  </si>
  <si>
    <t>L-AR</t>
    <phoneticPr fontId="1" type="noConversion"/>
  </si>
  <si>
    <t>L-CO2</t>
    <phoneticPr fontId="1" type="noConversion"/>
  </si>
  <si>
    <t>Gas Cylinder</t>
    <phoneticPr fontId="1" type="noConversion"/>
  </si>
  <si>
    <t>▼3%</t>
    <phoneticPr fontId="1" type="noConversion"/>
  </si>
  <si>
    <t>▲3%</t>
    <phoneticPr fontId="1" type="noConversion"/>
  </si>
  <si>
    <t>▲1%</t>
    <phoneticPr fontId="1" type="noConversion"/>
  </si>
  <si>
    <t>(단위 : TON, BT)</t>
    <phoneticPr fontId="1" type="noConversion"/>
  </si>
  <si>
    <t>구분</t>
    <phoneticPr fontId="1" type="noConversion"/>
  </si>
  <si>
    <t>전년 대비</t>
    <phoneticPr fontId="1" type="noConversion"/>
  </si>
  <si>
    <t>전년 매출</t>
    <phoneticPr fontId="1" type="noConversion"/>
  </si>
  <si>
    <t>전년 비교</t>
    <phoneticPr fontId="1" type="noConversion"/>
  </si>
  <si>
    <t>(단위 : 백만원, 부가세 별도)</t>
    <phoneticPr fontId="1" type="noConversion"/>
  </si>
  <si>
    <t>z</t>
    <phoneticPr fontId="1" type="noConversion"/>
  </si>
  <si>
    <t>’26년 1분기 사업분석</t>
    <phoneticPr fontId="1" type="noConversion"/>
  </si>
  <si>
    <t>2026년</t>
    <phoneticPr fontId="1" type="noConversion"/>
  </si>
  <si>
    <t>▼17%</t>
    <phoneticPr fontId="1" type="noConversion"/>
  </si>
  <si>
    <t>▼6%</t>
    <phoneticPr fontId="1" type="noConversion"/>
  </si>
  <si>
    <t>▲24%</t>
    <phoneticPr fontId="1" type="noConversion"/>
  </si>
  <si>
    <t>▼9%</t>
    <phoneticPr fontId="1" type="noConversion"/>
  </si>
  <si>
    <t>▲4%</t>
    <phoneticPr fontId="1" type="noConversion"/>
  </si>
  <si>
    <t>▲17%</t>
    <phoneticPr fontId="1" type="noConversion"/>
  </si>
  <si>
    <t>▲10%</t>
    <phoneticPr fontId="1" type="noConversion"/>
  </si>
  <si>
    <t>1. 26년 매출목표      : 21,461백만 / 1분기 실적 4,148백만 / 목표대비 20% 달성</t>
    <phoneticPr fontId="1" type="noConversion"/>
  </si>
  <si>
    <t xml:space="preserve">                               전년 1분기 실적 3,756백만  전년 분기 대비 10% 상승</t>
    <phoneticPr fontId="1" type="noConversion"/>
  </si>
  <si>
    <t>’26년 1월</t>
    <phoneticPr fontId="1" type="noConversion"/>
  </si>
  <si>
    <t>’26년 2월</t>
    <phoneticPr fontId="1" type="noConversion"/>
  </si>
  <si>
    <t>’26년 3월</t>
    <phoneticPr fontId="1" type="noConversion"/>
  </si>
  <si>
    <t>□ 영업1팀</t>
    <phoneticPr fontId="1" type="noConversion"/>
  </si>
  <si>
    <t>□ 영업2팀</t>
    <phoneticPr fontId="1" type="noConversion"/>
  </si>
  <si>
    <t>LPG</t>
    <phoneticPr fontId="1" type="noConversion"/>
  </si>
  <si>
    <t>Bulk 합계</t>
    <phoneticPr fontId="1" type="noConversion"/>
  </si>
  <si>
    <t>▼10%</t>
    <phoneticPr fontId="1" type="noConversion"/>
  </si>
  <si>
    <t>▼4%</t>
    <phoneticPr fontId="1" type="noConversion"/>
  </si>
  <si>
    <t>▲80%</t>
    <phoneticPr fontId="1" type="noConversion"/>
  </si>
  <si>
    <t>▲62%</t>
    <phoneticPr fontId="1" type="noConversion"/>
  </si>
  <si>
    <t>▼80%</t>
    <phoneticPr fontId="1" type="noConversion"/>
  </si>
  <si>
    <t>▲26%</t>
    <phoneticPr fontId="1" type="noConversion"/>
  </si>
  <si>
    <t>▼5%</t>
    <phoneticPr fontId="1" type="noConversion"/>
  </si>
  <si>
    <t>▲20%</t>
    <phoneticPr fontId="1" type="noConversion"/>
  </si>
  <si>
    <t>▼32%</t>
    <phoneticPr fontId="1" type="noConversion"/>
  </si>
  <si>
    <t>▼2%</t>
    <phoneticPr fontId="1" type="noConversion"/>
  </si>
  <si>
    <t>▲38%</t>
    <phoneticPr fontId="1" type="noConversion"/>
  </si>
  <si>
    <t>▲27%</t>
    <phoneticPr fontId="1" type="noConversion"/>
  </si>
  <si>
    <t>▲32%</t>
    <phoneticPr fontId="1" type="noConversion"/>
  </si>
  <si>
    <t xml:space="preserve">   1. BULK 판매량 증가</t>
    <phoneticPr fontId="1" type="noConversion"/>
  </si>
  <si>
    <t xml:space="preserve">       • 단가 인상 적용 및 주요 거래처 판매량 증가 영향 </t>
    <phoneticPr fontId="1" type="noConversion"/>
  </si>
  <si>
    <t xml:space="preserve">       • 알곤 : 가스코아산(110톤), 라쿨, 비엘티, 가스텍 등(227톤) 사용량 증가</t>
    <phoneticPr fontId="1" type="noConversion"/>
  </si>
  <si>
    <t xml:space="preserve">       • 액탄 : 가스코아산(585톤), 아이스푸드앤바인(291톤), 윤익스디티에스(320톤), </t>
    <phoneticPr fontId="1" type="noConversion"/>
  </si>
  <si>
    <t xml:space="preserve">                  한울티엘(263톤), 에니스(668톤) 등 수요 증가</t>
    <phoneticPr fontId="1" type="noConversion"/>
  </si>
  <si>
    <t xml:space="preserve">   2. 실린더 판매량 감소</t>
    <phoneticPr fontId="1" type="noConversion"/>
  </si>
  <si>
    <t xml:space="preserve">       • He(헬륨) 및 고순도가스 수요 감소 영향</t>
    <phoneticPr fontId="1" type="noConversion"/>
  </si>
  <si>
    <t xml:space="preserve">       • 분석: 시장 수요의 Bulk 및 LGC 전환 혹은 실린더 시장 자체의 위축</t>
    <phoneticPr fontId="1" type="noConversion"/>
  </si>
  <si>
    <t xml:space="preserve">   3. 2월 하락 요인 분석</t>
    <phoneticPr fontId="1" type="noConversion"/>
  </si>
  <si>
    <t xml:space="preserve">       • 연휴 7일 영향 2월 판매량 전반적 하락</t>
    <phoneticPr fontId="1" type="noConversion"/>
  </si>
  <si>
    <t xml:space="preserve">       • 전년 대비 판매실적 10% 증가</t>
    <phoneticPr fontId="1" type="noConversion"/>
  </si>
  <si>
    <t xml:space="preserve">       • 석유화학사 및 정유사 가동률 변동 가능성 존재</t>
    <phoneticPr fontId="1" type="noConversion"/>
  </si>
  <si>
    <t xml:space="preserve">   1. 전쟁 및 국제 정세 영향에 따른 공급 변화</t>
    <phoneticPr fontId="1" type="noConversion"/>
  </si>
  <si>
    <t xml:space="preserve">   2. 액화탄산 수급 영향</t>
    <phoneticPr fontId="1" type="noConversion"/>
  </si>
  <si>
    <t xml:space="preserve">       • 석화사/정유사 가동률 증가 시 Off-gas 발생량 증가 → 액탄 생산량 확대 기대</t>
    <phoneticPr fontId="1" type="noConversion"/>
  </si>
  <si>
    <t xml:space="preserve">       • 이에 따른 액탄 판매량 증가 가능</t>
    <phoneticPr fontId="1" type="noConversion"/>
  </si>
  <si>
    <t xml:space="preserve">   3. 액화탄산 단가 인상 기회 요인</t>
    <phoneticPr fontId="1" type="noConversion"/>
  </si>
  <si>
    <t xml:space="preserve">       • 공급 불안정 또는 원가 상승 시 단가 인상 적용 가능성 존재</t>
    <phoneticPr fontId="1" type="noConversion"/>
  </si>
  <si>
    <t xml:space="preserve">       • 시장 상황에 따른 탄력적 가격 정책 운영 필요</t>
    <phoneticPr fontId="1" type="noConversion"/>
  </si>
  <si>
    <t>2. T / K 설치목표     : 1분기 4대 목표 설정</t>
    <phoneticPr fontId="1" type="noConversion"/>
  </si>
  <si>
    <t xml:space="preserve">                               * 총 4대 목표 달성</t>
    <phoneticPr fontId="1" type="noConversion"/>
  </si>
  <si>
    <t xml:space="preserve">                               * 제이아이금속 - LAr, LN2 T/K 각 1대, 비엘티 - LAr, LN2 T/K 각 1대</t>
    <phoneticPr fontId="1" type="noConversion"/>
  </si>
  <si>
    <t xml:space="preserve">         → 개별 54개 거래선 가격인상 : 월 13백만원</t>
    <phoneticPr fontId="1" type="noConversion"/>
  </si>
  <si>
    <t xml:space="preserve"> ※ 신규 수요처 개발</t>
    <phoneticPr fontId="1" type="noConversion"/>
  </si>
  <si>
    <t xml:space="preserve">   1) 디아이엔티 </t>
    <phoneticPr fontId="1" type="noConversion"/>
  </si>
  <si>
    <t xml:space="preserve">   2) 제이아이금속</t>
    <phoneticPr fontId="1" type="noConversion"/>
  </si>
  <si>
    <t xml:space="preserve">   3) 비엘티 신규공장</t>
    <phoneticPr fontId="1" type="noConversion"/>
  </si>
  <si>
    <t xml:space="preserve">   4) 세종산업가스(세종)</t>
    <phoneticPr fontId="1" type="noConversion"/>
  </si>
  <si>
    <t xml:space="preserve">   5) 한국특수가스(안산)</t>
    <phoneticPr fontId="1" type="noConversion"/>
  </si>
  <si>
    <t xml:space="preserve">   6) 대성가스텍(화성)</t>
    <phoneticPr fontId="1" type="noConversion"/>
  </si>
  <si>
    <t xml:space="preserve">     • 태광산업가스(이천) - 영신쿼츠(진천) LO2 월 130톤 5년 재계약 </t>
    <phoneticPr fontId="1" type="noConversion"/>
  </si>
  <si>
    <t xml:space="preserve">     • 알곤 LGC, 알곤 실린더 주력 월200만 매출 전망</t>
    <phoneticPr fontId="1" type="noConversion"/>
  </si>
  <si>
    <t xml:space="preserve">     • 용인 SK하이닉스 공사현장 가스공급 확정</t>
    <phoneticPr fontId="1" type="noConversion"/>
  </si>
  <si>
    <t xml:space="preserve">     • LAR , LN2 BURK  월 8톤 사용</t>
    <phoneticPr fontId="1" type="noConversion"/>
  </si>
  <si>
    <t xml:space="preserve">     • LAR (월5톤) LN2 BURK(10톤) 사용</t>
    <phoneticPr fontId="1" type="noConversion"/>
  </si>
  <si>
    <t xml:space="preserve">      • 세종가스켐(신탄진) LCO2 월 8톤 공급</t>
    <phoneticPr fontId="1" type="noConversion"/>
  </si>
  <si>
    <t xml:space="preserve">      • He(5N) 월 40병 공급 , ￦164,000/병</t>
    <phoneticPr fontId="1" type="noConversion"/>
  </si>
  <si>
    <t xml:space="preserve">      • Ar(6N) 30병 공급 , ￦55,000/병</t>
    <phoneticPr fontId="1" type="noConversion"/>
  </si>
  <si>
    <t xml:space="preserve">     • 모베이스전자(수원) - LN2 월 25톤</t>
    <phoneticPr fontId="1" type="noConversion"/>
  </si>
  <si>
    <t xml:space="preserve">     • LCO2 시장 수급 불균형에 따른 가격 조정 및 신규 매출 확보</t>
    <phoneticPr fontId="1" type="noConversion"/>
  </si>
  <si>
    <t xml:space="preserve">     • 대한산업가스 : 하나엘티(음성) LCO2 월 50톤 신규 판촉</t>
    <phoneticPr fontId="1" type="noConversion"/>
  </si>
  <si>
    <t xml:space="preserve">     • 대한산업가스 : 동광복층유리(천안) LAR 월 8톤 신규 판촉</t>
    <phoneticPr fontId="1" type="noConversion"/>
  </si>
  <si>
    <t xml:space="preserve">     • 대흥정공(서산) :  LAR 월 16톤, LCO2 신규 판촉</t>
    <phoneticPr fontId="1" type="noConversion"/>
  </si>
  <si>
    <t xml:space="preserve">     • 디아이지에어가스(안산) : LCO2 20톤 신규 판촉</t>
    <phoneticPr fontId="1" type="noConversion"/>
  </si>
  <si>
    <t xml:space="preserve">   1.액탄</t>
    <phoneticPr fontId="1" type="noConversion"/>
  </si>
  <si>
    <t xml:space="preserve">      - 수익성 개선: 원가 상승분을 단가에 전가함으로써 영업이익률 저하 방지.</t>
    <phoneticPr fontId="1" type="noConversion"/>
  </si>
  <si>
    <t xml:space="preserve">      - 신뢰도 제고: 불안정한 시장 상황 속에서도 끊김 없는 공급을 통해 파트너십 강화</t>
    <phoneticPr fontId="1" type="noConversion"/>
  </si>
  <si>
    <t xml:space="preserve">      - 시장 모니터링: 향후 원료 가스 공급이 정상화될 경우, 시장 상황에 맞춰 단가 재조정 검토</t>
    <phoneticPr fontId="1" type="noConversion"/>
  </si>
  <si>
    <t xml:space="preserve">    2.고탄</t>
    <phoneticPr fontId="1" type="noConversion"/>
  </si>
  <si>
    <t xml:space="preserve">         1) 인적자원 확보로 안정적 생산 고려</t>
    <phoneticPr fontId="1" type="noConversion"/>
  </si>
  <si>
    <t xml:space="preserve">         2) 유연한 근무 체계 도입</t>
    <phoneticPr fontId="1" type="noConversion"/>
  </si>
  <si>
    <t xml:space="preserve">         3) 공급 신뢰도 확보:  </t>
    <phoneticPr fontId="1" type="noConversion"/>
  </si>
  <si>
    <t xml:space="preserve">             • 전문 생산 인력 채용:설비 운용 숙련도 향상을 위한 고급인력 충원</t>
    <phoneticPr fontId="1" type="noConversion"/>
  </si>
  <si>
    <t xml:space="preserve">             • 하절기 수요 폭증기에 대비한 2교대 또는 3교대 근무 편성으로 설비 가동률 100% 유지</t>
    <phoneticPr fontId="1" type="noConversion"/>
  </si>
  <si>
    <t xml:space="preserve">            안정적인 공급 역량을 입증하여 장기적 시장 점유율 확대</t>
    <phoneticPr fontId="1" type="noConversion"/>
  </si>
  <si>
    <t xml:space="preserve">     • 앤이티 : He 고순도 실린더 월 60병 외 반도체 Mix gas(HF, NH3, NF3 등)</t>
    <phoneticPr fontId="1" type="noConversion"/>
  </si>
  <si>
    <t xml:space="preserve">     • 제일이엔지 : 분석장비 환경가스 판촉(NO, SO2, CO2 / N2 Bal 실린더 KOKAS 인증 월 30병)</t>
    <phoneticPr fontId="1" type="noConversion"/>
  </si>
  <si>
    <t xml:space="preserve">     • 명성씨엠아이 : NO 외 신규 공정 돌입(NH3, HCl, HF 등)</t>
    <phoneticPr fontId="1" type="noConversion"/>
  </si>
  <si>
    <t xml:space="preserve">     • 명인제약 : 신규 제약 개발 실험 가스 판촉(CH3CHO, C2H5OH, NH3)</t>
    <phoneticPr fontId="1" type="noConversion"/>
  </si>
  <si>
    <t xml:space="preserve">     • 동미전기공업 (화성) : LAr 10톤 신규 판촉</t>
    <phoneticPr fontId="1" type="noConversion"/>
  </si>
  <si>
    <t xml:space="preserve"> ※ 재계약 추진 건</t>
    <phoneticPr fontId="1" type="noConversion"/>
  </si>
  <si>
    <t xml:space="preserve">   1) Bulk 신규 판촉</t>
    <phoneticPr fontId="1" type="noConversion"/>
  </si>
  <si>
    <t xml:space="preserve">   2) Cylinder 신규 판촉(고순도 및 특수가스, Mix gas)</t>
    <phoneticPr fontId="1" type="noConversion"/>
  </si>
  <si>
    <t xml:space="preserve">   3) 악성채권 관리 강화</t>
    <phoneticPr fontId="1" type="noConversion"/>
  </si>
  <si>
    <t xml:space="preserve">   4) 채권 회수 기일 단축 조정</t>
    <phoneticPr fontId="1" type="noConversion"/>
  </si>
  <si>
    <t xml:space="preserve">     • 가스텍, 보성엔지니어링 외</t>
    <phoneticPr fontId="1" type="noConversion"/>
  </si>
  <si>
    <t xml:space="preserve">     • 태광산업가스, 영신코아스, 영신방재 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</si>
</sst>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4"/>
      <color theme="1"/>
      <name val="바탕"/>
      <family val="1"/>
      <charset val="129"/>
    </font>
    <font>
      <sz val="8"/>
      <name val="맑은 고딕"/>
      <family val="3"/>
      <charset val="129"/>
      <scheme val="minor"/>
    </font>
    <font>
      <b/>
      <sz val="14"/>
      <color theme="1"/>
      <name val="바탕"/>
      <family val="1"/>
      <charset val="129"/>
    </font>
    <font>
      <b/>
      <sz val="11"/>
      <color theme="1"/>
      <name val="바탕"/>
      <family val="1"/>
      <charset val="129"/>
    </font>
    <font>
      <b/>
      <u/>
      <sz val="24"/>
      <color theme="1"/>
      <name val="바탕"/>
      <family val="1"/>
      <charset val="129"/>
    </font>
    <font>
      <sz val="11"/>
      <color theme="1"/>
      <name val="맑은 고딕"/>
      <family val="2"/>
      <charset val="129"/>
      <scheme val="minor"/>
    </font>
    <font>
      <b/>
      <u/>
      <sz val="26"/>
      <color theme="1"/>
      <name val="바탕"/>
      <family val="1"/>
      <charset val="129"/>
    </font>
    <font>
      <sz val="11"/>
      <color theme="1"/>
      <name val="바탕"/>
      <family val="1"/>
      <charset val="129"/>
    </font>
    <font>
      <b/>
      <sz val="14"/>
      <color rgb="FF000000"/>
      <name val="바탕"/>
      <family val="1"/>
      <charset val="129"/>
    </font>
    <font>
      <sz val="12"/>
      <color theme="1"/>
      <name val="바탕"/>
      <family val="1"/>
      <charset val="129"/>
    </font>
    <font>
      <b/>
      <sz val="12"/>
      <color theme="1"/>
      <name val="바탕"/>
      <family val="1"/>
      <charset val="129"/>
    </font>
    <font>
      <b/>
      <sz val="16"/>
      <color rgb="FF000000"/>
      <name val="바탕"/>
      <family val="1"/>
      <charset val="129"/>
    </font>
    <font>
      <b/>
      <sz val="15"/>
      <color rgb="FF000000"/>
      <name val="바탕"/>
      <family val="1"/>
      <charset val="129"/>
    </font>
    <font>
      <b/>
      <sz val="12"/>
      <color rgb="FF000000"/>
      <name val="바탕"/>
      <family val="1"/>
      <charset val="129"/>
    </font>
    <font>
      <b/>
      <sz val="16"/>
      <color theme="1"/>
      <name val="바탕"/>
      <family val="1"/>
      <charset val="129"/>
    </font>
    <font>
      <sz val="16"/>
      <color theme="1"/>
      <name val="바탕"/>
      <family val="1"/>
      <charset val="129"/>
    </font>
    <font>
      <b/>
      <sz val="16"/>
      <color rgb="FF0070C0"/>
      <name val="바탕"/>
      <family val="1"/>
      <charset val="129"/>
    </font>
    <font>
      <b/>
      <sz val="16"/>
      <color rgb="FFFF0000"/>
      <name val="바탕"/>
      <family val="1"/>
      <charset val="129"/>
    </font>
    <font>
      <b/>
      <sz val="18"/>
      <color theme="1"/>
      <name val="바탕"/>
      <family val="1"/>
      <charset val="129"/>
    </font>
    <font>
      <sz val="18"/>
      <color theme="1"/>
      <name val="바탕"/>
      <family val="1"/>
      <charset val="129"/>
    </font>
    <font>
      <b/>
      <sz val="15"/>
      <color theme="1"/>
      <name val="바탕"/>
      <family val="1"/>
      <charset val="129"/>
    </font>
    <font>
      <sz val="20"/>
      <color theme="1"/>
      <name val="바탕"/>
      <family val="1"/>
      <charset val="129"/>
    </font>
    <font>
      <b/>
      <u/>
      <sz val="36"/>
      <color theme="1"/>
      <name val="바탕"/>
      <family val="1"/>
      <charset val="129"/>
    </font>
    <font>
      <b/>
      <sz val="24"/>
      <color rgb="FF000000"/>
      <name val="바탕"/>
      <family val="1"/>
      <charset val="129"/>
    </font>
    <font>
      <sz val="24"/>
      <color theme="1"/>
      <name val="바탕"/>
      <family val="1"/>
      <charset val="129"/>
    </font>
    <font>
      <b/>
      <sz val="20"/>
      <color theme="1"/>
      <name val="바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41" fontId="8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2" fillId="0" borderId="0" xfId="1" applyAlignment="1">
      <alignment vertical="center"/>
    </xf>
    <xf numFmtId="49" fontId="3" fillId="0" borderId="0" xfId="1" applyNumberFormat="1" applyFont="1" applyAlignment="1">
      <alignment vertical="center"/>
    </xf>
    <xf numFmtId="0" fontId="5" fillId="0" borderId="0" xfId="1" applyFont="1" applyAlignment="1">
      <alignment vertical="center"/>
    </xf>
    <xf numFmtId="0" fontId="9" fillId="2" borderId="0" xfId="0" quotePrefix="1" applyFont="1" applyFill="1">
      <alignment vertical="center"/>
    </xf>
    <xf numFmtId="0" fontId="10" fillId="2" borderId="0" xfId="0" applyFont="1" applyFill="1">
      <alignment vertical="center"/>
    </xf>
    <xf numFmtId="0" fontId="11" fillId="2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5" fillId="2" borderId="0" xfId="0" applyFont="1" applyFill="1" applyAlignment="1">
      <alignment horizontal="right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8" fillId="2" borderId="0" xfId="0" applyFont="1" applyFill="1">
      <alignment vertical="center"/>
    </xf>
    <xf numFmtId="0" fontId="17" fillId="2" borderId="0" xfId="0" applyFont="1" applyFill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41" fontId="17" fillId="2" borderId="10" xfId="2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  <xf numFmtId="0" fontId="21" fillId="2" borderId="0" xfId="0" applyFont="1" applyFill="1">
      <alignment vertical="center"/>
    </xf>
    <xf numFmtId="0" fontId="22" fillId="2" borderId="0" xfId="0" applyFont="1" applyFill="1">
      <alignment vertical="center"/>
    </xf>
    <xf numFmtId="0" fontId="12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23" fillId="2" borderId="0" xfId="0" applyFont="1" applyFill="1">
      <alignment vertical="center"/>
    </xf>
    <xf numFmtId="0" fontId="24" fillId="2" borderId="0" xfId="0" applyFont="1" applyFill="1">
      <alignment vertical="center"/>
    </xf>
    <xf numFmtId="0" fontId="24" fillId="2" borderId="0" xfId="0" applyFont="1" applyFill="1" applyAlignment="1">
      <alignment vertical="top"/>
    </xf>
    <xf numFmtId="0" fontId="25" fillId="2" borderId="0" xfId="0" quotePrefix="1" applyFont="1" applyFill="1" applyAlignment="1">
      <alignment horizontal="center" vertical="center"/>
    </xf>
    <xf numFmtId="0" fontId="27" fillId="2" borderId="0" xfId="0" applyFont="1" applyFill="1">
      <alignment vertical="center"/>
    </xf>
    <xf numFmtId="0" fontId="20" fillId="4" borderId="10" xfId="0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/>
    </xf>
    <xf numFmtId="41" fontId="20" fillId="4" borderId="10" xfId="0" applyNumberFormat="1" applyFont="1" applyFill="1" applyBorder="1" applyAlignment="1">
      <alignment horizontal="center" vertical="center"/>
    </xf>
    <xf numFmtId="41" fontId="17" fillId="0" borderId="10" xfId="2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8" fillId="2" borderId="0" xfId="0" applyFont="1" applyFill="1">
      <alignment vertical="center"/>
    </xf>
    <xf numFmtId="0" fontId="24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0" fontId="1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176" fontId="17" fillId="2" borderId="1" xfId="0" applyNumberFormat="1" applyFont="1" applyFill="1" applyBorder="1" applyAlignment="1">
      <alignment horizontal="center" vertical="center"/>
    </xf>
    <xf numFmtId="176" fontId="17" fillId="2" borderId="0" xfId="0" applyNumberFormat="1" applyFont="1" applyFill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176" fontId="17" fillId="3" borderId="9" xfId="0" applyNumberFormat="1" applyFont="1" applyFill="1" applyBorder="1" applyAlignment="1">
      <alignment horizontal="center" vertical="center"/>
    </xf>
    <xf numFmtId="176" fontId="17" fillId="3" borderId="15" xfId="0" applyNumberFormat="1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25" fillId="2" borderId="0" xfId="0" quotePrefix="1" applyFont="1" applyFill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176" fontId="17" fillId="3" borderId="13" xfId="0" applyNumberFormat="1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49" fontId="3" fillId="0" borderId="0" xfId="1" applyNumberFormat="1" applyFont="1" applyAlignment="1">
      <alignment horizontal="left" vertical="center"/>
    </xf>
  </cellXfs>
  <cellStyles count="3">
    <cellStyle name="쉼표 [0]" xfId="2" builtinId="6"/>
    <cellStyle name="표준" xfId="0" builtinId="0"/>
    <cellStyle name="표준 2" xfId="1" xr:uid="{72DC0EA4-2417-4F61-B434-EEBA68D93D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36</xdr:row>
      <xdr:rowOff>95250</xdr:rowOff>
    </xdr:from>
    <xdr:ext cx="2409825" cy="442499"/>
    <xdr:pic>
      <xdr:nvPicPr>
        <xdr:cNvPr id="2" name="그림 1">
          <a:extLst>
            <a:ext uri="{FF2B5EF4-FFF2-40B4-BE49-F238E27FC236}">
              <a16:creationId xmlns:a16="http://schemas.microsoft.com/office/drawing/2014/main" id="{8CC64B19-3DE9-472A-B5F8-542D6D61F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7639050"/>
          <a:ext cx="2409825" cy="442499"/>
        </a:xfrm>
        <a:prstGeom prst="rect">
          <a:avLst/>
        </a:prstGeom>
      </xdr:spPr>
    </xdr:pic>
    <xdr:clientData/>
  </xdr:oneCellAnchor>
  <xdr:oneCellAnchor>
    <xdr:from>
      <xdr:col>3</xdr:col>
      <xdr:colOff>257175</xdr:colOff>
      <xdr:row>5</xdr:row>
      <xdr:rowOff>266701</xdr:rowOff>
    </xdr:from>
    <xdr:ext cx="4724399" cy="2286000"/>
    <xdr:pic>
      <xdr:nvPicPr>
        <xdr:cNvPr id="3" name="그림 2">
          <a:extLst>
            <a:ext uri="{FF2B5EF4-FFF2-40B4-BE49-F238E27FC236}">
              <a16:creationId xmlns:a16="http://schemas.microsoft.com/office/drawing/2014/main" id="{95C4F921-B84F-4A87-9FFA-2ABF060C3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1257301"/>
          <a:ext cx="4724399" cy="2286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A7E3-B66E-40D5-AF0D-DC77D01D3D74}">
  <dimension ref="B1:K39"/>
  <sheetViews>
    <sheetView zoomScaleNormal="100" workbookViewId="0">
      <selection activeCell="N7" sqref="N7:S20"/>
    </sheetView>
  </sheetViews>
  <sheetFormatPr defaultRowHeight="16.5" x14ac:dyDescent="0.3"/>
  <cols>
    <col min="1" max="16384" width="9" style="1"/>
  </cols>
  <sheetData>
    <row r="1" spans="2:11" x14ac:dyDescent="0.3">
      <c r="B1" s="69" t="s">
        <v>17</v>
      </c>
      <c r="C1" s="70"/>
      <c r="D1" s="70"/>
      <c r="E1" s="70"/>
      <c r="F1" s="70"/>
      <c r="G1" s="70"/>
      <c r="H1" s="70"/>
      <c r="I1" s="70"/>
      <c r="J1" s="70"/>
      <c r="K1" s="70"/>
    </row>
    <row r="2" spans="2:11" x14ac:dyDescent="0.3">
      <c r="B2" s="70"/>
      <c r="C2" s="70"/>
      <c r="D2" s="70"/>
      <c r="E2" s="70"/>
      <c r="F2" s="70"/>
      <c r="G2" s="70"/>
      <c r="H2" s="70"/>
      <c r="I2" s="70"/>
      <c r="J2" s="70"/>
      <c r="K2" s="70"/>
    </row>
    <row r="3" spans="2:11" x14ac:dyDescent="0.3">
      <c r="B3" s="70"/>
      <c r="C3" s="70"/>
      <c r="D3" s="70"/>
      <c r="E3" s="70"/>
      <c r="F3" s="70"/>
      <c r="G3" s="70"/>
      <c r="H3" s="70"/>
      <c r="I3" s="70"/>
      <c r="J3" s="70"/>
      <c r="K3" s="70"/>
    </row>
    <row r="6" spans="2:11" ht="22.5" customHeight="1" x14ac:dyDescent="0.3">
      <c r="B6" s="3" t="s">
        <v>16</v>
      </c>
    </row>
    <row r="7" spans="2:11" ht="22.5" customHeight="1" x14ac:dyDescent="0.3">
      <c r="B7" s="2" t="s">
        <v>7</v>
      </c>
    </row>
    <row r="8" spans="2:11" ht="22.5" customHeight="1" x14ac:dyDescent="0.3">
      <c r="B8" s="2" t="s">
        <v>15</v>
      </c>
    </row>
    <row r="9" spans="2:11" ht="22.5" customHeight="1" x14ac:dyDescent="0.3">
      <c r="B9" s="2" t="s">
        <v>15</v>
      </c>
    </row>
    <row r="10" spans="2:11" ht="22.5" customHeight="1" x14ac:dyDescent="0.3">
      <c r="B10" s="2"/>
    </row>
    <row r="11" spans="2:11" ht="22.5" customHeight="1" x14ac:dyDescent="0.3">
      <c r="B11" s="2"/>
    </row>
    <row r="12" spans="2:11" ht="22.5" customHeight="1" x14ac:dyDescent="0.3">
      <c r="B12" s="2"/>
    </row>
    <row r="13" spans="2:11" ht="22.5" customHeight="1" x14ac:dyDescent="0.3">
      <c r="B13" s="2"/>
    </row>
    <row r="14" spans="2:11" ht="22.5" customHeight="1" x14ac:dyDescent="0.3">
      <c r="B14" s="2"/>
    </row>
    <row r="15" spans="2:11" ht="22.5" customHeight="1" x14ac:dyDescent="0.3">
      <c r="B15" s="3" t="s">
        <v>14</v>
      </c>
    </row>
    <row r="16" spans="2:11" ht="22.5" customHeight="1" x14ac:dyDescent="0.3">
      <c r="B16" s="72" t="s">
        <v>7</v>
      </c>
      <c r="C16" s="72"/>
      <c r="D16" s="72"/>
      <c r="E16" s="72"/>
      <c r="F16" s="72"/>
      <c r="G16" s="72"/>
      <c r="H16" s="72"/>
      <c r="I16" s="72"/>
      <c r="J16" s="72"/>
      <c r="K16" s="72"/>
    </row>
    <row r="17" spans="2:2" ht="22.5" customHeight="1" x14ac:dyDescent="0.3">
      <c r="B17" s="2" t="s">
        <v>6</v>
      </c>
    </row>
    <row r="18" spans="2:2" ht="22.5" customHeight="1" x14ac:dyDescent="0.3">
      <c r="B18" s="2" t="s">
        <v>5</v>
      </c>
    </row>
    <row r="19" spans="2:2" ht="22.5" customHeight="1" x14ac:dyDescent="0.3">
      <c r="B19" s="2" t="s">
        <v>4</v>
      </c>
    </row>
    <row r="20" spans="2:2" ht="22.5" customHeight="1" x14ac:dyDescent="0.3">
      <c r="B20" s="2" t="s">
        <v>3</v>
      </c>
    </row>
    <row r="21" spans="2:2" ht="22.5" customHeight="1" x14ac:dyDescent="0.3">
      <c r="B21" s="2" t="s">
        <v>13</v>
      </c>
    </row>
    <row r="22" spans="2:2" ht="22.5" customHeight="1" x14ac:dyDescent="0.3">
      <c r="B22" s="2" t="s">
        <v>12</v>
      </c>
    </row>
    <row r="23" spans="2:2" ht="22.5" customHeight="1" x14ac:dyDescent="0.3">
      <c r="B23" s="2" t="s">
        <v>11</v>
      </c>
    </row>
    <row r="24" spans="2:2" ht="22.5" customHeight="1" x14ac:dyDescent="0.3">
      <c r="B24" s="2" t="s">
        <v>10</v>
      </c>
    </row>
    <row r="25" spans="2:2" ht="22.5" customHeight="1" x14ac:dyDescent="0.3">
      <c r="B25" s="2" t="s">
        <v>9</v>
      </c>
    </row>
    <row r="26" spans="2:2" ht="22.5" customHeight="1" x14ac:dyDescent="0.3">
      <c r="B26" s="2"/>
    </row>
    <row r="27" spans="2:2" ht="22.5" customHeight="1" x14ac:dyDescent="0.3">
      <c r="B27" s="3" t="s">
        <v>8</v>
      </c>
    </row>
    <row r="28" spans="2:2" ht="22.5" customHeight="1" x14ac:dyDescent="0.3">
      <c r="B28" s="2" t="s">
        <v>7</v>
      </c>
    </row>
    <row r="29" spans="2:2" ht="22.5" customHeight="1" x14ac:dyDescent="0.3">
      <c r="B29" s="2" t="s">
        <v>6</v>
      </c>
    </row>
    <row r="30" spans="2:2" ht="22.5" customHeight="1" x14ac:dyDescent="0.3">
      <c r="B30" s="2" t="s">
        <v>5</v>
      </c>
    </row>
    <row r="31" spans="2:2" ht="22.5" customHeight="1" x14ac:dyDescent="0.3">
      <c r="B31" s="2" t="s">
        <v>4</v>
      </c>
    </row>
    <row r="32" spans="2:2" ht="22.5" customHeight="1" x14ac:dyDescent="0.3">
      <c r="B32" s="2" t="s">
        <v>3</v>
      </c>
    </row>
    <row r="33" spans="2:11" ht="22.5" customHeight="1" x14ac:dyDescent="0.3"/>
    <row r="34" spans="2:11" ht="22.5" customHeight="1" x14ac:dyDescent="0.3"/>
    <row r="35" spans="2:11" ht="22.5" customHeight="1" x14ac:dyDescent="0.3"/>
    <row r="36" spans="2:11" ht="22.5" customHeight="1" x14ac:dyDescent="0.3"/>
    <row r="37" spans="2:11" x14ac:dyDescent="0.3">
      <c r="B37" s="71"/>
      <c r="C37" s="71"/>
      <c r="D37" s="71"/>
      <c r="E37" s="71"/>
      <c r="F37" s="71"/>
      <c r="G37" s="71"/>
      <c r="H37" s="71"/>
      <c r="I37" s="71"/>
      <c r="J37" s="71"/>
      <c r="K37" s="71"/>
    </row>
    <row r="38" spans="2:11" x14ac:dyDescent="0.3"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spans="2:11" x14ac:dyDescent="0.3">
      <c r="B39" s="71"/>
      <c r="C39" s="71"/>
      <c r="D39" s="71"/>
      <c r="E39" s="71"/>
      <c r="F39" s="71"/>
      <c r="G39" s="71"/>
      <c r="H39" s="71"/>
      <c r="I39" s="71"/>
      <c r="J39" s="71"/>
      <c r="K39" s="71"/>
    </row>
  </sheetData>
  <mergeCells count="3">
    <mergeCell ref="B1:K3"/>
    <mergeCell ref="B37:K39"/>
    <mergeCell ref="B16:K16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541EF-0C31-4413-B52F-7348A58F1131}">
  <dimension ref="C1:Q111"/>
  <sheetViews>
    <sheetView tabSelected="1" view="pageBreakPreview" topLeftCell="A67" zoomScale="85" zoomScaleNormal="100" zoomScaleSheetLayoutView="85" workbookViewId="0">
      <selection activeCell="H78" sqref="H78"/>
    </sheetView>
  </sheetViews>
  <sheetFormatPr defaultRowHeight="13.5" x14ac:dyDescent="0.3"/>
  <cols>
    <col min="1" max="2" width="1.625" style="5" customWidth="1"/>
    <col min="3" max="3" width="20.5" style="5" customWidth="1"/>
    <col min="4" max="11" width="13.125" style="5" customWidth="1"/>
    <col min="12" max="12" width="19.25" style="5" customWidth="1"/>
    <col min="13" max="13" width="6.75" style="5" customWidth="1"/>
    <col min="14" max="16384" width="9" style="5"/>
  </cols>
  <sheetData>
    <row r="1" spans="3:13" ht="63.75" customHeight="1" x14ac:dyDescent="0.3">
      <c r="C1" s="61" t="s">
        <v>47</v>
      </c>
      <c r="D1" s="61"/>
      <c r="E1" s="61"/>
      <c r="F1" s="61"/>
      <c r="G1" s="61"/>
      <c r="H1" s="61"/>
      <c r="I1" s="61"/>
      <c r="J1" s="61"/>
      <c r="K1" s="61"/>
      <c r="L1" s="61"/>
      <c r="M1" s="4"/>
    </row>
    <row r="2" spans="3:13" ht="33.75" customHeight="1" x14ac:dyDescent="0.3">
      <c r="C2" s="37"/>
      <c r="D2" s="37"/>
      <c r="E2" s="37"/>
      <c r="F2" s="37"/>
      <c r="G2" s="37"/>
      <c r="H2" s="37"/>
      <c r="I2" s="37"/>
      <c r="J2" s="37"/>
      <c r="K2" s="37"/>
      <c r="L2" s="37"/>
      <c r="M2" s="4"/>
    </row>
    <row r="3" spans="3:13" ht="23.25" customHeight="1" x14ac:dyDescent="0.3">
      <c r="C3" s="51" t="s">
        <v>24</v>
      </c>
      <c r="D3" s="51"/>
      <c r="E3" s="6"/>
      <c r="F3" s="6"/>
      <c r="G3" s="6"/>
      <c r="H3" s="6"/>
      <c r="I3" s="6"/>
      <c r="J3" s="6"/>
      <c r="K3" s="6"/>
    </row>
    <row r="4" spans="3:13" ht="23.25" customHeight="1" x14ac:dyDescent="0.3">
      <c r="C4" s="7"/>
      <c r="D4" s="7"/>
      <c r="E4" s="49"/>
      <c r="F4" s="49"/>
      <c r="G4" s="49"/>
      <c r="H4" s="49"/>
      <c r="I4" s="8"/>
      <c r="J4" s="9"/>
      <c r="K4" s="34" t="s">
        <v>45</v>
      </c>
      <c r="L4" s="9"/>
      <c r="M4" s="10"/>
    </row>
    <row r="5" spans="3:13" ht="23.25" customHeight="1" x14ac:dyDescent="0.3">
      <c r="C5" s="60" t="s">
        <v>18</v>
      </c>
      <c r="D5" s="63"/>
      <c r="E5" s="59" t="s">
        <v>0</v>
      </c>
      <c r="F5" s="60"/>
      <c r="G5" s="59" t="s">
        <v>1</v>
      </c>
      <c r="H5" s="60"/>
      <c r="I5" s="59" t="s">
        <v>2</v>
      </c>
      <c r="J5" s="60"/>
      <c r="K5" s="59" t="s">
        <v>22</v>
      </c>
      <c r="L5" s="62"/>
      <c r="M5" s="11"/>
    </row>
    <row r="6" spans="3:13" ht="23.25" customHeight="1" x14ac:dyDescent="0.3">
      <c r="C6" s="64" t="s">
        <v>48</v>
      </c>
      <c r="D6" s="20" t="s">
        <v>19</v>
      </c>
      <c r="E6" s="52">
        <v>1538</v>
      </c>
      <c r="F6" s="52"/>
      <c r="G6" s="52">
        <v>1371</v>
      </c>
      <c r="H6" s="52"/>
      <c r="I6" s="52">
        <v>1525</v>
      </c>
      <c r="J6" s="52"/>
      <c r="K6" s="52">
        <f>E6+G6+I6</f>
        <v>4434</v>
      </c>
      <c r="L6" s="52"/>
      <c r="M6" s="12"/>
    </row>
    <row r="7" spans="3:13" ht="23.25" customHeight="1" x14ac:dyDescent="0.3">
      <c r="C7" s="65"/>
      <c r="D7" s="20" t="s">
        <v>20</v>
      </c>
      <c r="E7" s="53">
        <v>1429</v>
      </c>
      <c r="F7" s="53"/>
      <c r="G7" s="53">
        <v>1135</v>
      </c>
      <c r="H7" s="53"/>
      <c r="I7" s="53">
        <v>1584</v>
      </c>
      <c r="J7" s="53"/>
      <c r="K7" s="53">
        <f>E7+G7+I7</f>
        <v>4148</v>
      </c>
      <c r="L7" s="53"/>
      <c r="M7" s="12"/>
    </row>
    <row r="8" spans="3:13" ht="23.25" customHeight="1" x14ac:dyDescent="0.3">
      <c r="C8" s="65"/>
      <c r="D8" s="20" t="s">
        <v>21</v>
      </c>
      <c r="E8" s="54" t="s">
        <v>23</v>
      </c>
      <c r="F8" s="54"/>
      <c r="G8" s="54" t="s">
        <v>49</v>
      </c>
      <c r="H8" s="54"/>
      <c r="I8" s="54" t="s">
        <v>53</v>
      </c>
      <c r="J8" s="54"/>
      <c r="K8" s="54" t="s">
        <v>50</v>
      </c>
      <c r="L8" s="54"/>
      <c r="M8" s="12"/>
    </row>
    <row r="9" spans="3:13" ht="23.25" customHeight="1" x14ac:dyDescent="0.3">
      <c r="C9" s="65"/>
      <c r="D9" s="21" t="s">
        <v>43</v>
      </c>
      <c r="E9" s="55">
        <v>1152</v>
      </c>
      <c r="F9" s="56"/>
      <c r="G9" s="55">
        <v>1261</v>
      </c>
      <c r="H9" s="56"/>
      <c r="I9" s="55">
        <v>1343</v>
      </c>
      <c r="J9" s="56"/>
      <c r="K9" s="55">
        <f>E9+G9+I9</f>
        <v>3756</v>
      </c>
      <c r="L9" s="67"/>
      <c r="M9" s="12"/>
    </row>
    <row r="10" spans="3:13" ht="23.25" customHeight="1" x14ac:dyDescent="0.3">
      <c r="C10" s="66"/>
      <c r="D10" s="22" t="s">
        <v>44</v>
      </c>
      <c r="E10" s="57" t="s">
        <v>51</v>
      </c>
      <c r="F10" s="58"/>
      <c r="G10" s="57" t="s">
        <v>52</v>
      </c>
      <c r="H10" s="58"/>
      <c r="I10" s="57" t="s">
        <v>54</v>
      </c>
      <c r="J10" s="58"/>
      <c r="K10" s="57" t="s">
        <v>55</v>
      </c>
      <c r="L10" s="68"/>
      <c r="M10" s="12"/>
    </row>
    <row r="11" spans="3:13" ht="23.25" customHeight="1" x14ac:dyDescent="0.3"/>
    <row r="12" spans="3:13" ht="23.25" customHeight="1" x14ac:dyDescent="0.3">
      <c r="C12" s="35" t="s">
        <v>56</v>
      </c>
      <c r="D12" s="35"/>
      <c r="E12" s="7"/>
      <c r="F12" s="7"/>
      <c r="G12" s="7"/>
      <c r="H12" s="7"/>
      <c r="I12" s="7"/>
      <c r="J12" s="7"/>
      <c r="K12" s="7"/>
      <c r="L12" s="7"/>
      <c r="M12" s="7"/>
    </row>
    <row r="13" spans="3:13" ht="23.25" customHeight="1" x14ac:dyDescent="0.3">
      <c r="C13" s="35" t="s">
        <v>57</v>
      </c>
      <c r="D13" s="35"/>
      <c r="E13" s="7"/>
      <c r="F13" s="7"/>
      <c r="G13" s="7"/>
      <c r="H13" s="7"/>
      <c r="I13" s="7"/>
      <c r="J13" s="7"/>
      <c r="K13" s="7"/>
      <c r="L13" s="7"/>
      <c r="M13" s="7"/>
    </row>
    <row r="14" spans="3:13" ht="23.25" customHeight="1" x14ac:dyDescent="0.3">
      <c r="C14" s="35" t="s">
        <v>97</v>
      </c>
      <c r="D14" s="35"/>
      <c r="E14" s="7"/>
      <c r="F14" s="7"/>
      <c r="G14" s="7"/>
      <c r="H14" s="7"/>
      <c r="I14" s="7"/>
      <c r="J14" s="7"/>
      <c r="K14" s="7"/>
      <c r="L14" s="7"/>
      <c r="M14" s="7"/>
    </row>
    <row r="15" spans="3:13" ht="23.25" customHeight="1" x14ac:dyDescent="0.3">
      <c r="C15" s="35" t="s">
        <v>99</v>
      </c>
      <c r="D15" s="35"/>
      <c r="E15" s="7"/>
      <c r="F15" s="7"/>
      <c r="G15" s="7"/>
      <c r="H15" s="7"/>
      <c r="I15" s="7"/>
      <c r="J15" s="7"/>
      <c r="K15" s="7"/>
      <c r="L15" s="7"/>
      <c r="M15" s="7"/>
    </row>
    <row r="16" spans="3:13" ht="23.25" customHeight="1" x14ac:dyDescent="0.3">
      <c r="C16" s="35" t="s">
        <v>98</v>
      </c>
      <c r="D16" s="35"/>
      <c r="E16" s="7"/>
      <c r="F16" s="7"/>
      <c r="G16" s="7"/>
      <c r="H16" s="7"/>
      <c r="I16" s="7"/>
      <c r="J16" s="7"/>
      <c r="K16" s="7"/>
      <c r="L16" s="7"/>
      <c r="M16" s="7"/>
    </row>
    <row r="17" spans="3:13" ht="23.25" customHeight="1" x14ac:dyDescent="0.3"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3:13" ht="23.25" customHeight="1" x14ac:dyDescent="0.3">
      <c r="C18" s="51" t="s">
        <v>27</v>
      </c>
      <c r="D18" s="51"/>
      <c r="E18" s="14"/>
      <c r="F18" s="14"/>
      <c r="G18" s="14"/>
      <c r="H18" s="14"/>
      <c r="I18" s="14"/>
      <c r="J18" s="14"/>
      <c r="K18" s="14"/>
    </row>
    <row r="19" spans="3:13" ht="23.25" customHeight="1" x14ac:dyDescent="0.3">
      <c r="C19" s="50"/>
      <c r="D19" s="50"/>
      <c r="E19" s="15"/>
      <c r="F19" s="15"/>
      <c r="G19" s="15"/>
      <c r="H19" s="15"/>
      <c r="I19" s="15"/>
      <c r="J19" s="15"/>
      <c r="K19" s="48" t="s">
        <v>40</v>
      </c>
      <c r="L19" s="48"/>
    </row>
    <row r="20" spans="3:13" s="9" customFormat="1" ht="23.25" customHeight="1" x14ac:dyDescent="0.3">
      <c r="C20" s="23" t="s">
        <v>41</v>
      </c>
      <c r="D20" s="24" t="s">
        <v>58</v>
      </c>
      <c r="E20" s="24" t="s">
        <v>29</v>
      </c>
      <c r="F20" s="24" t="s">
        <v>42</v>
      </c>
      <c r="G20" s="24" t="s">
        <v>59</v>
      </c>
      <c r="H20" s="24" t="s">
        <v>30</v>
      </c>
      <c r="I20" s="24" t="s">
        <v>42</v>
      </c>
      <c r="J20" s="24" t="s">
        <v>60</v>
      </c>
      <c r="K20" s="24" t="s">
        <v>31</v>
      </c>
      <c r="L20" s="24" t="s">
        <v>42</v>
      </c>
    </row>
    <row r="21" spans="3:13" s="9" customFormat="1" ht="23.25" customHeight="1" x14ac:dyDescent="0.3">
      <c r="C21" s="25" t="s">
        <v>32</v>
      </c>
      <c r="D21" s="26">
        <v>470</v>
      </c>
      <c r="E21" s="26">
        <v>467</v>
      </c>
      <c r="F21" s="28" t="s">
        <v>39</v>
      </c>
      <c r="G21" s="26">
        <v>416</v>
      </c>
      <c r="H21" s="26">
        <v>618</v>
      </c>
      <c r="I21" s="27" t="s">
        <v>73</v>
      </c>
      <c r="J21" s="26">
        <v>535</v>
      </c>
      <c r="K21" s="26">
        <v>550</v>
      </c>
      <c r="L21" s="27" t="s">
        <v>37</v>
      </c>
      <c r="M21" s="16"/>
    </row>
    <row r="22" spans="3:13" s="9" customFormat="1" ht="23.25" customHeight="1" x14ac:dyDescent="0.3">
      <c r="C22" s="25" t="s">
        <v>33</v>
      </c>
      <c r="D22" s="26">
        <v>940</v>
      </c>
      <c r="E22" s="26">
        <v>801</v>
      </c>
      <c r="F22" s="28" t="s">
        <v>54</v>
      </c>
      <c r="G22" s="26">
        <v>846</v>
      </c>
      <c r="H22" s="26">
        <v>869</v>
      </c>
      <c r="I22" s="27" t="s">
        <v>74</v>
      </c>
      <c r="J22" s="26">
        <v>881</v>
      </c>
      <c r="K22" s="26">
        <v>901</v>
      </c>
      <c r="L22" s="27" t="s">
        <v>74</v>
      </c>
      <c r="M22" s="16"/>
    </row>
    <row r="23" spans="3:13" s="9" customFormat="1" ht="23.25" customHeight="1" x14ac:dyDescent="0.3">
      <c r="C23" s="25" t="s">
        <v>34</v>
      </c>
      <c r="D23" s="26">
        <v>631</v>
      </c>
      <c r="E23" s="26">
        <v>457</v>
      </c>
      <c r="F23" s="28" t="s">
        <v>75</v>
      </c>
      <c r="G23" s="26">
        <v>491</v>
      </c>
      <c r="H23" s="26">
        <v>519</v>
      </c>
      <c r="I23" s="27" t="s">
        <v>71</v>
      </c>
      <c r="J23" s="26">
        <v>651</v>
      </c>
      <c r="K23" s="26">
        <v>511</v>
      </c>
      <c r="L23" s="28" t="s">
        <v>76</v>
      </c>
      <c r="M23" s="16"/>
    </row>
    <row r="24" spans="3:13" s="9" customFormat="1" ht="23.25" customHeight="1" x14ac:dyDescent="0.3">
      <c r="C24" s="25" t="s">
        <v>35</v>
      </c>
      <c r="D24" s="26">
        <v>2840</v>
      </c>
      <c r="E24" s="26">
        <v>2136</v>
      </c>
      <c r="F24" s="28" t="s">
        <v>77</v>
      </c>
      <c r="G24" s="26">
        <v>2148</v>
      </c>
      <c r="H24" s="26">
        <v>2075</v>
      </c>
      <c r="I24" s="28" t="s">
        <v>38</v>
      </c>
      <c r="J24" s="26">
        <v>3379</v>
      </c>
      <c r="K24" s="26">
        <v>2555</v>
      </c>
      <c r="L24" s="28" t="s">
        <v>77</v>
      </c>
      <c r="M24" s="16"/>
    </row>
    <row r="25" spans="3:13" s="9" customFormat="1" ht="23.25" customHeight="1" x14ac:dyDescent="0.3">
      <c r="C25" s="25" t="s">
        <v>63</v>
      </c>
      <c r="D25" s="42">
        <v>20</v>
      </c>
      <c r="E25" s="42">
        <v>11</v>
      </c>
      <c r="F25" s="43" t="s">
        <v>67</v>
      </c>
      <c r="G25" s="42">
        <v>11</v>
      </c>
      <c r="H25" s="42">
        <v>20</v>
      </c>
      <c r="I25" s="44" t="s">
        <v>69</v>
      </c>
      <c r="J25" s="42">
        <v>26</v>
      </c>
      <c r="K25" s="42">
        <v>16</v>
      </c>
      <c r="L25" s="43" t="s">
        <v>68</v>
      </c>
      <c r="M25" s="16"/>
    </row>
    <row r="26" spans="3:13" s="9" customFormat="1" ht="23.25" customHeight="1" x14ac:dyDescent="0.3">
      <c r="C26" s="39" t="s">
        <v>64</v>
      </c>
      <c r="D26" s="41">
        <f>SUM(D21:D25)</f>
        <v>4901</v>
      </c>
      <c r="E26" s="41">
        <f>SUM(E21:E25)</f>
        <v>3872</v>
      </c>
      <c r="F26" s="39" t="s">
        <v>70</v>
      </c>
      <c r="G26" s="41">
        <f>SUM(G21:G25)</f>
        <v>3912</v>
      </c>
      <c r="H26" s="41">
        <f>SUM(H21:H25)</f>
        <v>4101</v>
      </c>
      <c r="I26" s="40" t="s">
        <v>66</v>
      </c>
      <c r="J26" s="41">
        <f>SUM(J21:J25)</f>
        <v>5472</v>
      </c>
      <c r="K26" s="41">
        <f>SUM(K21:K25)</f>
        <v>4533</v>
      </c>
      <c r="L26" s="39" t="s">
        <v>72</v>
      </c>
      <c r="M26" s="16"/>
    </row>
    <row r="27" spans="3:13" s="9" customFormat="1" ht="23.25" customHeight="1" x14ac:dyDescent="0.3">
      <c r="C27" s="25" t="s">
        <v>36</v>
      </c>
      <c r="D27" s="42">
        <v>4132</v>
      </c>
      <c r="E27" s="42">
        <v>4614</v>
      </c>
      <c r="F27" s="44" t="s">
        <v>65</v>
      </c>
      <c r="G27" s="42">
        <v>4839</v>
      </c>
      <c r="H27" s="42">
        <v>5091</v>
      </c>
      <c r="I27" s="44" t="s">
        <v>71</v>
      </c>
      <c r="J27" s="42">
        <v>4824</v>
      </c>
      <c r="K27" s="42">
        <v>5336</v>
      </c>
      <c r="L27" s="44" t="s">
        <v>52</v>
      </c>
      <c r="M27" s="16"/>
    </row>
    <row r="28" spans="3:13" s="9" customFormat="1" ht="23.25" customHeight="1" x14ac:dyDescent="0.3"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3:13" s="9" customFormat="1" ht="23.25" customHeight="1" x14ac:dyDescent="0.3">
      <c r="C29" s="17"/>
      <c r="D29" s="17"/>
      <c r="E29" s="17"/>
      <c r="F29" s="17"/>
      <c r="G29" s="17"/>
      <c r="H29" s="17"/>
      <c r="I29" s="17"/>
      <c r="J29" s="17"/>
      <c r="K29" s="17"/>
      <c r="L29" s="11"/>
    </row>
    <row r="30" spans="3:13" s="9" customFormat="1" ht="30" customHeight="1" x14ac:dyDescent="0.3">
      <c r="C30" s="45" t="s">
        <v>25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3:13" s="9" customFormat="1" ht="24.75" customHeight="1" x14ac:dyDescent="0.3">
      <c r="C31" s="35" t="s">
        <v>78</v>
      </c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3:13" s="9" customFormat="1" ht="24.75" customHeight="1" x14ac:dyDescent="0.3">
      <c r="C32" s="35" t="s">
        <v>79</v>
      </c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3:13" s="9" customFormat="1" ht="24.75" customHeight="1" x14ac:dyDescent="0.3">
      <c r="C33" s="35" t="s">
        <v>100</v>
      </c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3:13" s="9" customFormat="1" ht="24.75" customHeight="1" x14ac:dyDescent="0.3">
      <c r="C34" s="35" t="s">
        <v>80</v>
      </c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3:13" s="9" customFormat="1" ht="24.75" customHeight="1" x14ac:dyDescent="0.3">
      <c r="C35" s="35" t="s">
        <v>81</v>
      </c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3:13" s="9" customFormat="1" ht="24.75" customHeight="1" x14ac:dyDescent="0.3">
      <c r="C36" s="35" t="s">
        <v>82</v>
      </c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3:13" s="9" customFormat="1" ht="24.75" customHeight="1" x14ac:dyDescent="0.3">
      <c r="C37" s="35" t="s">
        <v>83</v>
      </c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3:13" s="9" customFormat="1" ht="24.75" customHeight="1" x14ac:dyDescent="0.3">
      <c r="C38" s="35" t="s">
        <v>84</v>
      </c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3:13" s="9" customFormat="1" ht="24.75" customHeight="1" x14ac:dyDescent="0.3">
      <c r="C39" s="35" t="s">
        <v>85</v>
      </c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3:13" s="9" customFormat="1" ht="24.75" customHeight="1" x14ac:dyDescent="0.3">
      <c r="C40" s="35" t="s">
        <v>86</v>
      </c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3:13" ht="24.75" customHeight="1" x14ac:dyDescent="0.3">
      <c r="C41" s="35" t="s">
        <v>87</v>
      </c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3:13" ht="24.75" customHeight="1" x14ac:dyDescent="0.3">
      <c r="C42" s="35" t="s">
        <v>88</v>
      </c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3:13" ht="24.75" customHeight="1" x14ac:dyDescent="0.3">
      <c r="C43" s="35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3:13" ht="24.75" customHeight="1" x14ac:dyDescent="0.3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3:13" ht="24.75" customHeight="1" x14ac:dyDescent="0.3">
      <c r="C45" s="45" t="s">
        <v>26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</row>
    <row r="46" spans="3:13" ht="24.75" customHeight="1" x14ac:dyDescent="0.3">
      <c r="C46" s="35" t="s">
        <v>90</v>
      </c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3:13" ht="24.75" customHeight="1" x14ac:dyDescent="0.3">
      <c r="C47" s="35" t="s">
        <v>89</v>
      </c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3:13" ht="24.75" customHeight="1" x14ac:dyDescent="0.3">
      <c r="C48" s="35" t="s">
        <v>91</v>
      </c>
      <c r="D48" s="9"/>
      <c r="E48" s="9"/>
      <c r="F48" s="9"/>
      <c r="G48" s="9"/>
      <c r="H48" s="9"/>
      <c r="I48" s="9"/>
      <c r="J48" s="9"/>
      <c r="K48" s="9"/>
      <c r="L48" s="9"/>
      <c r="M48" s="9"/>
    </row>
    <row r="49" spans="3:13" ht="24.75" customHeight="1" x14ac:dyDescent="0.3">
      <c r="C49" s="35" t="s">
        <v>92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</row>
    <row r="50" spans="3:13" ht="24.75" customHeight="1" x14ac:dyDescent="0.3">
      <c r="C50" s="35" t="s">
        <v>93</v>
      </c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3:13" ht="24.75" customHeight="1" x14ac:dyDescent="0.3">
      <c r="C51" s="35" t="s">
        <v>94</v>
      </c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3:13" ht="24.75" customHeight="1" x14ac:dyDescent="0.3">
      <c r="C52" s="35" t="s">
        <v>95</v>
      </c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3:13" ht="24.75" customHeight="1" x14ac:dyDescent="0.3">
      <c r="C53" s="35" t="s">
        <v>96</v>
      </c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3:13" ht="24.75" customHeight="1" x14ac:dyDescent="0.3">
      <c r="C54" s="35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3:13" ht="24.75" customHeight="1" x14ac:dyDescent="0.3">
      <c r="C55" s="29" t="s">
        <v>101</v>
      </c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3:13" ht="24.75" customHeight="1" x14ac:dyDescent="0.3">
      <c r="C56" s="35" t="s">
        <v>102</v>
      </c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3:13" ht="24.75" customHeight="1" x14ac:dyDescent="0.3">
      <c r="C57" s="35" t="s">
        <v>109</v>
      </c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3:13" ht="24.75" customHeight="1" x14ac:dyDescent="0.3">
      <c r="C58" s="47" t="s">
        <v>110</v>
      </c>
      <c r="D58" s="47"/>
      <c r="E58" s="47"/>
      <c r="F58" s="47"/>
      <c r="G58" s="47"/>
      <c r="H58" s="47"/>
      <c r="I58" s="7"/>
      <c r="J58" s="7"/>
      <c r="K58" s="7"/>
      <c r="L58" s="7"/>
      <c r="M58" s="7"/>
    </row>
    <row r="59" spans="3:13" ht="24.75" customHeight="1" x14ac:dyDescent="0.3">
      <c r="C59" s="35" t="s">
        <v>103</v>
      </c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3:13" ht="24.75" customHeight="1" x14ac:dyDescent="0.3">
      <c r="C60" s="35" t="s">
        <v>111</v>
      </c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3:13" ht="24.75" customHeight="1" x14ac:dyDescent="0.3">
      <c r="C61" s="35" t="s">
        <v>104</v>
      </c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3:13" ht="24.75" customHeight="1" x14ac:dyDescent="0.3">
      <c r="C62" s="35" t="s">
        <v>112</v>
      </c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3:13" ht="24.75" customHeight="1" x14ac:dyDescent="0.3">
      <c r="C63" s="47" t="s">
        <v>110</v>
      </c>
      <c r="D63" s="47"/>
      <c r="E63" s="47"/>
      <c r="F63" s="47"/>
      <c r="G63" s="47"/>
      <c r="H63" s="47"/>
      <c r="I63" s="7"/>
      <c r="J63" s="7"/>
      <c r="K63" s="7"/>
      <c r="L63" s="7"/>
      <c r="M63" s="7"/>
    </row>
    <row r="64" spans="3:13" ht="24.75" customHeight="1" x14ac:dyDescent="0.3">
      <c r="C64" s="46" t="s">
        <v>105</v>
      </c>
      <c r="D64" s="46"/>
      <c r="E64" s="46"/>
      <c r="F64" s="46"/>
      <c r="G64" s="46"/>
      <c r="H64" s="46"/>
      <c r="I64" s="7"/>
      <c r="J64" s="7"/>
      <c r="K64" s="7"/>
      <c r="L64" s="7"/>
      <c r="M64" s="7"/>
    </row>
    <row r="65" spans="3:13" ht="24.75" customHeight="1" x14ac:dyDescent="0.3">
      <c r="C65" s="46" t="s">
        <v>113</v>
      </c>
      <c r="D65" s="46"/>
      <c r="E65" s="46"/>
      <c r="F65" s="46"/>
      <c r="G65" s="46"/>
      <c r="H65" s="46"/>
      <c r="I65" s="7"/>
      <c r="J65" s="7"/>
      <c r="K65" s="7"/>
      <c r="L65" s="7"/>
      <c r="M65" s="7"/>
    </row>
    <row r="66" spans="3:13" ht="24.75" customHeight="1" x14ac:dyDescent="0.3">
      <c r="C66" s="35" t="s">
        <v>106</v>
      </c>
      <c r="D66" s="46"/>
      <c r="E66" s="46"/>
      <c r="F66" s="46"/>
      <c r="G66" s="46"/>
      <c r="H66" s="46"/>
      <c r="I66" s="7"/>
      <c r="J66" s="7"/>
      <c r="K66" s="7"/>
      <c r="L66" s="7"/>
      <c r="M66" s="7"/>
    </row>
    <row r="67" spans="3:13" ht="24.75" customHeight="1" x14ac:dyDescent="0.3">
      <c r="C67" s="46" t="s">
        <v>114</v>
      </c>
      <c r="D67" s="46"/>
      <c r="E67" s="46"/>
      <c r="F67" s="46"/>
      <c r="G67" s="46"/>
      <c r="H67" s="46"/>
      <c r="I67" s="7"/>
      <c r="J67" s="7"/>
      <c r="K67" s="7"/>
      <c r="L67" s="7"/>
      <c r="M67" s="7"/>
    </row>
    <row r="68" spans="3:13" ht="24.75" customHeight="1" x14ac:dyDescent="0.3">
      <c r="C68" s="35" t="s">
        <v>107</v>
      </c>
      <c r="D68" s="46"/>
      <c r="E68" s="46"/>
      <c r="F68" s="46"/>
      <c r="G68" s="46"/>
      <c r="H68" s="46"/>
      <c r="I68" s="7"/>
      <c r="J68" s="7"/>
      <c r="K68" s="7"/>
      <c r="L68" s="7"/>
      <c r="M68" s="7"/>
    </row>
    <row r="69" spans="3:13" ht="24.75" customHeight="1" x14ac:dyDescent="0.3">
      <c r="C69" s="46" t="s">
        <v>115</v>
      </c>
      <c r="D69" s="46"/>
      <c r="E69" s="46"/>
      <c r="F69" s="46"/>
      <c r="G69" s="46"/>
      <c r="H69" s="46"/>
      <c r="I69" s="7"/>
      <c r="J69" s="7"/>
      <c r="K69" s="7"/>
      <c r="L69" s="7"/>
      <c r="M69" s="7"/>
    </row>
    <row r="70" spans="3:13" ht="24.75" customHeight="1" x14ac:dyDescent="0.3">
      <c r="C70" s="46"/>
      <c r="D70" s="46"/>
      <c r="E70" s="46"/>
      <c r="F70" s="46"/>
      <c r="G70" s="46"/>
      <c r="H70" s="46"/>
      <c r="I70" s="7"/>
      <c r="J70" s="7"/>
      <c r="K70" s="7"/>
      <c r="L70" s="7"/>
      <c r="M70" s="7"/>
    </row>
    <row r="71" spans="3:13" ht="24.75" customHeight="1" x14ac:dyDescent="0.3">
      <c r="C71" s="29" t="s">
        <v>138</v>
      </c>
      <c r="D71" s="46"/>
      <c r="E71" s="46"/>
      <c r="F71" s="46"/>
      <c r="G71" s="46"/>
      <c r="H71" s="46"/>
      <c r="I71" s="7"/>
      <c r="J71" s="7"/>
      <c r="K71" s="7"/>
      <c r="L71" s="7"/>
      <c r="M71" s="7"/>
    </row>
    <row r="72" spans="3:13" ht="24.75" customHeight="1" x14ac:dyDescent="0.3">
      <c r="C72" s="35" t="s">
        <v>108</v>
      </c>
      <c r="D72" s="46"/>
      <c r="E72" s="46"/>
      <c r="F72" s="46"/>
      <c r="G72" s="46"/>
      <c r="H72" s="46"/>
      <c r="I72" s="7"/>
      <c r="J72" s="7"/>
      <c r="K72" s="7"/>
      <c r="L72" s="7"/>
      <c r="M72" s="7"/>
    </row>
    <row r="73" spans="3:13" ht="24.75" customHeight="1" x14ac:dyDescent="0.3">
      <c r="C73" s="35" t="s">
        <v>116</v>
      </c>
      <c r="D73" s="46"/>
      <c r="E73" s="46"/>
      <c r="F73" s="46"/>
      <c r="G73" s="46"/>
      <c r="H73" s="46"/>
      <c r="I73" s="7"/>
      <c r="J73" s="7"/>
      <c r="K73" s="7"/>
      <c r="L73" s="7"/>
      <c r="M73" s="7"/>
    </row>
    <row r="74" spans="3:13" ht="24.75" customHeight="1" x14ac:dyDescent="0.3">
      <c r="C74" s="46"/>
      <c r="D74" s="46"/>
      <c r="E74" s="46"/>
      <c r="F74" s="46"/>
      <c r="G74" s="46"/>
      <c r="H74" s="46"/>
      <c r="I74" s="7"/>
      <c r="J74" s="7"/>
      <c r="K74" s="7"/>
      <c r="L74" s="7"/>
      <c r="M74" s="7"/>
    </row>
    <row r="75" spans="3:13" ht="24.75" customHeight="1" x14ac:dyDescent="0.3">
      <c r="C75" s="38" t="s">
        <v>28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</row>
    <row r="76" spans="3:13" ht="24.75" customHeight="1" x14ac:dyDescent="0.3">
      <c r="C76" s="30"/>
      <c r="D76" s="19"/>
      <c r="E76" s="19"/>
      <c r="F76" s="19"/>
      <c r="G76" s="19"/>
      <c r="H76" s="19"/>
      <c r="I76" s="19"/>
      <c r="J76" s="19"/>
      <c r="K76" s="19"/>
      <c r="L76" s="19"/>
      <c r="M76" s="19"/>
    </row>
    <row r="77" spans="3:13" ht="24.75" customHeight="1" x14ac:dyDescent="0.3">
      <c r="C77" s="35" t="s">
        <v>61</v>
      </c>
      <c r="D77" s="9"/>
      <c r="E77" s="9"/>
      <c r="F77" s="9"/>
      <c r="G77" s="9"/>
      <c r="H77" s="9"/>
      <c r="I77" s="9"/>
      <c r="J77" s="9"/>
      <c r="K77" s="9"/>
      <c r="L77" s="9"/>
      <c r="M77" s="9"/>
    </row>
    <row r="78" spans="3:13" ht="24.75" customHeight="1" x14ac:dyDescent="0.3">
      <c r="C78" s="35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 spans="3:13" ht="24.75" customHeight="1" x14ac:dyDescent="0.3">
      <c r="C79" s="35" t="s">
        <v>139</v>
      </c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3:13" ht="24.75" customHeight="1" x14ac:dyDescent="0.3">
      <c r="C80" s="35" t="s">
        <v>117</v>
      </c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3:17" ht="24.75" customHeight="1" x14ac:dyDescent="0.3">
      <c r="C81" s="35" t="s">
        <v>118</v>
      </c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3:17" ht="24.75" customHeight="1" x14ac:dyDescent="0.3">
      <c r="C82" s="35" t="s">
        <v>119</v>
      </c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3:17" ht="24.75" customHeight="1" x14ac:dyDescent="0.3">
      <c r="C83" s="35" t="s">
        <v>120</v>
      </c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3:17" ht="24.75" customHeight="1" x14ac:dyDescent="0.3">
      <c r="C84" s="35" t="s">
        <v>121</v>
      </c>
      <c r="D84" s="9"/>
      <c r="E84" s="9"/>
      <c r="F84" s="9"/>
      <c r="G84" s="9"/>
      <c r="H84" s="9"/>
      <c r="I84" s="9"/>
      <c r="J84" s="9"/>
      <c r="K84" s="9"/>
      <c r="L84" s="9"/>
      <c r="M84" s="9"/>
      <c r="Q84" s="5" t="s">
        <v>46</v>
      </c>
    </row>
    <row r="85" spans="3:17" ht="24.75" customHeight="1" x14ac:dyDescent="0.3">
      <c r="C85" s="35" t="s">
        <v>137</v>
      </c>
      <c r="D85" s="9"/>
      <c r="E85" s="9"/>
      <c r="F85" s="9"/>
      <c r="G85" s="9"/>
      <c r="H85" s="9"/>
      <c r="I85" s="9"/>
      <c r="J85" s="9"/>
      <c r="K85" s="9"/>
      <c r="L85" s="9"/>
      <c r="M85" s="9"/>
    </row>
    <row r="86" spans="3:17" ht="24.75" customHeight="1" x14ac:dyDescent="0.3">
      <c r="C86" s="35" t="s">
        <v>140</v>
      </c>
      <c r="D86" s="9"/>
      <c r="E86" s="9"/>
      <c r="F86" s="9"/>
      <c r="G86" s="9"/>
      <c r="H86" s="9"/>
      <c r="I86" s="9"/>
      <c r="J86" s="9"/>
      <c r="K86" s="9"/>
      <c r="L86" s="9"/>
      <c r="M86" s="9"/>
    </row>
    <row r="87" spans="3:17" ht="24.75" customHeight="1" x14ac:dyDescent="0.3">
      <c r="C87" s="35" t="s">
        <v>133</v>
      </c>
      <c r="D87" s="9"/>
      <c r="E87" s="9"/>
      <c r="F87" s="9"/>
      <c r="G87" s="9"/>
      <c r="H87" s="9"/>
      <c r="I87" s="9"/>
      <c r="J87" s="9"/>
      <c r="K87" s="9"/>
      <c r="L87" s="9"/>
      <c r="M87" s="9"/>
    </row>
    <row r="88" spans="3:17" ht="24.75" customHeight="1" x14ac:dyDescent="0.3">
      <c r="C88" s="35" t="s">
        <v>134</v>
      </c>
      <c r="D88" s="9"/>
      <c r="E88" s="9"/>
      <c r="F88" s="9"/>
      <c r="G88" s="9"/>
      <c r="H88" s="9"/>
      <c r="I88" s="9"/>
      <c r="J88" s="9"/>
      <c r="K88" s="9"/>
      <c r="L88" s="9"/>
      <c r="M88" s="9"/>
    </row>
    <row r="89" spans="3:17" ht="24.75" customHeight="1" x14ac:dyDescent="0.3">
      <c r="C89" s="35" t="s">
        <v>135</v>
      </c>
      <c r="D89" s="9"/>
      <c r="E89" s="9"/>
      <c r="F89" s="9"/>
      <c r="G89" s="9"/>
      <c r="H89" s="9"/>
      <c r="I89" s="9"/>
      <c r="J89" s="9"/>
      <c r="K89" s="9"/>
      <c r="L89" s="9"/>
      <c r="M89" s="9"/>
    </row>
    <row r="90" spans="3:17" ht="24.75" customHeight="1" x14ac:dyDescent="0.3">
      <c r="C90" s="35" t="s">
        <v>136</v>
      </c>
      <c r="D90" s="9"/>
      <c r="E90" s="9"/>
      <c r="F90" s="9"/>
      <c r="G90" s="9"/>
      <c r="H90" s="9"/>
      <c r="I90" s="9"/>
      <c r="J90" s="9"/>
      <c r="K90" s="9"/>
      <c r="L90" s="9"/>
      <c r="M90" s="9"/>
    </row>
    <row r="91" spans="3:17" ht="24.75" customHeight="1" x14ac:dyDescent="0.3">
      <c r="C91" s="35" t="s">
        <v>141</v>
      </c>
      <c r="D91" s="9"/>
      <c r="E91" s="9"/>
      <c r="F91" s="9"/>
      <c r="G91" s="9"/>
      <c r="H91" s="9"/>
      <c r="I91" s="9"/>
      <c r="J91" s="9"/>
      <c r="K91" s="9"/>
      <c r="L91" s="9"/>
      <c r="M91" s="9"/>
    </row>
    <row r="92" spans="3:17" ht="24.75" customHeight="1" x14ac:dyDescent="0.3">
      <c r="C92" s="35" t="s">
        <v>143</v>
      </c>
      <c r="D92" s="9"/>
      <c r="E92" s="9"/>
      <c r="F92" s="9"/>
      <c r="G92" s="9"/>
      <c r="H92" s="9"/>
      <c r="I92" s="9"/>
      <c r="J92" s="9"/>
      <c r="K92" s="9"/>
      <c r="L92" s="9"/>
      <c r="M92" s="9"/>
    </row>
    <row r="93" spans="3:17" ht="24.75" customHeight="1" x14ac:dyDescent="0.3">
      <c r="C93" s="35" t="s">
        <v>142</v>
      </c>
      <c r="D93" s="9"/>
      <c r="E93" s="9"/>
      <c r="F93" s="9"/>
      <c r="G93" s="9"/>
      <c r="H93" s="9"/>
      <c r="I93" s="9"/>
      <c r="J93" s="9"/>
      <c r="K93" s="9"/>
      <c r="L93" s="9"/>
      <c r="M93" s="9"/>
    </row>
    <row r="94" spans="3:17" ht="24.75" customHeight="1" x14ac:dyDescent="0.3">
      <c r="C94" s="35" t="s">
        <v>144</v>
      </c>
      <c r="D94" s="9"/>
      <c r="E94" s="9"/>
      <c r="F94" s="9"/>
      <c r="G94" s="9"/>
      <c r="H94" s="9"/>
      <c r="I94" s="9"/>
      <c r="J94" s="9"/>
      <c r="K94" s="9"/>
      <c r="L94" s="9"/>
      <c r="M94" s="9"/>
    </row>
    <row r="95" spans="3:17" ht="24.75" customHeight="1" x14ac:dyDescent="0.3">
      <c r="C95" s="35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spans="3:17" ht="24.75" customHeight="1" x14ac:dyDescent="0.3">
      <c r="C96" s="36" t="s">
        <v>62</v>
      </c>
      <c r="D96" s="32"/>
      <c r="E96" s="32"/>
      <c r="F96" s="32"/>
      <c r="G96" s="32"/>
      <c r="H96" s="32"/>
      <c r="I96" s="31"/>
      <c r="J96" s="31"/>
      <c r="K96" s="31"/>
      <c r="L96" s="31"/>
      <c r="M96" s="9"/>
    </row>
    <row r="97" spans="3:13" ht="24.75" customHeight="1" x14ac:dyDescent="0.3">
      <c r="C97" s="36"/>
      <c r="D97" s="32"/>
      <c r="E97" s="32"/>
      <c r="F97" s="32"/>
      <c r="G97" s="32"/>
      <c r="H97" s="32"/>
      <c r="I97" s="31"/>
      <c r="J97" s="31"/>
      <c r="K97" s="31"/>
      <c r="L97" s="31"/>
      <c r="M97" s="9"/>
    </row>
    <row r="98" spans="3:13" ht="24.75" customHeight="1" x14ac:dyDescent="0.3">
      <c r="C98" s="36" t="s">
        <v>122</v>
      </c>
      <c r="D98" s="32"/>
      <c r="E98" s="32"/>
      <c r="F98" s="32"/>
      <c r="G98" s="32"/>
      <c r="H98" s="32"/>
      <c r="I98" s="31"/>
      <c r="J98" s="31"/>
      <c r="K98" s="31"/>
      <c r="L98" s="31"/>
      <c r="M98" s="9"/>
    </row>
    <row r="99" spans="3:13" ht="24.75" customHeight="1" x14ac:dyDescent="0.3">
      <c r="C99" s="36" t="s">
        <v>123</v>
      </c>
      <c r="D99" s="32"/>
      <c r="E99" s="32"/>
      <c r="F99" s="32"/>
      <c r="G99" s="32"/>
      <c r="H99" s="32"/>
      <c r="I99" s="33"/>
      <c r="J99" s="33"/>
      <c r="K99" s="33"/>
      <c r="L99" s="33"/>
    </row>
    <row r="100" spans="3:13" ht="24.75" customHeight="1" x14ac:dyDescent="0.3">
      <c r="C100" s="36" t="s">
        <v>124</v>
      </c>
      <c r="D100" s="32"/>
      <c r="E100" s="32"/>
      <c r="F100" s="32"/>
      <c r="G100" s="32"/>
      <c r="H100" s="32"/>
      <c r="I100" s="33"/>
      <c r="J100" s="33"/>
      <c r="K100" s="33"/>
      <c r="L100" s="33"/>
    </row>
    <row r="101" spans="3:13" ht="24.75" customHeight="1" x14ac:dyDescent="0.3">
      <c r="C101" s="36" t="s">
        <v>125</v>
      </c>
      <c r="D101" s="32"/>
      <c r="E101" s="32"/>
      <c r="F101" s="32"/>
      <c r="G101" s="32"/>
      <c r="H101" s="32"/>
      <c r="I101" s="33"/>
      <c r="J101" s="33"/>
      <c r="K101" s="33"/>
      <c r="L101" s="33"/>
    </row>
    <row r="102" spans="3:13" ht="24.75" customHeight="1" x14ac:dyDescent="0.3">
      <c r="C102" s="36" t="s">
        <v>126</v>
      </c>
      <c r="D102" s="32"/>
      <c r="E102" s="32"/>
      <c r="F102" s="32"/>
      <c r="G102" s="32"/>
      <c r="H102" s="32"/>
      <c r="I102" s="33"/>
      <c r="J102" s="33"/>
      <c r="K102" s="33"/>
      <c r="L102" s="33"/>
    </row>
    <row r="103" spans="3:13" ht="24.75" customHeight="1" x14ac:dyDescent="0.3">
      <c r="C103" s="36" t="s">
        <v>127</v>
      </c>
      <c r="D103" s="32"/>
      <c r="E103" s="32"/>
      <c r="F103" s="32"/>
      <c r="G103" s="32"/>
      <c r="H103" s="32"/>
      <c r="I103" s="33"/>
      <c r="J103" s="33"/>
      <c r="K103" s="33"/>
      <c r="L103" s="33"/>
    </row>
    <row r="104" spans="3:13" ht="24.75" customHeight="1" x14ac:dyDescent="0.3">
      <c r="C104" s="36" t="s">
        <v>130</v>
      </c>
      <c r="D104" s="32"/>
      <c r="E104" s="32"/>
      <c r="F104" s="32"/>
      <c r="G104" s="32"/>
      <c r="H104" s="32"/>
      <c r="I104" s="33"/>
      <c r="J104" s="33"/>
      <c r="K104" s="33"/>
      <c r="L104" s="33"/>
    </row>
    <row r="105" spans="3:13" ht="24.75" customHeight="1" x14ac:dyDescent="0.3">
      <c r="C105" s="36" t="s">
        <v>128</v>
      </c>
      <c r="D105" s="32"/>
      <c r="E105" s="32"/>
      <c r="F105" s="32"/>
      <c r="G105" s="32"/>
      <c r="H105" s="32"/>
      <c r="I105" s="33"/>
      <c r="J105" s="33"/>
      <c r="K105" s="33"/>
      <c r="L105" s="33"/>
    </row>
    <row r="106" spans="3:13" ht="24.75" customHeight="1" x14ac:dyDescent="0.3">
      <c r="C106" s="36" t="s">
        <v>131</v>
      </c>
      <c r="D106" s="32"/>
      <c r="E106" s="32"/>
      <c r="F106" s="32"/>
      <c r="G106" s="32"/>
      <c r="H106" s="32"/>
      <c r="I106" s="33"/>
      <c r="J106" s="33"/>
      <c r="K106" s="33"/>
      <c r="L106" s="33"/>
    </row>
    <row r="107" spans="3:13" ht="24.75" customHeight="1" x14ac:dyDescent="0.3">
      <c r="C107" s="36" t="s">
        <v>129</v>
      </c>
      <c r="D107" s="32"/>
      <c r="E107" s="32"/>
      <c r="F107" s="32"/>
      <c r="G107" s="32"/>
      <c r="H107" s="32"/>
      <c r="I107" s="33"/>
      <c r="J107" s="33"/>
      <c r="K107" s="33"/>
      <c r="L107" s="33"/>
    </row>
    <row r="108" spans="3:13" ht="23.25" customHeight="1" x14ac:dyDescent="0.3">
      <c r="C108" s="36" t="s">
        <v>132</v>
      </c>
      <c r="D108" s="32"/>
      <c r="E108" s="32"/>
      <c r="F108" s="32"/>
      <c r="G108" s="32"/>
      <c r="H108" s="32"/>
      <c r="I108" s="33"/>
      <c r="J108" s="33"/>
      <c r="K108" s="33"/>
      <c r="L108" s="33"/>
    </row>
    <row r="109" spans="3:13" ht="23.25" customHeight="1" x14ac:dyDescent="0.3">
      <c r="C109" s="33"/>
      <c r="D109" s="33"/>
      <c r="E109" s="33"/>
      <c r="F109" s="33"/>
      <c r="G109" s="33"/>
      <c r="H109" s="33"/>
      <c r="I109" s="33"/>
      <c r="J109" s="33"/>
      <c r="K109" s="33"/>
      <c r="L109" s="33"/>
    </row>
    <row r="110" spans="3:13" ht="23.25" customHeight="1" x14ac:dyDescent="0.3">
      <c r="C110" s="33"/>
      <c r="D110" s="33"/>
      <c r="E110" s="33"/>
      <c r="F110" s="33"/>
      <c r="G110" s="33"/>
      <c r="H110" s="33"/>
      <c r="I110" s="33"/>
      <c r="J110" s="33"/>
      <c r="K110" s="33"/>
      <c r="L110" s="33"/>
    </row>
    <row r="111" spans="3:13" ht="23.25" customHeight="1" x14ac:dyDescent="0.3">
      <c r="C111" s="33"/>
      <c r="D111" s="33"/>
      <c r="E111" s="33"/>
      <c r="F111" s="33"/>
      <c r="G111" s="33"/>
      <c r="H111" s="33"/>
      <c r="I111" s="33"/>
      <c r="J111" s="33"/>
      <c r="K111" s="33"/>
      <c r="L111" s="33"/>
    </row>
  </sheetData>
  <mergeCells count="34">
    <mergeCell ref="E6:F6"/>
    <mergeCell ref="E7:F7"/>
    <mergeCell ref="G9:H9"/>
    <mergeCell ref="G10:H10"/>
    <mergeCell ref="C1:L1"/>
    <mergeCell ref="K6:L6"/>
    <mergeCell ref="K7:L7"/>
    <mergeCell ref="K8:L8"/>
    <mergeCell ref="C3:D3"/>
    <mergeCell ref="K5:L5"/>
    <mergeCell ref="I5:J5"/>
    <mergeCell ref="C5:D5"/>
    <mergeCell ref="C6:C10"/>
    <mergeCell ref="I9:J9"/>
    <mergeCell ref="I10:J10"/>
    <mergeCell ref="K9:L9"/>
    <mergeCell ref="K10:L10"/>
    <mergeCell ref="E5:F5"/>
    <mergeCell ref="C58:H58"/>
    <mergeCell ref="C63:H63"/>
    <mergeCell ref="K19:L19"/>
    <mergeCell ref="E4:H4"/>
    <mergeCell ref="C19:D19"/>
    <mergeCell ref="C18:D18"/>
    <mergeCell ref="I6:J6"/>
    <mergeCell ref="I7:J7"/>
    <mergeCell ref="I8:J8"/>
    <mergeCell ref="E8:F8"/>
    <mergeCell ref="E9:F9"/>
    <mergeCell ref="E10:F10"/>
    <mergeCell ref="G5:H5"/>
    <mergeCell ref="G6:H6"/>
    <mergeCell ref="G7:H7"/>
    <mergeCell ref="G8:H8"/>
  </mergeCells>
  <phoneticPr fontId="1" type="noConversion"/>
  <printOptions horizontalCentered="1"/>
  <pageMargins left="0.25" right="0.25" top="0.75" bottom="0.75" header="0.3" footer="0.3"/>
  <pageSetup paperSize="9" scale="49" orientation="portrait" r:id="rId1"/>
  <rowBreaks count="1" manualBreakCount="1">
    <brk id="53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사업분석</vt:lpstr>
      <vt:lpstr>초안_v2</vt:lpstr>
      <vt:lpstr>사업분석!Print_Area</vt:lpstr>
      <vt:lpstr>초안_v2!Print_Area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2026-04-14T23:07:27Z</cp:lastPrinted>
  <dcterms:created xsi:type="dcterms:W3CDTF">2025-04-21T00:43:13Z</dcterms:created>
  <dcterms:modified xsi:type="dcterms:W3CDTF">2026-04-14T23:08:26Z</dcterms:modified>
</cp:coreProperties>
</file>