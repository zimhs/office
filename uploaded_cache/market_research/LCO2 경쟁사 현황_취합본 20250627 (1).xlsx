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egbugpeulom1/Desktop/"/>
    </mc:Choice>
  </mc:AlternateContent>
  <xr:revisionPtr revIDLastSave="0" documentId="13_ncr:1_{14132776-51B2-344C-8184-ABDC178D0788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LCO2 경쟁사 현황 250630 " sheetId="7" r:id="rId1"/>
    <sheet name="화성" sheetId="8" r:id="rId2"/>
    <sheet name="SND(창신)작성" sheetId="9" r:id="rId3"/>
    <sheet name="광주본사" sheetId="1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_123Graph_A" localSheetId="2" hidden="1">'[1]Est P&amp;L'!#REF!</definedName>
    <definedName name="__123Graph_A" hidden="1">'[1]Est P&amp;L'!#REF!</definedName>
    <definedName name="__123Graph_B" localSheetId="2" hidden="1">'[1]Est P&amp;L'!#REF!</definedName>
    <definedName name="__123Graph_B" hidden="1">'[1]Est P&amp;L'!#REF!</definedName>
    <definedName name="__123Graph_C" localSheetId="2" hidden="1">'[1]Est P&amp;L'!#REF!</definedName>
    <definedName name="__123Graph_C" hidden="1">'[1]Est P&amp;L'!#REF!</definedName>
    <definedName name="__123Graph_D" localSheetId="2" hidden="1">'[1]Est P&amp;L'!#REF!</definedName>
    <definedName name="__123Graph_D" hidden="1">'[1]Est P&amp;L'!#REF!</definedName>
    <definedName name="__123Graph_E" localSheetId="2" hidden="1">'[1]Est P&amp;L'!#REF!</definedName>
    <definedName name="__123Graph_E" hidden="1">'[1]Est P&amp;L'!#REF!</definedName>
    <definedName name="__123Graph_F" localSheetId="2" hidden="1">'[1]Est P&amp;L'!#REF!</definedName>
    <definedName name="__123Graph_F" hidden="1">'[1]Est P&amp;L'!#REF!</definedName>
    <definedName name="__IntlFixup" hidden="1">TRUE</definedName>
    <definedName name="_0" localSheetId="2">'[2]GI TOTAL'!#REF!</definedName>
    <definedName name="_0">'[2]GI TOTAL'!#REF!</definedName>
    <definedName name="_1" localSheetId="2">#REF!</definedName>
    <definedName name="_1">#REF!</definedName>
    <definedName name="_1_?" localSheetId="2">#REF!</definedName>
    <definedName name="_1_?">#REF!</definedName>
    <definedName name="_10" localSheetId="2">[3]IB_7!#REF!</definedName>
    <definedName name="_10">[3]IB_7!#REF!</definedName>
    <definedName name="_10_0PROC" localSheetId="2">[4]P98vs97!#REF!</definedName>
    <definedName name="_10_0PROC">[4]P98vs97!#REF!</definedName>
    <definedName name="_11_0" localSheetId="2">[5]EES_DATA!#REF!</definedName>
    <definedName name="_11_0">[5]EES_DATA!#REF!</definedName>
    <definedName name="_12_0_0" localSheetId="2">[6]Q_COMP.XLS!#REF!</definedName>
    <definedName name="_12_0_0">[6]Q_COMP.XLS!#REF!</definedName>
    <definedName name="_13_0_0EPSS" localSheetId="2">[6]GEG!#REF!</definedName>
    <definedName name="_13_0_0EPSS">[6]GEG!#REF!</definedName>
    <definedName name="_14_0_0EPSV" localSheetId="2">[6]GEG!#REF!</definedName>
    <definedName name="_14_0_0EPSV">[6]GEG!#REF!</definedName>
    <definedName name="_15_0_0EPSVS" localSheetId="2">[6]GEG!#REF!</definedName>
    <definedName name="_15_0_0EPSVS">[6]GEG!#REF!</definedName>
    <definedName name="_16_0_0Europe_Volume___Price___Margin_Tr" localSheetId="2">[6]Volumes!#REF!</definedName>
    <definedName name="_16_0_0Europe_Volume___Price___Margin_Tr">[6]Volumes!#REF!</definedName>
    <definedName name="_17_0_0Europe_YTD_" localSheetId="2">[6]Volumes!#REF!</definedName>
    <definedName name="_17_0_0Europe_YTD_">[6]Volumes!#REF!</definedName>
    <definedName name="_18_0_0ljd_" localSheetId="2">[6]GEG!#REF!</definedName>
    <definedName name="_18_0_0ljd_">[6]GEG!#REF!</definedName>
    <definedName name="_19_0_0PBIT_" localSheetId="2">[6]GEG!#REF!</definedName>
    <definedName name="_19_0_0PBIT_">[6]GEG!#REF!</definedName>
    <definedName name="_2" localSheetId="2">#REF!</definedName>
    <definedName name="_2">#REF!</definedName>
    <definedName name="_2_??" localSheetId="2">#REF!</definedName>
    <definedName name="_2_??">#REF!</definedName>
    <definedName name="_20_0_0PBIT_A" localSheetId="2">[6]GEG!#REF!</definedName>
    <definedName name="_20_0_0PBIT_A">[6]GEG!#REF!</definedName>
    <definedName name="_21_0_0PBIT_GR" localSheetId="2">[6]GEG!#REF!</definedName>
    <definedName name="_21_0_0PBIT_GR">[6]GEG!#REF!</definedName>
    <definedName name="_22_0_0Q4F" localSheetId="2">[6]GEG!#REF!</definedName>
    <definedName name="_22_0_0Q4F">[6]GEG!#REF!</definedName>
    <definedName name="_23_0_0SALES_" localSheetId="2">[6]GEG!#REF!</definedName>
    <definedName name="_23_0_0SALES_">[6]GEG!#REF!</definedName>
    <definedName name="_24_0_0SALES_A" localSheetId="2">[6]GEG!#REF!</definedName>
    <definedName name="_24_0_0SALES_A">[6]GEG!#REF!</definedName>
    <definedName name="_25_0_0SGA_A" localSheetId="2">[6]GEG!#REF!</definedName>
    <definedName name="_25_0_0SGA_A">[6]GEG!#REF!</definedName>
    <definedName name="_252rc_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252rc_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252rc_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252rc_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26_0_0SPECI" localSheetId="2">[6]GEG!#REF!</definedName>
    <definedName name="_26_0_0SPECI">[6]GEG!#REF!</definedName>
    <definedName name="_269x1_" localSheetId="3" hidden="1">{"detail",#N/A,FALSE,"mfg";"summary",#N/A,FALSE,"mfg"}</definedName>
    <definedName name="_269x1_" localSheetId="1" hidden="1">{"detail",#N/A,FALSE,"mfg";"summary",#N/A,FALSE,"mfg"}</definedName>
    <definedName name="_269x1_" localSheetId="2" hidden="1">{"detail",#N/A,FALSE,"mfg";"summary",#N/A,FALSE,"mfg"}</definedName>
    <definedName name="_269x1_" hidden="1">{"detail",#N/A,FALSE,"mfg";"summary",#N/A,FALSE,"mfg"}</definedName>
    <definedName name="_27_0_0TOTA" localSheetId="2">[6]GEG!#REF!</definedName>
    <definedName name="_27_0_0TOTA">[6]GEG!#REF!</definedName>
    <definedName name="_276x2_" localSheetId="3" hidden="1">{#N/A,"PURCHM",FALSE,"Business Analysis";#N/A,"SPADD",FALSE,"Business Analysis"}</definedName>
    <definedName name="_276x2_" localSheetId="1" hidden="1">{#N/A,"PURCHM",FALSE,"Business Analysis";#N/A,"SPADD",FALSE,"Business Analysis"}</definedName>
    <definedName name="_276x2_" localSheetId="2" hidden="1">{#N/A,"PURCHM",FALSE,"Business Analysis";#N/A,"SPADD",FALSE,"Business Analysis"}</definedName>
    <definedName name="_276x2_" hidden="1">{#N/A,"PURCHM",FALSE,"Business Analysis";#N/A,"SPADD",FALSE,"Business Analysis"}</definedName>
    <definedName name="_28_0_0US_" localSheetId="2">[6]Volumes!#REF!</definedName>
    <definedName name="_28_0_0US_">[6]Volumes!#REF!</definedName>
    <definedName name="_283x3_" localSheetId="3" hidden="1">{"detail",#N/A,FALSE,"mfg";"summary",#N/A,FALSE,"mfg"}</definedName>
    <definedName name="_283x3_" localSheetId="1" hidden="1">{"detail",#N/A,FALSE,"mfg";"summary",#N/A,FALSE,"mfg"}</definedName>
    <definedName name="_283x3_" localSheetId="2" hidden="1">{"detail",#N/A,FALSE,"mfg";"summary",#N/A,FALSE,"mfg"}</definedName>
    <definedName name="_283x3_" hidden="1">{"detail",#N/A,FALSE,"mfg";"summary",#N/A,FALSE,"mfg"}</definedName>
    <definedName name="_29_0_0US_YTD_" localSheetId="2">[6]Volumes!#REF!</definedName>
    <definedName name="_29_0_0US_YTD_">[6]Volumes!#REF!</definedName>
    <definedName name="_290x4_" localSheetId="3" hidden="1">{#N/A,"PURCHM",FALSE,"Business Analysis";#N/A,"SPADD",FALSE,"Business Analysis"}</definedName>
    <definedName name="_290x4_" localSheetId="1" hidden="1">{#N/A,"PURCHM",FALSE,"Business Analysis";#N/A,"SPADD",FALSE,"Business Analysis"}</definedName>
    <definedName name="_290x4_" localSheetId="2" hidden="1">{#N/A,"PURCHM",FALSE,"Business Analysis";#N/A,"SPADD",FALSE,"Business Analysis"}</definedName>
    <definedName name="_290x4_" hidden="1">{#N/A,"PURCHM",FALSE,"Business Analysis";#N/A,"SPADD",FALSE,"Business Analysis"}</definedName>
    <definedName name="_297x5_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297x5_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297x5_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297x5_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3" localSheetId="2">[3]IB_7!#REF!</definedName>
    <definedName name="_3">[3]IB_7!#REF!</definedName>
    <definedName name="_3_????" localSheetId="2">#REF!</definedName>
    <definedName name="_3_????">#REF!</definedName>
    <definedName name="_30P2_" localSheetId="2">[6]GEG!#REF!</definedName>
    <definedName name="_30P2_">[6]GEG!#REF!</definedName>
    <definedName name="_31P3_" localSheetId="2">[6]GEG!#REF!</definedName>
    <definedName name="_31P3_">[6]GEG!#REF!</definedName>
    <definedName name="_324z12_" localSheetId="3" hidden="1">{"pro_view",#N/A,FALSE,"EEFSNAP2";"rep_view",#N/A,FALSE,"EEFSNAP2"}</definedName>
    <definedName name="_324z12_" localSheetId="1" hidden="1">{"pro_view",#N/A,FALSE,"EEFSNAP2";"rep_view",#N/A,FALSE,"EEFSNAP2"}</definedName>
    <definedName name="_324z12_" localSheetId="2" hidden="1">{"pro_view",#N/A,FALSE,"EEFSNAP2";"rep_view",#N/A,FALSE,"EEFSNAP2"}</definedName>
    <definedName name="_324z12_" hidden="1">{"pro_view",#N/A,FALSE,"EEFSNAP2";"rep_view",#N/A,FALSE,"EEFSNAP2"}</definedName>
    <definedName name="_32P4_" localSheetId="2">[6]GEG!#REF!</definedName>
    <definedName name="_32P4_">[6]GEG!#REF!</definedName>
    <definedName name="_331z22_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331z22_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331z22_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331z22_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338z25_" localSheetId="3" hidden="1">{"detail",#N/A,FALSE,"mfg";"summary",#N/A,FALSE,"mfg"}</definedName>
    <definedName name="_338z25_" localSheetId="1" hidden="1">{"detail",#N/A,FALSE,"mfg";"summary",#N/A,FALSE,"mfg"}</definedName>
    <definedName name="_338z25_" localSheetId="2" hidden="1">{"detail",#N/A,FALSE,"mfg";"summary",#N/A,FALSE,"mfg"}</definedName>
    <definedName name="_338z25_" hidden="1">{"detail",#N/A,FALSE,"mfg";"summary",#N/A,FALSE,"mfg"}</definedName>
    <definedName name="_33P5_" localSheetId="2">[6]GEG!#REF!</definedName>
    <definedName name="_33P5_">[6]GEG!#REF!</definedName>
    <definedName name="_34r_" localSheetId="3">[7]!SQL.REQUEST(DNI,,,FORF&amp;#REF!)</definedName>
    <definedName name="_34r_" localSheetId="1">[7]!SQL.REQUEST(DNI,,,FORF&amp;#REF!)</definedName>
    <definedName name="_34r_" localSheetId="2">[7]!SQL.REQUEST([0]!DNI,,,[0]!FORF&amp;#REF!)</definedName>
    <definedName name="_34r_">[7]!SQL.REQUEST(DNI,,,FORF&amp;#REF!)</definedName>
    <definedName name="_35rc_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35rc_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35rc_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35rc_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36W_0ACT" localSheetId="2">[4]P98vs97!#REF!</definedName>
    <definedName name="_36W_0ACT">[4]P98vs97!#REF!</definedName>
    <definedName name="_37X_0BUD" localSheetId="2">[4]P98vs97!#REF!</definedName>
    <definedName name="_37X_0BUD">[4]P98vs97!#REF!</definedName>
    <definedName name="_38x1_" localSheetId="3" hidden="1">{"detail",#N/A,FALSE,"mfg";"summary",#N/A,FALSE,"mfg"}</definedName>
    <definedName name="_38x1_" localSheetId="1" hidden="1">{"detail",#N/A,FALSE,"mfg";"summary",#N/A,FALSE,"mfg"}</definedName>
    <definedName name="_38x1_" localSheetId="2" hidden="1">{"detail",#N/A,FALSE,"mfg";"summary",#N/A,FALSE,"mfg"}</definedName>
    <definedName name="_38x1_" hidden="1">{"detail",#N/A,FALSE,"mfg";"summary",#N/A,FALSE,"mfg"}</definedName>
    <definedName name="_39x2_" localSheetId="3" hidden="1">{#N/A,"PURCHM",FALSE,"Business Analysis";#N/A,"SPADD",FALSE,"Business Analysis"}</definedName>
    <definedName name="_39x2_" localSheetId="1" hidden="1">{#N/A,"PURCHM",FALSE,"Business Analysis";#N/A,"SPADD",FALSE,"Business Analysis"}</definedName>
    <definedName name="_39x2_" localSheetId="2" hidden="1">{#N/A,"PURCHM",FALSE,"Business Analysis";#N/A,"SPADD",FALSE,"Business Analysis"}</definedName>
    <definedName name="_39x2_" hidden="1">{#N/A,"PURCHM",FALSE,"Business Analysis";#N/A,"SPADD",FALSE,"Business Analysis"}</definedName>
    <definedName name="_4" localSheetId="2">#REF!</definedName>
    <definedName name="_4">#REF!</definedName>
    <definedName name="_4_?????" localSheetId="2">#REF!</definedName>
    <definedName name="_4_?????">#REF!</definedName>
    <definedName name="_40x3_" localSheetId="3" hidden="1">{"detail",#N/A,FALSE,"mfg";"summary",#N/A,FALSE,"mfg"}</definedName>
    <definedName name="_40x3_" localSheetId="1" hidden="1">{"detail",#N/A,FALSE,"mfg";"summary",#N/A,FALSE,"mfg"}</definedName>
    <definedName name="_40x3_" localSheetId="2" hidden="1">{"detail",#N/A,FALSE,"mfg";"summary",#N/A,FALSE,"mfg"}</definedName>
    <definedName name="_40x3_" hidden="1">{"detail",#N/A,FALSE,"mfg";"summary",#N/A,FALSE,"mfg"}</definedName>
    <definedName name="_41x4_" localSheetId="3" hidden="1">{#N/A,"PURCHM",FALSE,"Business Analysis";#N/A,"SPADD",FALSE,"Business Analysis"}</definedName>
    <definedName name="_41x4_" localSheetId="1" hidden="1">{#N/A,"PURCHM",FALSE,"Business Analysis";#N/A,"SPADD",FALSE,"Business Analysis"}</definedName>
    <definedName name="_41x4_" localSheetId="2" hidden="1">{#N/A,"PURCHM",FALSE,"Business Analysis";#N/A,"SPADD",FALSE,"Business Analysis"}</definedName>
    <definedName name="_41x4_" hidden="1">{#N/A,"PURCHM",FALSE,"Business Analysis";#N/A,"SPADD",FALSE,"Business Analysis"}</definedName>
    <definedName name="_42x5_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2x5_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2x5_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2x5_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3ÿ_0A" localSheetId="2">'[8]Group Commitments'!#REF!</definedName>
    <definedName name="_43ÿ_0A">'[8]Group Commitments'!#REF!</definedName>
    <definedName name="_44ÿ_0C" localSheetId="2">'[8]Group Commitments'!#REF!</definedName>
    <definedName name="_44ÿ_0C">'[8]Group Commitments'!#REF!</definedName>
    <definedName name="_45ÿ_0F" localSheetId="2">'[8]Group Commitments'!#REF!</definedName>
    <definedName name="_45ÿ_0F">'[8]Group Commitments'!#REF!</definedName>
    <definedName name="_46ÿ_0P" localSheetId="2">'[8]Group Commitments'!#REF!</definedName>
    <definedName name="_46ÿ_0P">'[8]Group Commitments'!#REF!</definedName>
    <definedName name="_47z12_" localSheetId="3" hidden="1">{"pro_view",#N/A,FALSE,"EEFSNAP2";"rep_view",#N/A,FALSE,"EEFSNAP2"}</definedName>
    <definedName name="_47z12_" localSheetId="1" hidden="1">{"pro_view",#N/A,FALSE,"EEFSNAP2";"rep_view",#N/A,FALSE,"EEFSNAP2"}</definedName>
    <definedName name="_47z12_" localSheetId="2" hidden="1">{"pro_view",#N/A,FALSE,"EEFSNAP2";"rep_view",#N/A,FALSE,"EEFSNAP2"}</definedName>
    <definedName name="_47z12_" hidden="1">{"pro_view",#N/A,FALSE,"EEFSNAP2";"rep_view",#N/A,FALSE,"EEFSNAP2"}</definedName>
    <definedName name="_48z22_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8z22_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8z22_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8z22_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49z25_" localSheetId="3" hidden="1">{"detail",#N/A,FALSE,"mfg";"summary",#N/A,FALSE,"mfg"}</definedName>
    <definedName name="_49z25_" localSheetId="1" hidden="1">{"detail",#N/A,FALSE,"mfg";"summary",#N/A,FALSE,"mfg"}</definedName>
    <definedName name="_49z25_" localSheetId="2" hidden="1">{"detail",#N/A,FALSE,"mfg";"summary",#N/A,FALSE,"mfg"}</definedName>
    <definedName name="_49z25_" hidden="1">{"detail",#N/A,FALSE,"mfg";"summary",#N/A,FALSE,"mfg"}</definedName>
    <definedName name="_5" localSheetId="2">#REF!</definedName>
    <definedName name="_5">#REF!</definedName>
    <definedName name="_5_????A" localSheetId="2">#REF!</definedName>
    <definedName name="_5_????A">#REF!</definedName>
    <definedName name="_50__0A" localSheetId="2">'[8]Group Commitments'!#REF!</definedName>
    <definedName name="_50__0A">'[8]Group Commitments'!#REF!</definedName>
    <definedName name="_51__0C" localSheetId="2">'[8]Group Commitments'!#REF!</definedName>
    <definedName name="_51__0C">'[8]Group Commitments'!#REF!</definedName>
    <definedName name="_52__0F" localSheetId="2">'[8]Group Commitments'!#REF!</definedName>
    <definedName name="_52__0F">'[8]Group Commitments'!#REF!</definedName>
    <definedName name="_53__0P" localSheetId="2">'[8]Group Commitments'!#REF!</definedName>
    <definedName name="_53__0P">'[8]Group Commitments'!#REF!</definedName>
    <definedName name="_6" localSheetId="2">[3]IB_7!#REF!</definedName>
    <definedName name="_6">[3]IB_7!#REF!</definedName>
    <definedName name="_6_?_0A" localSheetId="2">'[8]Group Commitments'!#REF!</definedName>
    <definedName name="_6_?_0A">'[8]Group Commitments'!#REF!</definedName>
    <definedName name="_7" localSheetId="2">#REF!</definedName>
    <definedName name="_7">#REF!</definedName>
    <definedName name="_7_?_0C" localSheetId="2">'[8]Group Commitments'!#REF!</definedName>
    <definedName name="_7_?_0C">'[8]Group Commitments'!#REF!</definedName>
    <definedName name="_8" localSheetId="2">#REF!</definedName>
    <definedName name="_8">#REF!</definedName>
    <definedName name="_8_?_0F" localSheetId="2">'[8]Group Commitments'!#REF!</definedName>
    <definedName name="_8_?_0F">'[8]Group Commitments'!#REF!</definedName>
    <definedName name="_9" localSheetId="2">#REF!</definedName>
    <definedName name="_9">#REF!</definedName>
    <definedName name="_9_?_0P" localSheetId="2">'[8]Group Commitments'!#REF!</definedName>
    <definedName name="_9_?_0P">'[8]Group Commitments'!#REF!</definedName>
    <definedName name="_abc1" localSheetId="3" hidden="1">{"detail",#N/A,FALSE,"mfg";"summary",#N/A,FALSE,"mfg"}</definedName>
    <definedName name="_abc1" localSheetId="1" hidden="1">{"detail",#N/A,FALSE,"mfg";"summary",#N/A,FALSE,"mfg"}</definedName>
    <definedName name="_abc1" localSheetId="2" hidden="1">{"detail",#N/A,FALSE,"mfg";"summary",#N/A,FALSE,"mfg"}</definedName>
    <definedName name="_abc1" hidden="1">{"detail",#N/A,FALSE,"mfg";"summary",#N/A,FALSE,"mfg"}</definedName>
    <definedName name="_abc2" localSheetId="3" hidden="1">{"detail",#N/A,FALSE,"mfg";"summary",#N/A,FALSE,"mfg"}</definedName>
    <definedName name="_abc2" localSheetId="1" hidden="1">{"detail",#N/A,FALSE,"mfg";"summary",#N/A,FALSE,"mfg"}</definedName>
    <definedName name="_abc2" localSheetId="2" hidden="1">{"detail",#N/A,FALSE,"mfg";"summary",#N/A,FALSE,"mfg"}</definedName>
    <definedName name="_abc2" hidden="1">{"detail",#N/A,FALSE,"mfg";"summary",#N/A,FALSE,"mfg"}</definedName>
    <definedName name="_Acc1" localSheetId="2">#REF!</definedName>
    <definedName name="_Acc1">#REF!</definedName>
    <definedName name="_Acc2" localSheetId="2">#REF!</definedName>
    <definedName name="_Acc2">#REF!</definedName>
    <definedName name="_Acc3" localSheetId="2">#REF!</definedName>
    <definedName name="_Acc3">#REF!</definedName>
    <definedName name="_Acc4" localSheetId="2">#REF!</definedName>
    <definedName name="_Acc4">#REF!</definedName>
    <definedName name="_Acc5" localSheetId="2">#REF!</definedName>
    <definedName name="_Acc5">#REF!</definedName>
    <definedName name="_Acc6" localSheetId="2">#REF!</definedName>
    <definedName name="_Acc6">#REF!</definedName>
    <definedName name="_App1" localSheetId="2">#REF!</definedName>
    <definedName name="_App1">#REF!</definedName>
    <definedName name="_App5" localSheetId="2">#REF!</definedName>
    <definedName name="_App5">#REF!</definedName>
    <definedName name="_Box1">'[9]APRES Input'!$B$9:$F$19</definedName>
    <definedName name="_Box2">'[9]APRES Input'!$B$23:$F$33</definedName>
    <definedName name="_Cat2" localSheetId="2">#REF!</definedName>
    <definedName name="_Cat2">#REF!</definedName>
    <definedName name="_Fill" localSheetId="2" hidden="1">#REF!</definedName>
    <definedName name="_Fill" hidden="1">#REF!</definedName>
    <definedName name="_xlnm._FilterDatabase" localSheetId="3" hidden="1">광주본사!$A$2:$L$81</definedName>
    <definedName name="_xlnm._FilterDatabase" localSheetId="1" hidden="1">화성!$A$2:$M$81</definedName>
    <definedName name="_xlnm._FilterDatabase" localSheetId="0" hidden="1">'LCO2 경쟁사 현황 250630 '!$A$2:$L$9</definedName>
    <definedName name="_xlnm._FilterDatabase" localSheetId="2" hidden="1">'SND(창신)작성'!$A$2:$L$81</definedName>
    <definedName name="_FOR1">"select sum(unireal),sum(unipres),sum(uniant),sum(totreal),sum(totpres),sum(totant) from real_presup_mes_l a, productos_l b where a.codpro=b.codpro and coddep not in('28','00') "</definedName>
    <definedName name="_FOR12" localSheetId="3">[7]!SQL.REQUEST(DNI,,,_FOR1&amp;_FOR2)/1000</definedName>
    <definedName name="_FOR12" localSheetId="1">[7]!SQL.REQUEST(DNI,,,_FOR1&amp;_FOR2)/1000</definedName>
    <definedName name="_FOR12" localSheetId="2">[7]!SQL.REQUEST([0]!DNI,,,[0]!_FOR1&amp;'SND(창신)작성'!_FOR2)/1000</definedName>
    <definedName name="_FOR12">[7]!SQL.REQUEST(DNI,,,_FOR1&amp;_FOR2)/1000</definedName>
    <definedName name="_FOR13" localSheetId="3">[7]!SQL.REQUEST(DNI,,,_FOR1&amp;_FOR3)/1000</definedName>
    <definedName name="_FOR13" localSheetId="1">[7]!SQL.REQUEST(DNI,,,_FOR1&amp;_FOR3)/1000</definedName>
    <definedName name="_FOR13" localSheetId="2">[7]!SQL.REQUEST([0]!DNI,,,[0]!_FOR1&amp;'SND(창신)작성'!_FOR3)/1000</definedName>
    <definedName name="_FOR13">[7]!SQL.REQUEST(DNI,,,_FOR1&amp;_FOR3)/1000</definedName>
    <definedName name="_FOR2" localSheetId="2">"and a.codpro not in('791214246','791515246') and codexp="&amp;#REF!&amp;" and anymes="&amp;#REF!</definedName>
    <definedName name="_FOR2">"and a.codpro not in('791214246','791515246') and codexp="&amp;#REF!&amp;" and anymes="&amp;#REF!</definedName>
    <definedName name="_FOR3" localSheetId="2">"and a.codpro="&amp;#REF!&amp;" and anymes="&amp;#REF!</definedName>
    <definedName name="_FOR3">"and a.codpro="&amp;#REF!&amp;" and anymes="&amp;#REF!</definedName>
    <definedName name="_FOR4" localSheetId="2">"select sum(unireal),sum(unipres),sum(uniant),sum(totreal),sum(totpres),sum(totant) from real_presup_mes_m a, productos_m b where a.codpro=b.codpro and codexp="&amp;#REF!&amp;" and anymes="&amp;#REF!</definedName>
    <definedName name="_FOR4">"select sum(unireal),sum(unipres),sum(uniant),sum(totreal),sum(totpres),sum(totant) from real_presup_mes_m a, productos_m b where a.codpro=b.codpro and codexp="&amp;#REF!&amp;" and anymes="&amp;#REF!</definedName>
    <definedName name="_FOR44" localSheetId="3">[7]!SQL.REQUEST(DNI,,,_FOR4)/1000</definedName>
    <definedName name="_FOR44" localSheetId="1">[7]!SQL.REQUEST(DNI,,,_FOR4)/1000</definedName>
    <definedName name="_FOR44" localSheetId="2">[7]!SQL.REQUEST([0]!DNI,,,'SND(창신)작성'!_FOR4)/1000</definedName>
    <definedName name="_FOR44">[7]!SQL.REQUEST(DNI,,,_FOR4)/1000</definedName>
    <definedName name="_FOR5" localSheetId="2">"SELECT SUM(A.TUBOS_VEN*CASE WHEN B.INDTB IN('E','C') THEN 36 WHEN B.INDTB='D' THEN 18 ELSE 1 END) FROM TUBOS_DEPOSITO_M A, PRODUCTOS_M B WHERE A.CODPRO=B.CODPRO and codexp="&amp;#REF!&amp;" and anymes="&amp;#REF!</definedName>
    <definedName name="_FOR5">"SELECT SUM(A.TUBOS_VEN*CASE WHEN B.INDTB IN('E','C') THEN 36 WHEN B.INDTB='D' THEN 18 ELSE 1 END) FROM TUBOS_DEPOSITO_M A, PRODUCTOS_M B WHERE A.CODPRO=B.CODPRO and codexp="&amp;#REF!&amp;" and anymes="&amp;#REF!</definedName>
    <definedName name="_FOR55" localSheetId="3">[7]!SQL.REQUEST(DNI,,,_FOR5)</definedName>
    <definedName name="_FOR55" localSheetId="1">[7]!SQL.REQUEST(DNI,,,_FOR5)</definedName>
    <definedName name="_FOR55" localSheetId="2">[7]!SQL.REQUEST([0]!DNI,,,'SND(창신)작성'!_FOR5)</definedName>
    <definedName name="_FOR55">[7]!SQL.REQUEST(DNI,,,_FOR5)</definedName>
    <definedName name="_FOR6" localSheetId="2">"SELECT SUM(A.TUBOS_VEN*CASE WHEN B.INDTB IN('E','C') THEN 36 WHEN B.INDTB='D' THEN 18 ELSE 1 END) FROM TUBOS_DEPOSITO_M A, PRODUCTOS_M B WHERE A.CODPRO=B.CODPRO and codexp="&amp;#REF!&amp;" and anymes="&amp;#REF!-100</definedName>
    <definedName name="_FOR6">"SELECT SUM(A.TUBOS_VEN*CASE WHEN B.INDTB IN('E','C') THEN 36 WHEN B.INDTB='D' THEN 18 ELSE 1 END) FROM TUBOS_DEPOSITO_M A, PRODUCTOS_M B WHERE A.CODPRO=B.CODPRO and codexp="&amp;#REF!&amp;" and anymes="&amp;#REF!-100</definedName>
    <definedName name="_FOR66" localSheetId="3">[7]!SQL.REQUEST(DNI,,,_FOR6)</definedName>
    <definedName name="_FOR66" localSheetId="1">[7]!SQL.REQUEST(DNI,,,_FOR6)</definedName>
    <definedName name="_FOR66" localSheetId="2">[7]!SQL.REQUEST([0]!DNI,,,'SND(창신)작성'!_FOR6)</definedName>
    <definedName name="_FOR66">[7]!SQL.REQUEST(DNI,,,_FOR6)</definedName>
    <definedName name="_FOR7" localSheetId="2">"select SUM(TOTREAL-IMPCBREAL-RETREAL),SUM(TOTPRES-IMPCBPRES-RETPRES),SUM(TOTANT-IMPCBANT-RETANT) FROM REAL_PRESUP_MES_M A, PRODUCTOS_M B WHERE A.CODPRO=B.CODPRO and codexp="&amp;#REF!&amp;" and anymes="&amp;#REF!</definedName>
    <definedName name="_FOR7">"select SUM(TOTREAL-IMPCBREAL-RETREAL),SUM(TOTPRES-IMPCBPRES-RETPRES),SUM(TOTANT-IMPCBANT-RETANT) FROM REAL_PRESUP_MES_M A, PRODUCTOS_M B WHERE A.CODPRO=B.CODPRO and codexp="&amp;#REF!&amp;" and anymes="&amp;#REF!</definedName>
    <definedName name="_FOR77" localSheetId="3">[7]!SQL.REQUEST(DNI,,,_FOR7)/1000</definedName>
    <definedName name="_FOR77" localSheetId="1">[7]!SQL.REQUEST(DNI,,,_FOR7)/1000</definedName>
    <definedName name="_FOR77" localSheetId="2">[7]!SQL.REQUEST([0]!DNI,,,'SND(창신)작성'!_FOR7)/1000</definedName>
    <definedName name="_FOR77">[7]!SQL.REQUEST(DNI,,,_FOR7)/1000</definedName>
    <definedName name="_FOR8" localSheetId="2">"SELECT SUM(A.TUBOS_VEN*CASE WHEN B.INDTB IN('E','C') THEN 36 WHEN B.INDTB='D' THEN 18 ELSE 1 END) FROM TUBOS_DEPOSITO_M A, PRODUCTOS_M B WHERE A.CODPRO=B.CODPRO and codexp BETWEEN 901 AND 942 and anymes="&amp;#REF!</definedName>
    <definedName name="_FOR8">"SELECT SUM(A.TUBOS_VEN*CASE WHEN B.INDTB IN('E','C') THEN 36 WHEN B.INDTB='D' THEN 18 ELSE 1 END) FROM TUBOS_DEPOSITO_M A, PRODUCTOS_M B WHERE A.CODPRO=B.CODPRO and codexp BETWEEN 901 AND 942 and anymes="&amp;#REF!</definedName>
    <definedName name="_FOR88" localSheetId="3">[7]!SQL.REQUEST(DNI,,,_FOR8)</definedName>
    <definedName name="_FOR88" localSheetId="1">[7]!SQL.REQUEST(DNI,,,_FOR8)</definedName>
    <definedName name="_FOR88" localSheetId="2">[7]!SQL.REQUEST([0]!DNI,,,'SND(창신)작성'!_FOR8)</definedName>
    <definedName name="_FOR88">[7]!SQL.REQUEST(DNI,,,_FOR8)</definedName>
    <definedName name="_FOR9" localSheetId="2">"SELECT SUM(A.TUBOS_VEN*CASE WHEN B.INDTB IN('E','C') THEN 36 WHEN B.INDTB='D' THEN 18 ELSE 1 END) FROM TUBOS_DEPOSITO_M A, PRODUCTOS_M B WHERE A.CODPRO=B.CODPRO and codexp BETWEEN 901 AND 942 and anymes="&amp;#REF!-100</definedName>
    <definedName name="_FOR9">"SELECT SUM(A.TUBOS_VEN*CASE WHEN B.INDTB IN('E','C') THEN 36 WHEN B.INDTB='D' THEN 18 ELSE 1 END) FROM TUBOS_DEPOSITO_M A, PRODUCTOS_M B WHERE A.CODPRO=B.CODPRO and codexp BETWEEN 901 AND 942 and anymes="&amp;#REF!-100</definedName>
    <definedName name="_FOR99" localSheetId="3">[7]!SQL.REQUEST(DNI,,,_FOR9)</definedName>
    <definedName name="_FOR99" localSheetId="1">[7]!SQL.REQUEST(DNI,,,_FOR9)</definedName>
    <definedName name="_FOR99" localSheetId="2">[7]!SQL.REQUEST([0]!DNI,,,'SND(창신)작성'!_FOR9)</definedName>
    <definedName name="_FOR99">[7]!SQL.REQUEST(DNI,,,_FOR9)</definedName>
    <definedName name="_Fre2" localSheetId="2">#REF!</definedName>
    <definedName name="_Fre2">#REF!</definedName>
    <definedName name="_geg1" localSheetId="2">#REF!</definedName>
    <definedName name="_geg1">#REF!</definedName>
    <definedName name="_HOME_" localSheetId="2">'[2]GI TOTAL'!#REF!</definedName>
    <definedName name="_HOME_">'[2]GI TOTAL'!#REF!</definedName>
    <definedName name="_KET1">#N/A</definedName>
    <definedName name="_KET2">#N/A</definedName>
    <definedName name="_KET3">#N/A</definedName>
    <definedName name="_Key1" localSheetId="2" hidden="1">'[10]손익계산서(SJ)'!#REF!</definedName>
    <definedName name="_Key1" hidden="1">'[10]손익계산서(SJ)'!#REF!</definedName>
    <definedName name="_M" localSheetId="2">#REF!</definedName>
    <definedName name="_M">#REF!</definedName>
    <definedName name="_NNF3" localSheetId="2">#REF!</definedName>
    <definedName name="_NNF3">#REF!</definedName>
    <definedName name="_Order1" hidden="1">255</definedName>
    <definedName name="_Per2" localSheetId="2">#REF!</definedName>
    <definedName name="_Per2">#REF!</definedName>
    <definedName name="_RPT2" localSheetId="2">[11]BUD97!#REF!</definedName>
    <definedName name="_RPT2">[11]BUD97!#REF!</definedName>
    <definedName name="_xx10" localSheetId="3" hidden="1">{#N/A,"PURCHM",FALSE,"Business Analysis";#N/A,"SPADD",FALSE,"Business Analysis"}</definedName>
    <definedName name="_xx10" localSheetId="1" hidden="1">{#N/A,"PURCHM",FALSE,"Business Analysis";#N/A,"SPADD",FALSE,"Business Analysis"}</definedName>
    <definedName name="_xx10" localSheetId="2" hidden="1">{#N/A,"PURCHM",FALSE,"Business Analysis";#N/A,"SPADD",FALSE,"Business Analysis"}</definedName>
    <definedName name="_xx10" hidden="1">{#N/A,"PURCHM",FALSE,"Business Analysis";#N/A,"SPADD",FALSE,"Business Analysis"}</definedName>
    <definedName name="_xx3" localSheetId="3" hidden="1">{"detail",#N/A,FALSE,"mfg";"summary",#N/A,FALSE,"mfg"}</definedName>
    <definedName name="_xx3" localSheetId="1" hidden="1">{"detail",#N/A,FALSE,"mfg";"summary",#N/A,FALSE,"mfg"}</definedName>
    <definedName name="_xx3" localSheetId="2" hidden="1">{"detail",#N/A,FALSE,"mfg";"summary",#N/A,FALSE,"mfg"}</definedName>
    <definedName name="_xx3" hidden="1">{"detail",#N/A,FALSE,"mfg";"summary",#N/A,FALSE,"mfg"}</definedName>
    <definedName name="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localSheetId="3" hidden="1">{"oct_res_comm",#N/A,FALSE,"VarToBud"}</definedName>
    <definedName name="_xx7" localSheetId="1" hidden="1">{"oct_res_comm",#N/A,FALSE,"VarToBud"}</definedName>
    <definedName name="_xx7" localSheetId="2" hidden="1">{"oct_res_comm",#N/A,FALSE,"VarToBud"}</definedName>
    <definedName name="_xx7" hidden="1">{"oct_res_comm",#N/A,FALSE,"VarToBud"}</definedName>
    <definedName name="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localSheetId="3" hidden="1">{"AS REP",#N/A,FALSE,"EEFSNAP2";"PROP",#N/A,FALSE,"EEFSNAP2";"RISKS",#N/A,FALSE,"EEFSNAP2";"VIEW ALL",#N/A,FALSE,"EEFSNAP2"}</definedName>
    <definedName name="_xx9" localSheetId="1" hidden="1">{"AS REP",#N/A,FALSE,"EEFSNAP2";"PROP",#N/A,FALSE,"EEFSNAP2";"RISKS",#N/A,FALSE,"EEFSNAP2";"VIEW ALL",#N/A,FALSE,"EEFSNAP2"}</definedName>
    <definedName name="_xx9" localSheetId="2" hidden="1">{"AS REP",#N/A,FALSE,"EEFSNAP2";"PROP",#N/A,FALSE,"EEFSNAP2";"RISKS",#N/A,FALSE,"EEFSNAP2";"VIEW ALL",#N/A,FALSE,"EEFSNAP2"}</definedName>
    <definedName name="_xx9" hidden="1">{"AS REP",#N/A,FALSE,"EEFSNAP2";"PROP",#N/A,FALSE,"EEFSNAP2";"RISKS",#N/A,FALSE,"EEFSNAP2";"VIEW ALL",#N/A,FALSE,"EEFSNAP2"}</definedName>
    <definedName name="_zz1" localSheetId="3" hidden="1">{"pro_view",#N/A,FALSE,"EEFSNAP2";"rep_view",#N/A,FALSE,"EEFSNAP2"}</definedName>
    <definedName name="_zz1" localSheetId="1" hidden="1">{"pro_view",#N/A,FALSE,"EEFSNAP2";"rep_view",#N/A,FALSE,"EEFSNAP2"}</definedName>
    <definedName name="_zz1" localSheetId="2" hidden="1">{"pro_view",#N/A,FALSE,"EEFSNAP2";"rep_view",#N/A,FALSE,"EEFSNAP2"}</definedName>
    <definedName name="_zz1" hidden="1">{"pro_view",#N/A,FALSE,"EEFSNAP2";"rep_view",#N/A,FALSE,"EEFSNAP2"}</definedName>
    <definedName name="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\0" localSheetId="2">#REF!</definedName>
    <definedName name="\0">#REF!</definedName>
    <definedName name="\A" localSheetId="2">#REF!</definedName>
    <definedName name="\A">#REF!</definedName>
    <definedName name="\b" localSheetId="2">'[2]GI TOTAL'!#REF!</definedName>
    <definedName name="\b">'[2]GI TOTAL'!#REF!</definedName>
    <definedName name="\c" localSheetId="2">'[2]GI TOTAL'!#REF!</definedName>
    <definedName name="\c">'[2]GI TOTAL'!#REF!</definedName>
    <definedName name="\D" localSheetId="2">#REF!</definedName>
    <definedName name="\D">#REF!</definedName>
    <definedName name="\e" localSheetId="2">'[2]GI TOTAL'!#REF!</definedName>
    <definedName name="\e">'[2]GI TOTAL'!#REF!</definedName>
    <definedName name="\f" localSheetId="2">'[2]GI TOTAL'!#REF!</definedName>
    <definedName name="\f">'[2]GI TOTAL'!#REF!</definedName>
    <definedName name="\g" localSheetId="2">'[2]GI TOTAL'!#REF!</definedName>
    <definedName name="\g">'[2]GI TOTAL'!#REF!</definedName>
    <definedName name="\I" localSheetId="2">#REF!</definedName>
    <definedName name="\I">#REF!</definedName>
    <definedName name="\j" localSheetId="2">'[2]GI TOTAL'!#REF!</definedName>
    <definedName name="\j">'[2]GI TOTAL'!#REF!</definedName>
    <definedName name="\k" localSheetId="2">'[2]GI TOTAL'!#REF!</definedName>
    <definedName name="\k">'[2]GI TOTAL'!#REF!</definedName>
    <definedName name="\L" localSheetId="2">#REF!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o" localSheetId="2">'[2]GI TOTAL'!#REF!</definedName>
    <definedName name="\o">'[2]GI TOTAL'!#REF!</definedName>
    <definedName name="\P" localSheetId="2">#REF!</definedName>
    <definedName name="\P">#REF!</definedName>
    <definedName name="\q" localSheetId="2">'[2]GI TOTAL'!#REF!</definedName>
    <definedName name="\q">'[2]GI TOTAL'!#REF!</definedName>
    <definedName name="\r" localSheetId="2">'[2]GI TOTAL'!#REF!</definedName>
    <definedName name="\r">'[2]GI TOTAL'!#REF!</definedName>
    <definedName name="\S" localSheetId="2">#REF!</definedName>
    <definedName name="\S">#REF!</definedName>
    <definedName name="\ss" localSheetId="2">#REF!</definedName>
    <definedName name="\ss">#REF!</definedName>
    <definedName name="\T" localSheetId="2">#REF!</definedName>
    <definedName name="\T">#REF!</definedName>
    <definedName name="\u" localSheetId="2">'[2]GI TOTAL'!#REF!</definedName>
    <definedName name="\u">'[2]GI TOTAL'!#REF!</definedName>
    <definedName name="\V" localSheetId="2">#REF!</definedName>
    <definedName name="\V">#REF!</definedName>
    <definedName name="\w" localSheetId="2">'[2]GI TOTAL'!#REF!</definedName>
    <definedName name="\w">'[2]GI TOTAL'!#REF!</definedName>
    <definedName name="\x" localSheetId="2">'[2]GI TOTAL'!#REF!</definedName>
    <definedName name="\x">'[2]GI TOTAL'!#REF!</definedName>
    <definedName name="\y" localSheetId="2">'[2]GI TOTAL'!#REF!</definedName>
    <definedName name="\y">'[2]GI TOTAL'!#REF!</definedName>
    <definedName name="\Z" localSheetId="2">#REF!</definedName>
    <definedName name="\Z">#REF!</definedName>
    <definedName name="¤±" localSheetId="2">#REF!</definedName>
    <definedName name="¤±">#REF!</definedName>
    <definedName name="¾îÀ½±¸ºÐ" localSheetId="2">#REF!,#REF!</definedName>
    <definedName name="¾îÀ½±¸ºÐ">#REF!,#REF!</definedName>
    <definedName name="구" localSheetId="3" hidden="1">{#N/A,"PURCHM",FALSE,"Business Analysis";#N/A,"SPADD",FALSE,"Business Analysis"}</definedName>
    <definedName name="구" localSheetId="1" hidden="1">{#N/A,"PURCHM",FALSE,"Business Analysis";#N/A,"SPADD",FALSE,"Business Analysis"}</definedName>
    <definedName name="구" localSheetId="2" hidden="1">{#N/A,"PURCHM",FALSE,"Business Analysis";#N/A,"SPADD",FALSE,"Business Analysis"}</definedName>
    <definedName name="구" hidden="1">{#N/A,"PURCHM",FALSE,"Business Analysis";#N/A,"SPADD",FALSE,"Business Analysis"}</definedName>
    <definedName name="ㄴ" localSheetId="2" hidden="1">'[1]Est P&amp;L'!#REF!</definedName>
    <definedName name="ㄴ" hidden="1">'[1]Est P&amp;L'!#REF!</definedName>
    <definedName name="ㄷㄷㄱㄷ" localSheetId="2" hidden="1">'[1]Est P&amp;L'!#REF!</definedName>
    <definedName name="ㄷㄷㄱㄷ" hidden="1">'[1]Est P&amp;L'!#REF!</definedName>
    <definedName name="다다ㅏㄷ" localSheetId="2">#REF!</definedName>
    <definedName name="다다ㅏㄷ">#REF!</definedName>
    <definedName name="대차대조표" localSheetId="2">#REF!</definedName>
    <definedName name="대차대조표">#REF!</definedName>
    <definedName name="대차분석" localSheetId="2">#REF!</definedName>
    <definedName name="대차분석">#REF!</definedName>
    <definedName name="대차분석A" localSheetId="2">#REF!</definedName>
    <definedName name="대차분석A">#REF!</definedName>
    <definedName name="ㅁ" localSheetId="2">#REF!</definedName>
    <definedName name="ㅁ">#REF!</definedName>
    <definedName name="미착" localSheetId="3" hidden="1">{#N/A,#N/A,FALSE,"BS";#N/A,#N/A,FALSE,"PL";#N/A,#N/A,FALSE,"처분";#N/A,#N/A,FALSE,"현금";#N/A,#N/A,FALSE,"매출";#N/A,#N/A,FALSE,"원가";#N/A,#N/A,FALSE,"경영"}</definedName>
    <definedName name="미착" localSheetId="1" hidden="1">{#N/A,#N/A,FALSE,"BS";#N/A,#N/A,FALSE,"PL";#N/A,#N/A,FALSE,"처분";#N/A,#N/A,FALSE,"현금";#N/A,#N/A,FALSE,"매출";#N/A,#N/A,FALSE,"원가";#N/A,#N/A,FALSE,"경영"}</definedName>
    <definedName name="미착" localSheetId="2" hidden="1">{#N/A,#N/A,FALSE,"BS";#N/A,#N/A,FALSE,"PL";#N/A,#N/A,FALSE,"처분";#N/A,#N/A,FALSE,"현금";#N/A,#N/A,FALSE,"매출";#N/A,#N/A,FALSE,"원가";#N/A,#N/A,FALSE,"경영"}</definedName>
    <definedName name="미착" hidden="1">{#N/A,#N/A,FALSE,"BS";#N/A,#N/A,FALSE,"PL";#N/A,#N/A,FALSE,"처분";#N/A,#N/A,FALSE,"현금";#N/A,#N/A,FALSE,"매출";#N/A,#N/A,FALSE,"원가";#N/A,#N/A,FALSE,"경영"}</definedName>
    <definedName name="미착10월" localSheetId="3" hidden="1">{#N/A,#N/A,FALSE,"BS";#N/A,#N/A,FALSE,"PL";#N/A,#N/A,FALSE,"처분";#N/A,#N/A,FALSE,"현금";#N/A,#N/A,FALSE,"매출";#N/A,#N/A,FALSE,"원가";#N/A,#N/A,FALSE,"경영"}</definedName>
    <definedName name="미착10월" localSheetId="1" hidden="1">{#N/A,#N/A,FALSE,"BS";#N/A,#N/A,FALSE,"PL";#N/A,#N/A,FALSE,"처분";#N/A,#N/A,FALSE,"현금";#N/A,#N/A,FALSE,"매출";#N/A,#N/A,FALSE,"원가";#N/A,#N/A,FALSE,"경영"}</definedName>
    <definedName name="미착10월" localSheetId="2" hidden="1">{#N/A,#N/A,FALSE,"BS";#N/A,#N/A,FALSE,"PL";#N/A,#N/A,FALSE,"처분";#N/A,#N/A,FALSE,"현금";#N/A,#N/A,FALSE,"매출";#N/A,#N/A,FALSE,"원가";#N/A,#N/A,FALSE,"경영"}</definedName>
    <definedName name="미착10월" hidden="1">{#N/A,#N/A,FALSE,"BS";#N/A,#N/A,FALSE,"PL";#N/A,#N/A,FALSE,"처분";#N/A,#N/A,FALSE,"현금";#N/A,#N/A,FALSE,"매출";#N/A,#N/A,FALSE,"원가";#N/A,#N/A,FALSE,"경영"}</definedName>
    <definedName name="ㅂㅁ" localSheetId="3" hidden="1">{#N/A,"PURCHM",FALSE,"Business Analysis";#N/A,"SPADD",FALSE,"Business Analysis"}</definedName>
    <definedName name="ㅂㅁ" localSheetId="1" hidden="1">{#N/A,"PURCHM",FALSE,"Business Analysis";#N/A,"SPADD",FALSE,"Business Analysis"}</definedName>
    <definedName name="ㅂㅁ" localSheetId="2" hidden="1">{#N/A,"PURCHM",FALSE,"Business Analysis";#N/A,"SPADD",FALSE,"Business Analysis"}</definedName>
    <definedName name="ㅂㅁ" hidden="1">{#N/A,"PURCHM",FALSE,"Business Analysis";#N/A,"SPADD",FALSE,"Business Analysis"}</definedName>
    <definedName name="어음구분" localSheetId="2">#REF!,#REF!</definedName>
    <definedName name="어음구분">#REF!,#REF!</definedName>
    <definedName name="울산3" localSheetId="3" hidden="1">{"detail",#N/A,FALSE,"mfg";"summary",#N/A,FALSE,"mfg"}</definedName>
    <definedName name="울산3" localSheetId="1" hidden="1">{"detail",#N/A,FALSE,"mfg";"summary",#N/A,FALSE,"mfg"}</definedName>
    <definedName name="울산3" localSheetId="2" hidden="1">{"detail",#N/A,FALSE,"mfg";"summary",#N/A,FALSE,"mfg"}</definedName>
    <definedName name="울산3" hidden="1">{"detail",#N/A,FALSE,"mfg";"summary",#N/A,FALSE,"mfg"}</definedName>
    <definedName name="이" localSheetId="3" hidden="1">{"vol data",#N/A,FALSE,"Datasheet";"vol graph",#N/A,FALSE,"Volume";"price data",#N/A,FALSE,"Datasheet";"price graph",#N/A,FALSE,"Price";"dp data",#N/A,FALSE,"Datasheet";"dp graph",#N/A,FALSE,"DirectProfit"}</definedName>
    <definedName name="이" localSheetId="1" hidden="1">{"vol data",#N/A,FALSE,"Datasheet";"vol graph",#N/A,FALSE,"Volume";"price data",#N/A,FALSE,"Datasheet";"price graph",#N/A,FALSE,"Price";"dp data",#N/A,FALSE,"Datasheet";"dp graph",#N/A,FALSE,"DirectProfit"}</definedName>
    <definedName name="이" localSheetId="2" hidden="1">{"vol data",#N/A,FALSE,"Datasheet";"vol graph",#N/A,FALSE,"Volume";"price data",#N/A,FALSE,"Datasheet";"price graph",#N/A,FALSE,"Price";"dp data",#N/A,FALSE,"Datasheet";"dp graph",#N/A,FALSE,"DirectProfit"}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잡손익2" localSheetId="3" hidden="1">{#N/A,#N/A,FALSE,"BS";#N/A,#N/A,FALSE,"PL";#N/A,#N/A,FALSE,"처분";#N/A,#N/A,FALSE,"현금";#N/A,#N/A,FALSE,"매출";#N/A,#N/A,FALSE,"원가";#N/A,#N/A,FALSE,"경영"}</definedName>
    <definedName name="잡손익2" localSheetId="1" hidden="1">{#N/A,#N/A,FALSE,"BS";#N/A,#N/A,FALSE,"PL";#N/A,#N/A,FALSE,"처분";#N/A,#N/A,FALSE,"현금";#N/A,#N/A,FALSE,"매출";#N/A,#N/A,FALSE,"원가";#N/A,#N/A,FALSE,"경영"}</definedName>
    <definedName name="잡손익2" localSheetId="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조정" localSheetId="2" hidden="1">#REF!</definedName>
    <definedName name="조정" hidden="1">#REF!</definedName>
    <definedName name="현금" localSheetId="2">#REF!</definedName>
    <definedName name="현금">#REF!</definedName>
    <definedName name="A" localSheetId="3" hidden="1">{#N/A,"PURCHM",FALSE,"Business Analysis";#N/A,"SPADD",FALSE,"Business Analysis"}</definedName>
    <definedName name="A" localSheetId="1" hidden="1">{#N/A,"PURCHM",FALSE,"Business Analysis";#N/A,"SPADD",FALSE,"Business Analysis"}</definedName>
    <definedName name="A" localSheetId="2" hidden="1">{#N/A,"PURCHM",FALSE,"Business Analysis";#N/A,"SPADD",FALSE,"Business Analysis"}</definedName>
    <definedName name="A" hidden="1">{#N/A,"PURCHM",FALSE,"Business Analysis";#N/A,"SPADD",FALSE,"Business Analysis"}</definedName>
    <definedName name="aa" localSheetId="3" hidden="1">{#N/A,"PURCHM",FALSE,"Business Analysis";#N/A,"SPADD",FALSE,"Business Analysis"}</definedName>
    <definedName name="aa" localSheetId="1" hidden="1">{#N/A,"PURCHM",FALSE,"Business Analysis";#N/A,"SPADD",FALSE,"Business Analysis"}</definedName>
    <definedName name="aa" localSheetId="2" hidden="1">{#N/A,"PURCHM",FALSE,"Business Analysis";#N/A,"SPADD",FALSE,"Business Analysis"}</definedName>
    <definedName name="aa" hidden="1">{#N/A,"PURCHM",FALSE,"Business Analysis";#N/A,"SPADD",FALSE,"Business Analysis"}</definedName>
    <definedName name="aaa" localSheetId="3" hidden="1">{#N/A,"PURCHM",FALSE,"Business Analysis";#N/A,"SPADD",FALSE,"Business Analysis"}</definedName>
    <definedName name="aaa" localSheetId="1" hidden="1">{#N/A,"PURCHM",FALSE,"Business Analysis";#N/A,"SPADD",FALSE,"Business Analysis"}</definedName>
    <definedName name="aaa" localSheetId="2" hidden="1">{#N/A,"PURCHM",FALSE,"Business Analysis";#N/A,"SPADD",FALSE,"Business Analysis"}</definedName>
    <definedName name="aaa" hidden="1">{#N/A,"PURCHM",FALSE,"Business Analysis";#N/A,"SPADD",FALSE,"Business Analysis"}</definedName>
    <definedName name="aaaa" localSheetId="3" hidden="1">{#N/A,#N/A,FALSE,"IS US";#N/A,#N/A,FALSE,"BS US";#N/A,#N/A,FALSE,"IS LOCAL";#N/A,#N/A,FALSE,"BS INPUT";#N/A,#N/A,FALSE,"EQUITY";#N/A,#N/A,FALSE,"LOCAL ADJ";#N/A,#N/A,FALSE,"GAAP ADJ"}</definedName>
    <definedName name="aaaa" localSheetId="1" hidden="1">{#N/A,#N/A,FALSE,"IS US";#N/A,#N/A,FALSE,"BS US";#N/A,#N/A,FALSE,"IS LOCAL";#N/A,#N/A,FALSE,"BS INPUT";#N/A,#N/A,FALSE,"EQUITY";#N/A,#N/A,FALSE,"LOCAL ADJ";#N/A,#N/A,FALSE,"GAAP ADJ"}</definedName>
    <definedName name="aaaa" localSheetId="2" hidden="1">{#N/A,#N/A,FALSE,"IS US";#N/A,#N/A,FALSE,"BS US";#N/A,#N/A,FALSE,"IS LOCAL";#N/A,#N/A,FALSE,"BS INPUT";#N/A,#N/A,FALSE,"EQUITY";#N/A,#N/A,FALSE,"LOCAL ADJ";#N/A,#N/A,FALSE,"GAAP ADJ"}</definedName>
    <definedName name="aaaa" hidden="1">{#N/A,#N/A,FALSE,"IS US";#N/A,#N/A,FALSE,"BS US";#N/A,#N/A,FALSE,"IS LOCAL";#N/A,#N/A,FALSE,"BS INPUT";#N/A,#N/A,FALSE,"EQUITY";#N/A,#N/A,FALSE,"LOCAL ADJ";#N/A,#N/A,FALSE,"GAAP ADJ"}</definedName>
    <definedName name="aaaa1111" localSheetId="3" hidden="1">{"detail",#N/A,FALSE,"mfg";"summary",#N/A,FALSE,"mfg"}</definedName>
    <definedName name="aaaa1111" localSheetId="1" hidden="1">{"detail",#N/A,FALSE,"mfg";"summary",#N/A,FALSE,"mfg"}</definedName>
    <definedName name="aaaa1111" localSheetId="2" hidden="1">{"detail",#N/A,FALSE,"mfg";"summary",#N/A,FALSE,"mfg"}</definedName>
    <definedName name="aaaa1111" hidden="1">{"detail",#N/A,FALSE,"mfg";"summary",#N/A,FALSE,"mfg"}</definedName>
    <definedName name="aaaaa" localSheetId="3" hidden="1">{#N/A,"PURCHM",FALSE,"Business Analysis";#N/A,"SPADD",FALSE,"Business Analysis"}</definedName>
    <definedName name="aaaaa" localSheetId="1" hidden="1">{#N/A,"PURCHM",FALSE,"Business Analysis";#N/A,"SPADD",FALSE,"Business Analysis"}</definedName>
    <definedName name="aaaaa" localSheetId="2" hidden="1">{#N/A,"PURCHM",FALSE,"Business Analysis";#N/A,"SPADD",FALSE,"Business Analysis"}</definedName>
    <definedName name="aaaaa" hidden="1">{#N/A,"PURCHM",FALSE,"Business Analysis";#N/A,"SPADD",FALSE,"Business Analysis"}</definedName>
    <definedName name="aaaaaa" localSheetId="3" hidden="1">{"detail",#N/A,FALSE,"mfg";"summary",#N/A,FALSE,"mfg"}</definedName>
    <definedName name="aaaaaa" localSheetId="1" hidden="1">{"detail",#N/A,FALSE,"mfg";"summary",#N/A,FALSE,"mfg"}</definedName>
    <definedName name="aaaaaa" localSheetId="2" hidden="1">{"detail",#N/A,FALSE,"mfg";"summary",#N/A,FALSE,"mfg"}</definedName>
    <definedName name="aaaaaa" hidden="1">{"detail",#N/A,FALSE,"mfg";"summary",#N/A,FALSE,"mfg"}</definedName>
    <definedName name="aaaaaaa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aaaaa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aaaaa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aaaa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aaaaaaaa" localSheetId="3" hidden="1">{#N/A,"PURCHM",FALSE,"Business Analysis";#N/A,"SPADD",FALSE,"Business Analysis"}</definedName>
    <definedName name="aaaaaaaaa" localSheetId="1" hidden="1">{#N/A,"PURCHM",FALSE,"Business Analysis";#N/A,"SPADD",FALSE,"Business Analysis"}</definedName>
    <definedName name="aaaaaaaaa" localSheetId="2" hidden="1">{#N/A,"PURCHM",FALSE,"Business Analysis";#N/A,"SPADD",FALSE,"Business Analysis"}</definedName>
    <definedName name="aaaaaaaaa" hidden="1">{#N/A,"PURCHM",FALSE,"Business Analysis";#N/A,"SPADD",FALSE,"Business Analysis"}</definedName>
    <definedName name="aaaaaaaaaaaaaaa" localSheetId="3" hidden="1">{"detail",#N/A,FALSE,"mfg";"summary",#N/A,FALSE,"mfg"}</definedName>
    <definedName name="aaaaaaaaaaaaaaa" localSheetId="1" hidden="1">{"detail",#N/A,FALSE,"mfg";"summary",#N/A,FALSE,"mfg"}</definedName>
    <definedName name="aaaaaaaaaaaaaaa" localSheetId="2" hidden="1">{"detail",#N/A,FALSE,"mfg";"summary",#N/A,FALSE,"mfg"}</definedName>
    <definedName name="aaaaaaaaaaaaaaa" hidden="1">{"detail",#N/A,FALSE,"mfg";"summary",#N/A,FALSE,"mfg"}</definedName>
    <definedName name="aaaaaaaaaaaaaaaa" localSheetId="2">#REF!</definedName>
    <definedName name="aaaaaaaaaaaaaaaa">#REF!</definedName>
    <definedName name="aaaaaaaaaaaaaaaaa" localSheetId="3" hidden="1">{#N/A,"PURCHM",FALSE,"Business Analysis";#N/A,"SPADD",FALSE,"Business Analysis"}</definedName>
    <definedName name="aaaaaaaaaaaaaaaaa" localSheetId="1" hidden="1">{#N/A,"PURCHM",FALSE,"Business Analysis";#N/A,"SPADD",FALSE,"Business Analysis"}</definedName>
    <definedName name="aaaaaaaaaaaaaaaaa" localSheetId="2" hidden="1">{#N/A,"PURCHM",FALSE,"Business Analysis";#N/A,"SPADD",FALSE,"Business Analysis"}</definedName>
    <definedName name="aaaaaaaaaaaaaaaaa" hidden="1">{#N/A,"PURCHM",FALSE,"Business Analysis";#N/A,"SPADD",FALSE,"Business Analysis"}</definedName>
    <definedName name="aaaaaaaaaaaaaaaaaa" localSheetId="2">[12]Volumes!#REF!</definedName>
    <definedName name="aaaaaaaaaaaaaaaaaa">[12]Volumes!#REF!</definedName>
    <definedName name="aaaqq" localSheetId="2">[13]Volumes!#REF!</definedName>
    <definedName name="aaaqq">[13]Volumes!#REF!</definedName>
    <definedName name="AAC" localSheetId="3" hidden="1">{#N/A,"PURCHM",FALSE,"Business Analysis";#N/A,"SPADD",FALSE,"Business Analysis"}</definedName>
    <definedName name="AAC" localSheetId="1" hidden="1">{#N/A,"PURCHM",FALSE,"Business Analysis";#N/A,"SPADD",FALSE,"Business Analysis"}</definedName>
    <definedName name="AAC" localSheetId="2" hidden="1">{#N/A,"PURCHM",FALSE,"Business Analysis";#N/A,"SPADD",FALSE,"Business Analysis"}</definedName>
    <definedName name="AAC" hidden="1">{#N/A,"PURCHM",FALSE,"Business Analysis";#N/A,"SPADD",FALSE,"Business Analysis"}</definedName>
    <definedName name="aass" localSheetId="3" hidden="1">{"detail",#N/A,FALSE,"mfg";"summary",#N/A,FALSE,"mfg"}</definedName>
    <definedName name="aass" localSheetId="1" hidden="1">{"detail",#N/A,FALSE,"mfg";"summary",#N/A,FALSE,"mfg"}</definedName>
    <definedName name="aass" localSheetId="2" hidden="1">{"detail",#N/A,FALSE,"mfg";"summary",#N/A,FALSE,"mfg"}</definedName>
    <definedName name="aass" hidden="1">{"detail",#N/A,FALSE,"mfg";"summary",#N/A,FALSE,"mfg"}</definedName>
    <definedName name="ab" localSheetId="3">광주본사!ab</definedName>
    <definedName name="ab" localSheetId="1">화성!ab</definedName>
    <definedName name="ab" localSheetId="2">'SND(창신)작성'!ab</definedName>
    <definedName name="ab">[0]!ab</definedName>
    <definedName name="abc" localSheetId="3" hidden="1">{"detail",#N/A,FALSE,"mfg";"summary",#N/A,FALSE,"mfg"}</definedName>
    <definedName name="abc" localSheetId="1" hidden="1">{"detail",#N/A,FALSE,"mfg";"summary",#N/A,FALSE,"mfg"}</definedName>
    <definedName name="abc" localSheetId="2" hidden="1">{"detail",#N/A,FALSE,"mfg";"summary",#N/A,FALSE,"mfg"}</definedName>
    <definedName name="abc" hidden="1">{"detail",#N/A,FALSE,"mfg";"summary",#N/A,FALSE,"mfg"}</definedName>
    <definedName name="abcd" localSheetId="3" hidden="1">{#N/A,"PURCHM",FALSE,"Business Analysis";#N/A,"SPADD",FALSE,"Business Analysis"}</definedName>
    <definedName name="abcd" localSheetId="1" hidden="1">{#N/A,"PURCHM",FALSE,"Business Analysis";#N/A,"SPADD",FALSE,"Business Analysis"}</definedName>
    <definedName name="abcd" localSheetId="2" hidden="1">{#N/A,"PURCHM",FALSE,"Business Analysis";#N/A,"SPADD",FALSE,"Business Analysis"}</definedName>
    <definedName name="abcd" hidden="1">{#N/A,"PURCHM",FALSE,"Business Analysis";#N/A,"SPADD",FALSE,"Business Analysis"}</definedName>
    <definedName name="abcd1" localSheetId="3" hidden="1">{#N/A,"PURCHM",FALSE,"Business Analysis";#N/A,"SPADD",FALSE,"Business Analysis"}</definedName>
    <definedName name="abcd1" localSheetId="1" hidden="1">{#N/A,"PURCHM",FALSE,"Business Analysis";#N/A,"SPADD",FALSE,"Business Analysis"}</definedName>
    <definedName name="abcd1" localSheetId="2" hidden="1">{#N/A,"PURCHM",FALSE,"Business Analysis";#N/A,"SPADD",FALSE,"Business Analysis"}</definedName>
    <definedName name="abcd1" hidden="1">{#N/A,"PURCHM",FALSE,"Business Analysis";#N/A,"SPADD",FALSE,"Business Analysis"}</definedName>
    <definedName name="abcd2" localSheetId="3" hidden="1">{#N/A,"PURCHM",FALSE,"Business Analysis";#N/A,"SPADD",FALSE,"Business Analysis"}</definedName>
    <definedName name="abcd2" localSheetId="1" hidden="1">{#N/A,"PURCHM",FALSE,"Business Analysis";#N/A,"SPADD",FALSE,"Business Analysis"}</definedName>
    <definedName name="abcd2" localSheetId="2" hidden="1">{#N/A,"PURCHM",FALSE,"Business Analysis";#N/A,"SPADD",FALSE,"Business Analysis"}</definedName>
    <definedName name="abcd2" hidden="1">{#N/A,"PURCHM",FALSE,"Business Analysis";#N/A,"SPADD",FALSE,"Business Analysis"}</definedName>
    <definedName name="abcde" localSheetId="3" hidden="1">{"detail",#N/A,FALSE,"mfg";"summary",#N/A,FALSE,"mfg"}</definedName>
    <definedName name="abcde" localSheetId="1" hidden="1">{"detail",#N/A,FALSE,"mfg";"summary",#N/A,FALSE,"mfg"}</definedName>
    <definedName name="abcde" localSheetId="2" hidden="1">{"detail",#N/A,FALSE,"mfg";"summary",#N/A,FALSE,"mfg"}</definedName>
    <definedName name="abcde" hidden="1">{"detail",#N/A,FALSE,"mfg";"summary",#N/A,FALSE,"mfg"}</definedName>
    <definedName name="abcdef" localSheetId="3" hidden="1">{#N/A,"PURCHM",FALSE,"Business Analysis";#N/A,"SPADD",FALSE,"Business Analysis"}</definedName>
    <definedName name="abcdef" localSheetId="1" hidden="1">{#N/A,"PURCHM",FALSE,"Business Analysis";#N/A,"SPADD",FALSE,"Business Analysis"}</definedName>
    <definedName name="abcdef" localSheetId="2" hidden="1">{#N/A,"PURCHM",FALSE,"Business Analysis";#N/A,"SPADD",FALSE,"Business Analysis"}</definedName>
    <definedName name="abcdef" hidden="1">{#N/A,"PURCHM",FALSE,"Business Analysis";#N/A,"SPADD",FALSE,"Business Analysis"}</definedName>
    <definedName name="Acc" localSheetId="2">#REF!</definedName>
    <definedName name="Acc">#REF!</definedName>
    <definedName name="AccOHED" localSheetId="2">'[14]Overview data'!#REF!</definedName>
    <definedName name="AccOHED">'[14]Overview data'!#REF!</definedName>
    <definedName name="act" localSheetId="2">#REF!</definedName>
    <definedName name="act">#REF!</definedName>
    <definedName name="ACT_92" localSheetId="2">#REF!</definedName>
    <definedName name="ACT_92">#REF!</definedName>
    <definedName name="ACT_94" localSheetId="2">#REF!</definedName>
    <definedName name="ACT_94">#REF!</definedName>
    <definedName name="actionpl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PerfDivisions">[15]Menus!$B$153:$F$181</definedName>
    <definedName name="ad" localSheetId="3">광주본사!ad</definedName>
    <definedName name="ad" localSheetId="1">화성!ad</definedName>
    <definedName name="ad" localSheetId="2">'SND(창신)작성'!ad</definedName>
    <definedName name="ad">[0]!ad</definedName>
    <definedName name="adafd" localSheetId="3" hidden="1">{"detail",#N/A,FALSE,"mfg";"summary",#N/A,FALSE,"mfg"}</definedName>
    <definedName name="adafd" localSheetId="1" hidden="1">{"detail",#N/A,FALSE,"mfg";"summary",#N/A,FALSE,"mfg"}</definedName>
    <definedName name="adafd" localSheetId="2" hidden="1">{"detail",#N/A,FALSE,"mfg";"summary",#N/A,FALSE,"mfg"}</definedName>
    <definedName name="adafd" hidden="1">{"detail",#N/A,FALSE,"mfg";"summary",#N/A,FALSE,"mfg"}</definedName>
    <definedName name="adfd" localSheetId="3" hidden="1">{"sales growth",#N/A,FALSE,"summary";"oper income",#N/A,FALSE,"summary";"oros rank",#N/A,FALSE,"summary";"net assets",#N/A,FALSE,"summary";"asset turnover",#N/A,FALSE,"summary";"orona",#N/A,FALSE,"summary"}</definedName>
    <definedName name="adfd" localSheetId="1" hidden="1">{"sales growth",#N/A,FALSE,"summary";"oper income",#N/A,FALSE,"summary";"oros rank",#N/A,FALSE,"summary";"net assets",#N/A,FALSE,"summary";"asset turnover",#N/A,FALSE,"summary";"orona",#N/A,FALSE,"summary"}</definedName>
    <definedName name="adfd" localSheetId="2" hidden="1">{"sales growth",#N/A,FALSE,"summary";"oper income",#N/A,FALSE,"summary";"oros rank",#N/A,FALSE,"summary";"net assets",#N/A,FALSE,"summary";"asset turnover",#N/A,FALSE,"summary";"orona",#N/A,FALSE,"summary"}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gfgd" localSheetId="3" hidden="1">{"detail",#N/A,FALSE,"mfg";"summary",#N/A,FALSE,"mfg"}</definedName>
    <definedName name="adgfgd" localSheetId="1" hidden="1">{"detail",#N/A,FALSE,"mfg";"summary",#N/A,FALSE,"mfg"}</definedName>
    <definedName name="adgfgd" localSheetId="2" hidden="1">{"detail",#N/A,FALSE,"mfg";"summary",#N/A,FALSE,"mfg"}</definedName>
    <definedName name="adgfgd" hidden="1">{"detail",#N/A,FALSE,"mfg";"summary",#N/A,FALSE,"mfg"}</definedName>
    <definedName name="adsf" localSheetId="3" hidden="1">{"QTD",#N/A,FALSE,"SUM"}</definedName>
    <definedName name="adsf" localSheetId="1" hidden="1">{"QTD",#N/A,FALSE,"SUM"}</definedName>
    <definedName name="adsf" localSheetId="2" hidden="1">{"QTD",#N/A,FALSE,"SUM"}</definedName>
    <definedName name="adsf" hidden="1">{"QTD",#N/A,FALSE,"SUM"}</definedName>
    <definedName name="af">#N/A</definedName>
    <definedName name="afds" localSheetId="3" hidden="1">{"YTD",#N/A,FALSE,"SUM"}</definedName>
    <definedName name="afds" localSheetId="1" hidden="1">{"YTD",#N/A,FALSE,"SUM"}</definedName>
    <definedName name="afds" localSheetId="2" hidden="1">{"YTD",#N/A,FALSE,"SUM"}</definedName>
    <definedName name="afds" hidden="1">{"YTD",#N/A,FALSE,"SUM"}</definedName>
    <definedName name="afdsafsafadsa" localSheetId="3" hidden="1">{"sales growth",#N/A,FALSE,"summary";"oper income",#N/A,FALSE,"summary";"oros rank",#N/A,FALSE,"summary";"net assets",#N/A,FALSE,"summary";"asset turnover",#N/A,FALSE,"summary";"orona",#N/A,FALSE,"summary"}</definedName>
    <definedName name="afdsafsafadsa" localSheetId="1" hidden="1">{"sales growth",#N/A,FALSE,"summary";"oper income",#N/A,FALSE,"summary";"oros rank",#N/A,FALSE,"summary";"net assets",#N/A,FALSE,"summary";"asset turnover",#N/A,FALSE,"summary";"orona",#N/A,FALSE,"summary"}</definedName>
    <definedName name="afdsafsafadsa" localSheetId="2" hidden="1">{"sales growth",#N/A,FALSE,"summary";"oper income",#N/A,FALSE,"summary";"oros rank",#N/A,FALSE,"summary";"net assets",#N/A,FALSE,"summary";"asset turnover",#N/A,FALSE,"summary";"orona",#N/A,FALSE,"summary"}</definedName>
    <definedName name="afdsafsafadsa" hidden="1">{"sales growth",#N/A,FALSE,"summary";"oper income",#N/A,FALSE,"summary";"oros rank",#N/A,FALSE,"summary";"net assets",#N/A,FALSE,"summary";"asset turnover",#N/A,FALSE,"summary";"orona",#N/A,FALSE,"summary"}</definedName>
    <definedName name="ag" localSheetId="3" hidden="1">{"detail",#N/A,FALSE,"mfg";"summary",#N/A,FALSE,"mfg"}</definedName>
    <definedName name="ag" localSheetId="1" hidden="1">{"detail",#N/A,FALSE,"mfg";"summary",#N/A,FALSE,"mfg"}</definedName>
    <definedName name="ag" localSheetId="2" hidden="1">{"detail",#N/A,FALSE,"mfg";"summary",#N/A,FALSE,"mfg"}</definedName>
    <definedName name="ag" hidden="1">{"detail",#N/A,FALSE,"mfg";"summary",#N/A,FALSE,"mfg"}</definedName>
    <definedName name="ah" localSheetId="3" hidden="1">{"detail",#N/A,FALSE,"mfg";"summary",#N/A,FALSE,"mfg"}</definedName>
    <definedName name="ah" localSheetId="1" hidden="1">{"detail",#N/A,FALSE,"mfg";"summary",#N/A,FALSE,"mfg"}</definedName>
    <definedName name="ah" localSheetId="2" hidden="1">{"detail",#N/A,FALSE,"mfg";"summary",#N/A,FALSE,"mfg"}</definedName>
    <definedName name="ah" hidden="1">{"detail",#N/A,FALSE,"mfg";"summary",#N/A,FALSE,"mfg"}</definedName>
    <definedName name="aj" localSheetId="3" hidden="1">{"detail",#N/A,FALSE,"mfg";"summary",#N/A,FALSE,"mfg"}</definedName>
    <definedName name="aj" localSheetId="1" hidden="1">{"detail",#N/A,FALSE,"mfg";"summary",#N/A,FALSE,"mfg"}</definedName>
    <definedName name="aj" localSheetId="2" hidden="1">{"detail",#N/A,FALSE,"mfg";"summary",#N/A,FALSE,"mfg"}</definedName>
    <definedName name="aj" hidden="1">{"detail",#N/A,FALSE,"mfg";"summary",#N/A,FALSE,"mfg"}</definedName>
    <definedName name="ak" localSheetId="3">광주본사!ak</definedName>
    <definedName name="ak" localSheetId="1">화성!ak</definedName>
    <definedName name="ak" localSheetId="2">'SND(창신)작성'!ak</definedName>
    <definedName name="ak">[0]!ak</definedName>
    <definedName name="AK_DEPR">#N/A</definedName>
    <definedName name="ake" localSheetId="2" hidden="1">'[16]Est P&amp;L'!#REF!</definedName>
    <definedName name="ake" hidden="1">'[16]Est P&amp;L'!#REF!</definedName>
    <definedName name="al">#N/A</definedName>
    <definedName name="ALLOC_DEBT" localSheetId="3">[17]!ALLOC_DEBT</definedName>
    <definedName name="ALLOC_DEBT" localSheetId="1">[17]!ALLOC_DEBT</definedName>
    <definedName name="ALLOC_DEBT" localSheetId="0">[17]!ALLOC_DEBT</definedName>
    <definedName name="ALLOC_DEBT" localSheetId="2">[17]!ALLOC_DEBT</definedName>
    <definedName name="ALLOC_DEBT">[17]!ALLOC_DEBT</definedName>
    <definedName name="añ" localSheetId="3" hidden="1">{"Performance Details",#N/A,FALSE,"Current Yr";"Performance Details",#N/A,FALSE,"Budget";"Performance Details",#N/A,FALSE,"Prior Year"}</definedName>
    <definedName name="añ" localSheetId="1" hidden="1">{"Performance Details",#N/A,FALSE,"Current Yr";"Performance Details",#N/A,FALSE,"Budget";"Performance Details",#N/A,FALSE,"Prior Year"}</definedName>
    <definedName name="añ" localSheetId="2" hidden="1">{"Performance Details",#N/A,FALSE,"Current Yr";"Performance Details",#N/A,FALSE,"Budget";"Performance Details",#N/A,FALSE,"Prior Year"}</definedName>
    <definedName name="añ" hidden="1">{"Performance Details",#N/A,FALSE,"Current Yr";"Performance Details",#N/A,FALSE,"Budget";"Performance Details",#N/A,FALSE,"Prior Year"}</definedName>
    <definedName name="ANALYSIS" localSheetId="2">#REF!</definedName>
    <definedName name="ANALYSIS">#REF!</definedName>
    <definedName name="analyst" localSheetId="2">[18]Inputs!#REF!</definedName>
    <definedName name="analyst">[18]Inputs!#REF!</definedName>
    <definedName name="ANDY" localSheetId="2">#REF!</definedName>
    <definedName name="ANDY">#REF!</definedName>
    <definedName name="APCIL">[19]Asian_Subs!$B$45</definedName>
    <definedName name="ApconsMain">'[20]Apcons OpInc'!$A$1:$L$17</definedName>
    <definedName name="ApconsOp">'[21]Apcons Op Inc'!$A$1:$I$33</definedName>
    <definedName name="ApconsPL">'[20]Apcons P&amp;L'!$A$1:$J$35</definedName>
    <definedName name="Apec_Toggle">'[22]Graph Data'!$C$41</definedName>
    <definedName name="Aperiod" localSheetId="2">#REF!</definedName>
    <definedName name="Aperiod">#REF!</definedName>
    <definedName name="apf_act" localSheetId="2">#REF!</definedName>
    <definedName name="apf_act">#REF!</definedName>
    <definedName name="apf_DSO" localSheetId="2">#REF!</definedName>
    <definedName name="apf_DSO">#REF!</definedName>
    <definedName name="apf_dtp" localSheetId="2">#REF!</definedName>
    <definedName name="apf_dtp">#REF!</definedName>
    <definedName name="apf_receivables" localSheetId="2">#REF!</definedName>
    <definedName name="apf_receivables">#REF!</definedName>
    <definedName name="apf_sales" localSheetId="2">#REF!</definedName>
    <definedName name="apf_sales">#REF!</definedName>
    <definedName name="apf_tot_overdue" localSheetId="2">#REF!</definedName>
    <definedName name="apf_tot_overdue">#REF!</definedName>
    <definedName name="apf1_15" localSheetId="2">#REF!</definedName>
    <definedName name="apf1_15">#REF!</definedName>
    <definedName name="apf16_30" localSheetId="2">#REF!</definedName>
    <definedName name="apf16_30">#REF!</definedName>
    <definedName name="apf31_60" localSheetId="2">#REF!</definedName>
    <definedName name="apf31_60">#REF!</definedName>
    <definedName name="apf61_90" localSheetId="2">#REF!</definedName>
    <definedName name="apf61_90">#REF!</definedName>
    <definedName name="apf90plus" localSheetId="2">#REF!</definedName>
    <definedName name="apf90plus">#REF!</definedName>
    <definedName name="apil_act" localSheetId="2">#REF!</definedName>
    <definedName name="apil_act">#REF!</definedName>
    <definedName name="apil_DSO" localSheetId="2">#REF!</definedName>
    <definedName name="apil_DSO">#REF!</definedName>
    <definedName name="apil_dtp" localSheetId="2">#REF!</definedName>
    <definedName name="apil_dtp">#REF!</definedName>
    <definedName name="apil_receivables" localSheetId="2">#REF!</definedName>
    <definedName name="apil_receivables">#REF!</definedName>
    <definedName name="APIL_sales" localSheetId="2">#REF!</definedName>
    <definedName name="APIL_sales">#REF!</definedName>
    <definedName name="apil_tot_overdue" localSheetId="2">#REF!</definedName>
    <definedName name="apil_tot_overdue">#REF!</definedName>
    <definedName name="apil1_15" localSheetId="2">#REF!</definedName>
    <definedName name="apil1_15">#REF!</definedName>
    <definedName name="apil16_30" localSheetId="2">#REF!</definedName>
    <definedName name="apil16_30">#REF!</definedName>
    <definedName name="apil31_60" localSheetId="2">#REF!</definedName>
    <definedName name="apil31_60">#REF!</definedName>
    <definedName name="apil61_90" localSheetId="2">#REF!</definedName>
    <definedName name="apil61_90">#REF!</definedName>
    <definedName name="apil90plus" localSheetId="2">#REF!</definedName>
    <definedName name="apil90plus">#REF!</definedName>
    <definedName name="APL" localSheetId="2">[23]RFME25!#REF!</definedName>
    <definedName name="APL">[23]RFME25!#REF!</definedName>
    <definedName name="apl_act" localSheetId="2">#REF!</definedName>
    <definedName name="apl_act">#REF!</definedName>
    <definedName name="apl_DSO" localSheetId="2">#REF!</definedName>
    <definedName name="apl_DSO">#REF!</definedName>
    <definedName name="apl_dtp" localSheetId="2">#REF!</definedName>
    <definedName name="apl_dtp">#REF!</definedName>
    <definedName name="apl_receivables" localSheetId="2">#REF!</definedName>
    <definedName name="apl_receivables">#REF!</definedName>
    <definedName name="apl_sales" localSheetId="2">#REF!</definedName>
    <definedName name="apl_sales">#REF!</definedName>
    <definedName name="apl_tot_overdue" localSheetId="2">#REF!</definedName>
    <definedName name="apl_tot_overdue">#REF!</definedName>
    <definedName name="apl1_15" localSheetId="2">#REF!</definedName>
    <definedName name="apl1_15">#REF!</definedName>
    <definedName name="apl16_30" localSheetId="2">#REF!</definedName>
    <definedName name="apl16_30">#REF!</definedName>
    <definedName name="apl31_60" localSheetId="2">#REF!</definedName>
    <definedName name="apl31_60">#REF!</definedName>
    <definedName name="apl61_90" localSheetId="2">#REF!</definedName>
    <definedName name="apl61_90">#REF!</definedName>
    <definedName name="apl90plus" localSheetId="2">#REF!</definedName>
    <definedName name="apl90plus">#REF!</definedName>
    <definedName name="APLINF" localSheetId="2">[23]RFME25!#REF!</definedName>
    <definedName name="APLINF">[23]RFME25!#REF!</definedName>
    <definedName name="apned_ACT" localSheetId="2">#REF!</definedName>
    <definedName name="apned_ACT">#REF!</definedName>
    <definedName name="apned_DSO" localSheetId="2">#REF!</definedName>
    <definedName name="apned_DSO">#REF!</definedName>
    <definedName name="apned_DTP" localSheetId="2">#REF!</definedName>
    <definedName name="apned_DTP">#REF!</definedName>
    <definedName name="APNed_receivables" localSheetId="2">#REF!</definedName>
    <definedName name="APNed_receivables">#REF!</definedName>
    <definedName name="APNED_sales" localSheetId="2">#REF!</definedName>
    <definedName name="APNED_sales">#REF!</definedName>
    <definedName name="apned_tot_overdue" localSheetId="2">#REF!</definedName>
    <definedName name="apned_tot_overdue">#REF!</definedName>
    <definedName name="apned1_15" localSheetId="2">#REF!</definedName>
    <definedName name="apned1_15">#REF!</definedName>
    <definedName name="apned16_30" localSheetId="2">#REF!</definedName>
    <definedName name="apned16_30">#REF!</definedName>
    <definedName name="apned31_60" localSheetId="2">#REF!</definedName>
    <definedName name="apned31_60">#REF!</definedName>
    <definedName name="apned61_90" localSheetId="2">#REF!</definedName>
    <definedName name="apned61_90">#REF!</definedName>
    <definedName name="apned90plus" localSheetId="2">#REF!</definedName>
    <definedName name="apned90plus">#REF!</definedName>
    <definedName name="App" localSheetId="2">#REF!</definedName>
    <definedName name="App">#REF!</definedName>
    <definedName name="APR_UNI_VOL1" localSheetId="2">'[24]Early CO'!#REF!</definedName>
    <definedName name="APR_UNI_VOL1">'[24]Early CO'!#REF!</definedName>
    <definedName name="APR_UNI_VOL2" localSheetId="2">'[24]Early CO'!#REF!</definedName>
    <definedName name="APR_UNI_VOL2">'[24]Early CO'!#REF!</definedName>
    <definedName name="ApresMain">'[20]Apres Retrieve'!$A$1:$M$51</definedName>
    <definedName name="apresss">[21]ApresSS!$A$1:$G$15</definedName>
    <definedName name="aproz_ACT" localSheetId="2">#REF!</definedName>
    <definedName name="aproz_ACT">#REF!</definedName>
    <definedName name="aproz_DSO" localSheetId="2">#REF!</definedName>
    <definedName name="aproz_DSO">#REF!</definedName>
    <definedName name="aproz_DTP" localSheetId="2">#REF!</definedName>
    <definedName name="aproz_DTP">#REF!</definedName>
    <definedName name="APROZ_receivables" localSheetId="2">#REF!</definedName>
    <definedName name="APROZ_receivables">#REF!</definedName>
    <definedName name="APROZ_sales" localSheetId="2">#REF!</definedName>
    <definedName name="APROZ_sales">#REF!</definedName>
    <definedName name="aproz_tot_overdue" localSheetId="2">#REF!</definedName>
    <definedName name="aproz_tot_overdue">#REF!</definedName>
    <definedName name="aproz1_15" localSheetId="2">#REF!</definedName>
    <definedName name="aproz1_15">#REF!</definedName>
    <definedName name="aproz16_30" localSheetId="2">#REF!</definedName>
    <definedName name="aproz16_30">#REF!</definedName>
    <definedName name="aproz31_60" localSheetId="2">#REF!</definedName>
    <definedName name="aproz31_60">#REF!</definedName>
    <definedName name="aproz61_90" localSheetId="2">#REF!</definedName>
    <definedName name="aproz61_90">#REF!</definedName>
    <definedName name="aproz90plus" localSheetId="2">#REF!</definedName>
    <definedName name="aproz90plus">#REF!</definedName>
    <definedName name="apsa_act" localSheetId="2">#REF!</definedName>
    <definedName name="apsa_act">#REF!</definedName>
    <definedName name="apsa_DSO" localSheetId="2">#REF!</definedName>
    <definedName name="apsa_DSO">#REF!</definedName>
    <definedName name="apsa_dtp" localSheetId="2">#REF!</definedName>
    <definedName name="apsa_dtp">#REF!</definedName>
    <definedName name="apsa_receivables" localSheetId="2">#REF!</definedName>
    <definedName name="apsa_receivables">#REF!</definedName>
    <definedName name="apsa_sales" localSheetId="2">#REF!</definedName>
    <definedName name="apsa_sales">#REF!</definedName>
    <definedName name="apsa_tot_overdue" localSheetId="2">#REF!</definedName>
    <definedName name="apsa_tot_overdue">#REF!</definedName>
    <definedName name="apsa1_15" localSheetId="2">#REF!</definedName>
    <definedName name="apsa1_15">#REF!</definedName>
    <definedName name="apsa16_30" localSheetId="2">#REF!</definedName>
    <definedName name="apsa16_30">#REF!</definedName>
    <definedName name="apsa31_60" localSheetId="2">#REF!</definedName>
    <definedName name="apsa31_60">#REF!</definedName>
    <definedName name="apsa61_90" localSheetId="2">#REF!</definedName>
    <definedName name="apsa61_90">#REF!</definedName>
    <definedName name="apsa90plus" localSheetId="2">#REF!</definedName>
    <definedName name="apsa90plus">#REF!</definedName>
    <definedName name="aq" localSheetId="3">[7]!SQL.REQUEST(DNI,,,[0]!FORP&amp;[0]!_FOR2)/1000</definedName>
    <definedName name="aq" localSheetId="1">[7]!SQL.REQUEST(DNI,,,[0]!FORP&amp;[0]!_FOR2)/1000</definedName>
    <definedName name="aq" localSheetId="2">[7]!SQL.REQUEST([0]!DNI,,,'SND(창신)작성'!FORP&amp;'SND(창신)작성'!_FOR2)/1000</definedName>
    <definedName name="aq">[7]!SQL.REQUEST(DNI,,,[0]!FORP&amp;[0]!_FOR2)/1000</definedName>
    <definedName name="AR" localSheetId="3" hidden="1">{"detail",#N/A,FALSE,"mfg";"summary",#N/A,FALSE,"mfg"}</definedName>
    <definedName name="AR" localSheetId="1" hidden="1">{"detail",#N/A,FALSE,"mfg";"summary",#N/A,FALSE,"mfg"}</definedName>
    <definedName name="AR" localSheetId="2" hidden="1">{"detail",#N/A,FALSE,"mfg";"summary",#N/A,FALSE,"mfg"}</definedName>
    <definedName name="AR" hidden="1">{"detail",#N/A,FALSE,"mfg";"summary",#N/A,FALSE,"mfg"}</definedName>
    <definedName name="Area_a_imprimir">#N/A</definedName>
    <definedName name="as" localSheetId="2">#REF!,#REF!</definedName>
    <definedName name="as">#REF!,#REF!</definedName>
    <definedName name="AS2DocOpenMode" hidden="1">"AS2DocumentEdit"</definedName>
    <definedName name="asas" localSheetId="3" hidden="1">{"detail",#N/A,FALSE,"mfg";"summary",#N/A,FALSE,"mfg"}</definedName>
    <definedName name="asas" localSheetId="1" hidden="1">{"detail",#N/A,FALSE,"mfg";"summary",#N/A,FALSE,"mfg"}</definedName>
    <definedName name="asas" localSheetId="2" hidden="1">{"detail",#N/A,FALSE,"mfg";"summary",#N/A,FALSE,"mfg"}</definedName>
    <definedName name="asas" hidden="1">{"detail",#N/A,FALSE,"mfg";"summary",#N/A,FALSE,"mfg"}</definedName>
    <definedName name="asd" localSheetId="3" hidden="1">{"detail",#N/A,FALSE,"mfg";"summary",#N/A,FALSE,"mfg"}</definedName>
    <definedName name="asd" localSheetId="1" hidden="1">{"detail",#N/A,FALSE,"mfg";"summary",#N/A,FALSE,"mfg"}</definedName>
    <definedName name="asd" localSheetId="2" hidden="1">{"detail",#N/A,FALSE,"mfg";"summary",#N/A,FALSE,"mfg"}</definedName>
    <definedName name="asd" hidden="1">{"detail",#N/A,FALSE,"mfg";"summary",#N/A,FALSE,"mfg"}</definedName>
    <definedName name="asdf" localSheetId="3" hidden="1">{"detail",#N/A,FALSE,"mfg";"summary",#N/A,FALSE,"mfg"}</definedName>
    <definedName name="asdf" localSheetId="1" hidden="1">{"detail",#N/A,FALSE,"mfg";"summary",#N/A,FALSE,"mfg"}</definedName>
    <definedName name="asdf" localSheetId="2" hidden="1">{"detail",#N/A,FALSE,"mfg";"summary",#N/A,FALSE,"mfg"}</definedName>
    <definedName name="asdf" hidden="1">{"detail",#N/A,FALSE,"mfg";"summary",#N/A,FALSE,"mfg"}</definedName>
    <definedName name="ASDFA" localSheetId="3" hidden="1">{"detail",#N/A,FALSE,"mfg";"summary",#N/A,FALSE,"mfg"}</definedName>
    <definedName name="ASDFA" localSheetId="1" hidden="1">{"detail",#N/A,FALSE,"mfg";"summary",#N/A,FALSE,"mfg"}</definedName>
    <definedName name="ASDFA" localSheetId="2" hidden="1">{"detail",#N/A,FALSE,"mfg";"summary",#N/A,FALSE,"mfg"}</definedName>
    <definedName name="ASDFA" hidden="1">{"detail",#N/A,FALSE,"mfg";"summary",#N/A,FALSE,"mfg"}</definedName>
    <definedName name="asdfag" localSheetId="3" hidden="1">{#N/A,"PURCHM",FALSE,"Business Analysis";#N/A,"SPADD",FALSE,"Business Analysis"}</definedName>
    <definedName name="asdfag" localSheetId="1" hidden="1">{#N/A,"PURCHM",FALSE,"Business Analysis";#N/A,"SPADD",FALSE,"Business Analysis"}</definedName>
    <definedName name="asdfag" localSheetId="2" hidden="1">{#N/A,"PURCHM",FALSE,"Business Analysis";#N/A,"SPADD",FALSE,"Business Analysis"}</definedName>
    <definedName name="asdfag" hidden="1">{#N/A,"PURCHM",FALSE,"Business Analysis";#N/A,"SPADD",FALSE,"Business Analysis"}</definedName>
    <definedName name="asdfdfddfsf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s" localSheetId="3" hidden="1">{#N/A,"PURCHM",FALSE,"Business Analysis";#N/A,"SPADD",FALSE,"Business Analysis"}</definedName>
    <definedName name="asds" localSheetId="1" hidden="1">{#N/A,"PURCHM",FALSE,"Business Analysis";#N/A,"SPADD",FALSE,"Business Analysis"}</definedName>
    <definedName name="asds" localSheetId="2" hidden="1">{#N/A,"PURCHM",FALSE,"Business Analysis";#N/A,"SPADD",FALSE,"Business Analysis"}</definedName>
    <definedName name="asds" hidden="1">{#N/A,"PURCHM",FALSE,"Business Analysis";#N/A,"SPADD",FALSE,"Business Analysis"}</definedName>
    <definedName name="asedfdf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localSheetId="1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localSheetId="2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iacomfy02total">[25]Details!$Y$156</definedName>
    <definedName name="asiacomfy03total">[25]Details!$AD$156</definedName>
    <definedName name="asiacomfy04total">[25]Details!$AE$156</definedName>
    <definedName name="asiacomfy05total">[25]Details!$AF$156</definedName>
    <definedName name="asiauncomfy02total">[26]Details!$Y$251</definedName>
    <definedName name="asiauncomfy03total">[26]Details!$Z$251</definedName>
    <definedName name="asiauncomfy04total">[26]Details!$AA$251</definedName>
    <definedName name="asiauncomfy05total">[26]Details!$AB$251</definedName>
    <definedName name="assa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ssa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ssa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ss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ssistAppList" localSheetId="3">[0]!MCApplication</definedName>
    <definedName name="AssistAppList" localSheetId="1">[0]!MCApplication</definedName>
    <definedName name="AssistAppList" localSheetId="0">[0]!MCApplication</definedName>
    <definedName name="AssistAppList" localSheetId="2">[0]!MCApplication</definedName>
    <definedName name="AssistAppList">[0]!MCApplication</definedName>
    <definedName name="asu3_EUP" localSheetId="2">[27]oct!#REF!</definedName>
    <definedName name="asu3_EUP">[27]oct!#REF!</definedName>
    <definedName name="atlasfy02q1">[28]Details!$U$244</definedName>
    <definedName name="atlasfy02q2">[28]Details!$V$244</definedName>
    <definedName name="atlasfy02q3">[28]Details!$W$244</definedName>
    <definedName name="atlasfy02q4">[28]Details!$X$244</definedName>
    <definedName name="atlasfy02total">[26]Details!$Y$279</definedName>
    <definedName name="atlasfy03total">[26]Details!$Z$279</definedName>
    <definedName name="atlasfy04total">[26]Details!$AA$279</definedName>
    <definedName name="atlasfy05total">[26]Details!$AB$279</definedName>
    <definedName name="AUG_UNI_VOL1" localSheetId="2">'[24]Early CO'!#REF!</definedName>
    <definedName name="AUG_UNI_VOL1">'[24]Early CO'!#REF!</definedName>
    <definedName name="AUG_UNI_VOL2" localSheetId="2">'[24]Early CO'!#REF!</definedName>
    <definedName name="AUG_UNI_VOL2">'[24]Early CO'!#REF!</definedName>
    <definedName name="August_Carburos">[29]Carburos!$A$196:$X$206</definedName>
    <definedName name="August_CentralEurope">'[29]Central Europe'!$A$193:$Z$202</definedName>
    <definedName name="August_Equipment">[29]Equipment!$A$156:$Z$163</definedName>
    <definedName name="August_Merchant">[29]Merchant!$A$225:$AA$236</definedName>
    <definedName name="August_Tonnage">[29]Tonnage!$A$275:$AB$289</definedName>
    <definedName name="avc" localSheetId="3" hidden="1">{"detail",#N/A,FALSE,"mfg";"summary",#N/A,FALSE,"mfg"}</definedName>
    <definedName name="avc" localSheetId="1" hidden="1">{"detail",#N/A,FALSE,"mfg";"summary",#N/A,FALSE,"mfg"}</definedName>
    <definedName name="avc" localSheetId="2" hidden="1">{"detail",#N/A,FALSE,"mfg";"summary",#N/A,FALSE,"mfg"}</definedName>
    <definedName name="avc" hidden="1">{"detail",#N/A,FALSE,"mfg";"summary",#N/A,FALSE,"mfg"}</definedName>
    <definedName name="ax" localSheetId="3" hidden="1">{"detail",#N/A,FALSE,"mfg";"summary",#N/A,FALSE,"mfg"}</definedName>
    <definedName name="ax" localSheetId="1" hidden="1">{"detail",#N/A,FALSE,"mfg";"summary",#N/A,FALSE,"mfg"}</definedName>
    <definedName name="ax" localSheetId="2" hidden="1">{"detail",#N/A,FALSE,"mfg";"summary",#N/A,FALSE,"mfg"}</definedName>
    <definedName name="ax" hidden="1">{"detail",#N/A,FALSE,"mfg";"summary",#N/A,FALSE,"mfg"}</definedName>
    <definedName name="az" localSheetId="3" hidden="1">{"detail",#N/A,FALSE,"mfg";"summary",#N/A,FALSE,"mfg"}</definedName>
    <definedName name="az" localSheetId="1" hidden="1">{"detail",#N/A,FALSE,"mfg";"summary",#N/A,FALSE,"mfg"}</definedName>
    <definedName name="az" localSheetId="2" hidden="1">{"detail",#N/A,FALSE,"mfg";"summary",#N/A,FALSE,"mfg"}</definedName>
    <definedName name="az" hidden="1">{"detail",#N/A,FALSE,"mfg";"summary",#N/A,FALSE,"mfg"}</definedName>
    <definedName name="BASE" localSheetId="2">#REF!</definedName>
    <definedName name="BASE">#REF!</definedName>
    <definedName name="BASF_H2_POWER" localSheetId="2">'[24]Early CO'!#REF!</definedName>
    <definedName name="BASF_H2_POWER">'[24]Early CO'!#REF!</definedName>
    <definedName name="BASF_OCT_VOL" localSheetId="2">'[24]Early CO'!#REF!</definedName>
    <definedName name="BASF_OCT_VOL">'[24]Early CO'!#REF!</definedName>
    <definedName name="bb" localSheetId="3" hidden="1">{#N/A,"PURCHM",FALSE,"Business Analysis";#N/A,"SPADD",FALSE,"Business Analysis"}</definedName>
    <definedName name="bb" localSheetId="1" hidden="1">{#N/A,"PURCHM",FALSE,"Business Analysis";#N/A,"SPADD",FALSE,"Business Analysis"}</definedName>
    <definedName name="bb" localSheetId="2" hidden="1">{#N/A,"PURCHM",FALSE,"Business Analysis";#N/A,"SPADD",FALSE,"Business Analysis"}</definedName>
    <definedName name="bb" hidden="1">{#N/A,"PURCHM",FALSE,"Business Analysis";#N/A,"SPADD",FALSE,"Business Analysis"}</definedName>
    <definedName name="bbb" localSheetId="3" hidden="1">{#N/A,"PURCHM",FALSE,"Business Analysis";#N/A,"SPADD",FALSE,"Business Analysis"}</definedName>
    <definedName name="bbb" localSheetId="1" hidden="1">{#N/A,"PURCHM",FALSE,"Business Analysis";#N/A,"SPADD",FALSE,"Business Analysis"}</definedName>
    <definedName name="bbb" localSheetId="2" hidden="1">{#N/A,"PURCHM",FALSE,"Business Analysis";#N/A,"SPADD",FALSE,"Business Analysis"}</definedName>
    <definedName name="bbb" hidden="1">{#N/A,"PURCHM",FALSE,"Business Analysis";#N/A,"SPADD",FALSE,"Business Analysis"}</definedName>
    <definedName name="bbbb" localSheetId="3" hidden="1">{#N/A,"PURCHM",FALSE,"Business Analysis";#N/A,"SPADD",FALSE,"Business Analysis"}</definedName>
    <definedName name="bbbb" localSheetId="1" hidden="1">{#N/A,"PURCHM",FALSE,"Business Analysis";#N/A,"SPADD",FALSE,"Business Analysis"}</definedName>
    <definedName name="bbbb" localSheetId="2" hidden="1">{#N/A,"PURCHM",FALSE,"Business Analysis";#N/A,"SPADD",FALSE,"Business Analysis"}</definedName>
    <definedName name="bbbb" hidden="1">{#N/A,"PURCHM",FALSE,"Business Analysis";#N/A,"SPADD",FALSE,"Business Analysis"}</definedName>
    <definedName name="bbbbbbb" localSheetId="3" hidden="1">{"detail",#N/A,FALSE,"mfg";"summary",#N/A,FALSE,"mfg"}</definedName>
    <definedName name="bbbbbbb" localSheetId="1" hidden="1">{"detail",#N/A,FALSE,"mfg";"summary",#N/A,FALSE,"mfg"}</definedName>
    <definedName name="bbbbbbb" localSheetId="2" hidden="1">{"detail",#N/A,FALSE,"mfg";"summary",#N/A,FALSE,"mfg"}</definedName>
    <definedName name="bbbbbbb" hidden="1">{"detail",#N/A,FALSE,"mfg";"summary",#N/A,FALSE,"mfg"}</definedName>
    <definedName name="bbbbbbbbbb" localSheetId="3" hidden="1">{"detail",#N/A,FALSE,"mfg";"summary",#N/A,FALSE,"mfg"}</definedName>
    <definedName name="bbbbbbbbbb" localSheetId="1" hidden="1">{"detail",#N/A,FALSE,"mfg";"summary",#N/A,FALSE,"mfg"}</definedName>
    <definedName name="bbbbbbbbbb" localSheetId="2" hidden="1">{"detail",#N/A,FALSE,"mfg";"summary",#N/A,FALSE,"mfg"}</definedName>
    <definedName name="bbbbbbbbbb" hidden="1">{"detail",#N/A,FALSE,"mfg";"summary",#N/A,FALSE,"mfg"}</definedName>
    <definedName name="bbbbbbbbbbb" localSheetId="3">광주본사!bbbbbbbbbbb</definedName>
    <definedName name="bbbbbbbbbbb" localSheetId="1">화성!bbbbbbbbbbb</definedName>
    <definedName name="bbbbbbbbbbb" localSheetId="2">'SND(창신)작성'!bbbbbbbbbbb</definedName>
    <definedName name="bbbbbbbbbbb">[0]!bbbbbbbbbbb</definedName>
    <definedName name="bbbbbbbbbbbb" localSheetId="3">광주본사!bbbbbbbbbbbb</definedName>
    <definedName name="bbbbbbbbbbbb" localSheetId="1">화성!bbbbbbbbbbbb</definedName>
    <definedName name="bbbbbbbbbbbb" localSheetId="2">'SND(창신)작성'!bbbbbbbbbbbb</definedName>
    <definedName name="bbbbbbbbbbbb">[0]!bbbbbbbbbbbb</definedName>
    <definedName name="bbbbbbbbbbbbbbbbbbbb" localSheetId="3" hidden="1">{"detail",#N/A,FALSE,"mfg";"summary",#N/A,FALSE,"mfg"}</definedName>
    <definedName name="bbbbbbbbbbbbbbbbbbbb" localSheetId="1" hidden="1">{"detail",#N/A,FALSE,"mfg";"summary",#N/A,FALSE,"mfg"}</definedName>
    <definedName name="bbbbbbbbbbbbbbbbbbbb" localSheetId="2" hidden="1">{"detail",#N/A,FALSE,"mfg";"summary",#N/A,FALSE,"mfg"}</definedName>
    <definedName name="bbbbbbbbbbbbbbbbbbbb" hidden="1">{"detail",#N/A,FALSE,"mfg";"summary",#N/A,FALSE,"mfg"}</definedName>
    <definedName name="bcd" localSheetId="3" hidden="1">{"detail",#N/A,FALSE,"mfg";"summary",#N/A,FALSE,"mfg"}</definedName>
    <definedName name="bcd" localSheetId="1" hidden="1">{"detail",#N/A,FALSE,"mfg";"summary",#N/A,FALSE,"mfg"}</definedName>
    <definedName name="bcd" localSheetId="2" hidden="1">{"detail",#N/A,FALSE,"mfg";"summary",#N/A,FALSE,"mfg"}</definedName>
    <definedName name="bcd" hidden="1">{"detail",#N/A,FALSE,"mfg";"summary",#N/A,FALSE,"mfg"}</definedName>
    <definedName name="BDV">[30]Submitted!$Q$5:$AE$18</definedName>
    <definedName name="BEF" localSheetId="2">'[31]Majors Apr00'!#REF!</definedName>
    <definedName name="BEF">'[31]Majors Apr00'!#REF!</definedName>
    <definedName name="BF" localSheetId="2">#REF!</definedName>
    <definedName name="BF">#REF!</definedName>
    <definedName name="bfc_esc" localSheetId="2">[32]Inputs!#REF!</definedName>
    <definedName name="bfc_esc">[32]Inputs!#REF!</definedName>
    <definedName name="bg" localSheetId="3" hidden="1">{"net assets",#N/A,FALSE,"summary";"asset turnover",#N/A,FALSE,"summary";"orona",#N/A,FALSE,"summary"}</definedName>
    <definedName name="bg" localSheetId="1" hidden="1">{"net assets",#N/A,FALSE,"summary";"asset turnover",#N/A,FALSE,"summary";"orona",#N/A,FALSE,"summary"}</definedName>
    <definedName name="bg" localSheetId="2" hidden="1">{"net assets",#N/A,FALSE,"summary";"asset turnover",#N/A,FALSE,"summary";"orona",#N/A,FALSE,"summary"}</definedName>
    <definedName name="bg" hidden="1">{"net assets",#N/A,FALSE,"summary";"asset turnover",#N/A,FALSE,"summary";"orona",#N/A,FALSE,"summary"}</definedName>
    <definedName name="bh" localSheetId="3">[7]!SQL.REQUEST(DNI,,,[0]!FORA)</definedName>
    <definedName name="bh" localSheetId="1">[7]!SQL.REQUEST(DNI,,,[0]!FORA)</definedName>
    <definedName name="bh" localSheetId="2">[7]!SQL.REQUEST([0]!DNI,,,'SND(창신)작성'!FORA)</definedName>
    <definedName name="bh">[7]!SQL.REQUEST(DNI,,,[0]!FORA)</definedName>
    <definedName name="BIG" localSheetId="2">#REF!</definedName>
    <definedName name="BIG">#REF!</definedName>
    <definedName name="BLOGGP" localSheetId="2">[33]Backlog!#REF!</definedName>
    <definedName name="BLOGGP">[33]Backlog!#REF!</definedName>
    <definedName name="BLOGSALES" localSheetId="2">[33]Backlog!#REF!</definedName>
    <definedName name="BLOGSALES">[33]Backlog!#REF!</definedName>
    <definedName name="bn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localSheetId="3" hidden="1">{"oct_res_comm",#N/A,FALSE,"VarToBud"}</definedName>
    <definedName name="bnbn" localSheetId="1" hidden="1">{"oct_res_comm",#N/A,FALSE,"VarToBud"}</definedName>
    <definedName name="bnbn" localSheetId="2" hidden="1">{"oct_res_comm",#N/A,FALSE,"VarToBud"}</definedName>
    <definedName name="bnbn" hidden="1">{"oct_res_comm",#N/A,FALSE,"VarToBud"}</definedName>
    <definedName name="bnm" localSheetId="3" hidden="1">{"pro_view",#N/A,FALSE,"EEFSNAP2";"rep_view",#N/A,FALSE,"EEFSNAP2"}</definedName>
    <definedName name="bnm" localSheetId="1" hidden="1">{"pro_view",#N/A,FALSE,"EEFSNAP2";"rep_view",#N/A,FALSE,"EEFSNAP2"}</definedName>
    <definedName name="bnm" localSheetId="2" hidden="1">{"pro_view",#N/A,FALSE,"EEFSNAP2";"rep_view",#N/A,FALSE,"EEFSNAP2"}</definedName>
    <definedName name="bnm" hidden="1">{"pro_view",#N/A,FALSE,"EEFSNAP2";"rep_view",#N/A,FALSE,"EEFSNAP2"}</definedName>
    <definedName name="bnmm" localSheetId="3" hidden="1">{"detail",#N/A,FALSE,"mfg";"summary",#N/A,FALSE,"mfg"}</definedName>
    <definedName name="bnmm" localSheetId="1" hidden="1">{"detail",#N/A,FALSE,"mfg";"summary",#N/A,FALSE,"mfg"}</definedName>
    <definedName name="bnmm" localSheetId="2" hidden="1">{"detail",#N/A,FALSE,"mfg";"summary",#N/A,FALSE,"mfg"}</definedName>
    <definedName name="bnmm" hidden="1">{"detail",#N/A,FALSE,"mfg";"summary",#N/A,FALSE,"mfg"}</definedName>
    <definedName name="botlek" localSheetId="2">[27]oct!#REF!</definedName>
    <definedName name="botlek">[27]oct!#REF!</definedName>
    <definedName name="br" localSheetId="3" hidden="1">{"oct_res_comm",#N/A,FALSE,"VarToBud"}</definedName>
    <definedName name="br" localSheetId="1" hidden="1">{"oct_res_comm",#N/A,FALSE,"VarToBud"}</definedName>
    <definedName name="br" localSheetId="2" hidden="1">{"oct_res_comm",#N/A,FALSE,"VarToBud"}</definedName>
    <definedName name="br" hidden="1">{"oct_res_comm",#N/A,FALSE,"VarToBud"}</definedName>
    <definedName name="BSTrend">[34]Trend!$B$6:$J$43</definedName>
    <definedName name="bt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_93" localSheetId="2">#REF!</definedName>
    <definedName name="BUD_93">#REF!</definedName>
    <definedName name="BUD_94" localSheetId="2">#REF!</definedName>
    <definedName name="BUD_94">#REF!</definedName>
    <definedName name="BUD_CREATE_1" localSheetId="2">'[24]Early CO'!#REF!</definedName>
    <definedName name="BUD_CREATE_1">'[24]Early CO'!#REF!</definedName>
    <definedName name="BUD_CREATE_2" localSheetId="2">'[24]Early CO'!#REF!</definedName>
    <definedName name="BUD_CREATE_2">'[24]Early CO'!#REF!</definedName>
    <definedName name="BUD_CREATE_3" localSheetId="2">'[24]Early CO'!#REF!</definedName>
    <definedName name="BUD_CREATE_3">'[24]Early CO'!#REF!</definedName>
    <definedName name="BUD_CREATE_4" localSheetId="2">'[24]Early CO'!#REF!</definedName>
    <definedName name="BUD_CREATE_4">'[24]Early CO'!#REF!</definedName>
    <definedName name="BUD_CREATE_5" localSheetId="2">'[24]Early CO'!#REF!</definedName>
    <definedName name="BUD_CREATE_5">'[24]Early CO'!#REF!</definedName>
    <definedName name="BUD_CREATE_6" localSheetId="2">'[24]Early CO'!#REF!</definedName>
    <definedName name="BUD_CREATE_6">'[24]Early CO'!#REF!</definedName>
    <definedName name="BUD_CREATE_7" localSheetId="2">'[24]Early CO'!#REF!</definedName>
    <definedName name="BUD_CREATE_7">'[24]Early CO'!#REF!</definedName>
    <definedName name="BUD_CREATE_8" localSheetId="2">'[24]Early CO'!#REF!</definedName>
    <definedName name="BUD_CREATE_8">'[24]Early CO'!#REF!</definedName>
    <definedName name="budgetqtr">[35]INPUT!$A$1</definedName>
    <definedName name="BULK" localSheetId="2">#REF!</definedName>
    <definedName name="BULK">#REF!</definedName>
    <definedName name="bull" localSheetId="3" hidden="1">{"detail",#N/A,FALSE,"mfg";"summary",#N/A,FALSE,"mfg"}</definedName>
    <definedName name="bull" localSheetId="1" hidden="1">{"detail",#N/A,FALSE,"mfg";"summary",#N/A,FALSE,"mfg"}</definedName>
    <definedName name="bull" localSheetId="2" hidden="1">{"detail",#N/A,FALSE,"mfg";"summary",#N/A,FALSE,"mfg"}</definedName>
    <definedName name="bull" hidden="1">{"detail",#N/A,FALSE,"mfg";"summary",#N/A,FALSE,"mfg"}</definedName>
    <definedName name="bull2" localSheetId="3" hidden="1">{#N/A,"PURCHM",FALSE,"Business Analysis";#N/A,"SPADD",FALSE,"Business Analysis"}</definedName>
    <definedName name="bull2" localSheetId="1" hidden="1">{#N/A,"PURCHM",FALSE,"Business Analysis";#N/A,"SPADD",FALSE,"Business Analysis"}</definedName>
    <definedName name="bull2" localSheetId="2" hidden="1">{#N/A,"PURCHM",FALSE,"Business Analysis";#N/A,"SPADD",FALSE,"Business Analysis"}</definedName>
    <definedName name="bull2" hidden="1">{#N/A,"PURCHM",FALSE,"Business Analysis";#N/A,"SPADD",FALSE,"Business Analysis"}</definedName>
    <definedName name="bull3" localSheetId="3" hidden="1">{"detail",#N/A,FALSE,"mfg";"summary",#N/A,FALSE,"mfg"}</definedName>
    <definedName name="bull3" localSheetId="1" hidden="1">{"detail",#N/A,FALSE,"mfg";"summary",#N/A,FALSE,"mfg"}</definedName>
    <definedName name="bull3" localSheetId="2" hidden="1">{"detail",#N/A,FALSE,"mfg";"summary",#N/A,FALSE,"mfg"}</definedName>
    <definedName name="bull3" hidden="1">{"detail",#N/A,FALSE,"mfg";"summary",#N/A,FALSE,"mfg"}</definedName>
    <definedName name="bull4" localSheetId="3" hidden="1">{#N/A,"PURCHM",FALSE,"Business Analysis";#N/A,"SPADD",FALSE,"Business Analysis"}</definedName>
    <definedName name="bull4" localSheetId="1" hidden="1">{#N/A,"PURCHM",FALSE,"Business Analysis";#N/A,"SPADD",FALSE,"Business Analysis"}</definedName>
    <definedName name="bull4" localSheetId="2" hidden="1">{#N/A,"PURCHM",FALSE,"Business Analysis";#N/A,"SPADD",FALSE,"Business Analysis"}</definedName>
    <definedName name="bull4" hidden="1">{#N/A,"PURCHM",FALSE,"Business Analysis";#N/A,"SPADD",FALSE,"Business Analysis"}</definedName>
    <definedName name="bull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v" localSheetId="3" hidden="1">{"net assets",#N/A,FALSE,"summary";"asset turnover",#N/A,FALSE,"summary";"orona",#N/A,FALSE,"summary"}</definedName>
    <definedName name="bv" localSheetId="1" hidden="1">{"net assets",#N/A,FALSE,"summary";"asset turnover",#N/A,FALSE,"summary";"orona",#N/A,FALSE,"summary"}</definedName>
    <definedName name="bv" localSheetId="2" hidden="1">{"net assets",#N/A,FALSE,"summary";"asset turnover",#N/A,FALSE,"summary";"orona",#N/A,FALSE,"summary"}</definedName>
    <definedName name="bv" hidden="1">{"net assets",#N/A,FALSE,"summary";"asset turnover",#N/A,FALSE,"summary";"orona",#N/A,FALSE,"summary"}</definedName>
    <definedName name="bvbv" localSheetId="3">광주본사!bvbv</definedName>
    <definedName name="bvbv" localSheetId="1">화성!bvbv</definedName>
    <definedName name="bvbv" localSheetId="2">'SND(창신)작성'!bvbv</definedName>
    <definedName name="bvbv">[0]!bvbv</definedName>
    <definedName name="bvc" localSheetId="3">광주본사!bvc</definedName>
    <definedName name="bvc" localSheetId="1">화성!bvc</definedName>
    <definedName name="bvc" localSheetId="2">'SND(창신)작성'!bvc</definedName>
    <definedName name="bvc">[0]!bvc</definedName>
    <definedName name="bvcx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localSheetId="1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localSheetId="2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y">#N/A</definedName>
    <definedName name="bye" localSheetId="2">[6]Q_COMP.XLS!#REF!</definedName>
    <definedName name="bye">[6]Q_COMP.XLS!#REF!</definedName>
    <definedName name="bz" localSheetId="3" hidden="1">{"sales growth",#N/A,FALSE,"summary";"oper income",#N/A,FALSE,"summary";"oros rank",#N/A,FALSE,"summary";"net assets",#N/A,FALSE,"summary";"asset turnover",#N/A,FALSE,"summary";"orona",#N/A,FALSE,"summary"}</definedName>
    <definedName name="bz" localSheetId="1" hidden="1">{"sales growth",#N/A,FALSE,"summary";"oper income",#N/A,FALSE,"summary";"oros rank",#N/A,FALSE,"summary";"net assets",#N/A,FALSE,"summary";"asset turnover",#N/A,FALSE,"summary";"orona",#N/A,FALSE,"summary"}</definedName>
    <definedName name="bz" localSheetId="2" hidden="1">{"sales growth",#N/A,FALSE,"summary";"oper income",#N/A,FALSE,"summary";"oros rank",#N/A,FALSE,"summary";"net assets",#N/A,FALSE,"summary";"asset turnover",#N/A,FALSE,"summary";"orona",#N/A,FALSE,"summary"}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ansalescost">[35]INPUT!$B$26:$Q$26</definedName>
    <definedName name="cansalesvol">[35]INPUT!$B$13:$Q$13</definedName>
    <definedName name="capital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capital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capital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capital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capital_based" localSheetId="2">#REF!</definedName>
    <definedName name="capital_based">#REF!</definedName>
    <definedName name="CapSpendingExcludesSanFu" localSheetId="3" hidden="1">{"detail",#N/A,FALSE,"mfg";"summary",#N/A,FALSE,"mfg"}</definedName>
    <definedName name="CapSpendingExcludesSanFu" localSheetId="1" hidden="1">{"detail",#N/A,FALSE,"mfg";"summary",#N/A,FALSE,"mfg"}</definedName>
    <definedName name="CapSpendingExcludesSanFu" localSheetId="2" hidden="1">{"detail",#N/A,FALSE,"mfg";"summary",#N/A,FALSE,"mfg"}</definedName>
    <definedName name="CapSpendingExcludesSanFu" hidden="1">{"detail",#N/A,FALSE,"mfg";"summary",#N/A,FALSE,"mfg"}</definedName>
    <definedName name="cashsalvage">"j41"</definedName>
    <definedName name="Cat" localSheetId="2">#REF!</definedName>
    <definedName name="Cat">#REF!</definedName>
    <definedName name="CatBase" localSheetId="2">#REF!</definedName>
    <definedName name="CatBase">#REF!</definedName>
    <definedName name="cc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cc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cc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c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ccccccccccccccccc" localSheetId="3">[7]!SQL.REQUEST(DNI,,,FORA)</definedName>
    <definedName name="ccccccccccccccccc" localSheetId="1">[7]!SQL.REQUEST(DNI,,,FORA)</definedName>
    <definedName name="ccccccccccccccccc" localSheetId="2">[7]!SQL.REQUEST([0]!DNI,,,'SND(창신)작성'!FORA)</definedName>
    <definedName name="ccccccccccccccccc">[7]!SQL.REQUEST(DNI,,,FORA)</definedName>
    <definedName name="cdv">[30]Submitted!$A$5:$P$18</definedName>
    <definedName name="ce" localSheetId="3">[7]!SQL.REQUEST(DNI,,,[0]!FORC)</definedName>
    <definedName name="ce" localSheetId="1">[7]!SQL.REQUEST(DNI,,,[0]!FORC)</definedName>
    <definedName name="ce" localSheetId="2">[7]!SQL.REQUEST([0]!DNI,,,'SND(창신)작성'!FORC)</definedName>
    <definedName name="ce">[7]!SQL.REQUEST(DNI,,,[0]!FORC)</definedName>
    <definedName name="CenterNames">'[36]Nat Spending Drilldown'!$B$685:$E$738</definedName>
    <definedName name="CENTERS" localSheetId="2">#REF!</definedName>
    <definedName name="CENTERS">#REF!</definedName>
    <definedName name="Central2000">'[37]Datos central'!$A$1:$R$77</definedName>
    <definedName name="cf" localSheetId="3" hidden="1">{"detail",#N/A,FALSE,"mfg";"summary",#N/A,FALSE,"mfg"}</definedName>
    <definedName name="cf" localSheetId="1" hidden="1">{"detail",#N/A,FALSE,"mfg";"summary",#N/A,FALSE,"mfg"}</definedName>
    <definedName name="cf" localSheetId="2" hidden="1">{"detail",#N/A,FALSE,"mfg";"summary",#N/A,FALSE,"mfg"}</definedName>
    <definedName name="cf" hidden="1">{"detail",#N/A,FALSE,"mfg";"summary",#N/A,FALSE,"mfg"}</definedName>
    <definedName name="CFD" localSheetId="3" hidden="1">{"detail",#N/A,FALSE,"mfg";"summary",#N/A,FALSE,"mfg"}</definedName>
    <definedName name="CFD" localSheetId="1" hidden="1">{"detail",#N/A,FALSE,"mfg";"summary",#N/A,FALSE,"mfg"}</definedName>
    <definedName name="CFD" localSheetId="2" hidden="1">{"detail",#N/A,FALSE,"mfg";"summary",#N/A,FALSE,"mfg"}</definedName>
    <definedName name="CFD" hidden="1">{"detail",#N/A,FALSE,"mfg";"summary",#N/A,FALSE,"mfg"}</definedName>
    <definedName name="chalampe" localSheetId="2">[27]oct!#REF!</definedName>
    <definedName name="chalampe">[27]oct!#REF!</definedName>
    <definedName name="CheckPost" localSheetId="2">'[38]Load &amp; Verify'!#REF!</definedName>
    <definedName name="CheckPost">'[38]Load &amp; Verify'!#REF!</definedName>
    <definedName name="CIL" localSheetId="2">#REF!</definedName>
    <definedName name="CIL">#REF!</definedName>
    <definedName name="Cmdr_Active_Cell">TRUE</definedName>
    <definedName name="Çö±Ý" localSheetId="2">#REF!</definedName>
    <definedName name="Çö±Ý">#REF!</definedName>
    <definedName name="COMBINE" localSheetId="2">'[24]Early CO'!#REF!</definedName>
    <definedName name="COMBINE">'[24]Early CO'!#REF!</definedName>
    <definedName name="COMMENTS" localSheetId="2">'[39]NA Ton Vol'!#REF!</definedName>
    <definedName name="COMMENTS">'[39]NA Ton Vol'!#REF!</definedName>
    <definedName name="Comments1">'[40]Conso by cty'!$104:$122</definedName>
    <definedName name="COMMENTS1A" localSheetId="2">#REF!</definedName>
    <definedName name="COMMENTS1A">#REF!</definedName>
    <definedName name="COMMENTS1B" localSheetId="2">#REF!</definedName>
    <definedName name="COMMENTS1B">#REF!</definedName>
    <definedName name="Comments2">'[40]Conso by cty'!$123:$141</definedName>
    <definedName name="COMMENTS2A" localSheetId="2">#REF!</definedName>
    <definedName name="COMMENTS2A">#REF!</definedName>
    <definedName name="COMMENTS2B" localSheetId="2">#REF!</definedName>
    <definedName name="COMMENTS2B">#REF!</definedName>
    <definedName name="Comments3">'[40]Conso by cty'!$142:$204</definedName>
    <definedName name="Comp" localSheetId="2">#REF!</definedName>
    <definedName name="Comp">#REF!</definedName>
    <definedName name="Comp1" localSheetId="2">#REF!</definedName>
    <definedName name="Comp1">#REF!</definedName>
    <definedName name="Comp2" localSheetId="2">'[41]Europe@BDV01'!#REF!</definedName>
    <definedName name="Comp2">'[41]Europe@BDV01'!#REF!</definedName>
    <definedName name="Comp3" localSheetId="2">'[41]Europe@BDV01'!#REF!</definedName>
    <definedName name="Comp3">'[41]Europe@BDV01'!#REF!</definedName>
    <definedName name="Comp4" localSheetId="2">'[41]Europe@BDV01'!#REF!</definedName>
    <definedName name="Comp4">'[41]Europe@BDV01'!#REF!</definedName>
    <definedName name="Compload" localSheetId="2">[42]BS!#REF!</definedName>
    <definedName name="Compload">[42]BS!#REF!</definedName>
    <definedName name="Component" localSheetId="2">#REF!</definedName>
    <definedName name="Component">#REF!</definedName>
    <definedName name="cont">[43]Gmeb1!$B$5:$B$31,[43]Gmeb1!$U$4:$U$31</definedName>
    <definedName name="cost_overview" localSheetId="2">'[44]non energy costs'!#REF!</definedName>
    <definedName name="cost_overview">'[44]non energy costs'!#REF!</definedName>
    <definedName name="Count" localSheetId="2">#REF!</definedName>
    <definedName name="Count">#REF!</definedName>
    <definedName name="Cperiod" localSheetId="2">#REF!</definedName>
    <definedName name="Cperiod">#REF!</definedName>
    <definedName name="cr" localSheetId="3">광주본사!cr</definedName>
    <definedName name="cr" localSheetId="1">화성!cr</definedName>
    <definedName name="cr" localSheetId="2">'SND(창신)작성'!cr</definedName>
    <definedName name="cr">[0]!cr</definedName>
    <definedName name="cs" localSheetId="3" hidden="1">{"AS REP",#N/A,FALSE,"EEFSNAP2";"PROP",#N/A,FALSE,"EEFSNAP2";"RISKS",#N/A,FALSE,"EEFSNAP2";"VIEW ALL",#N/A,FALSE,"EEFSNAP2"}</definedName>
    <definedName name="cs" localSheetId="1" hidden="1">{"AS REP",#N/A,FALSE,"EEFSNAP2";"PROP",#N/A,FALSE,"EEFSNAP2";"RISKS",#N/A,FALSE,"EEFSNAP2";"VIEW ALL",#N/A,FALSE,"EEFSNAP2"}</definedName>
    <definedName name="cs" localSheetId="2" hidden="1">{"AS REP",#N/A,FALSE,"EEFSNAP2";"PROP",#N/A,FALSE,"EEFSNAP2";"RISKS",#N/A,FALSE,"EEFSNAP2";"VIEW ALL",#N/A,FALSE,"EEFSNAP2"}</definedName>
    <definedName name="cs" hidden="1">{"AS REP",#N/A,FALSE,"EEFSNAP2";"PROP",#N/A,FALSE,"EEFSNAP2";"RISKS",#N/A,FALSE,"EEFSNAP2";"VIEW ALL",#N/A,FALSE,"EEFSNAP2"}</definedName>
    <definedName name="ct">#N/A</definedName>
    <definedName name="CURASS" localSheetId="2">[33]BalanceSheet!#REF!</definedName>
    <definedName name="CURASS">[33]BalanceSheet!#REF!</definedName>
    <definedName name="CURLIAB" localSheetId="2">[33]BalanceSheet!#REF!</definedName>
    <definedName name="CURLIAB">[33]BalanceSheet!#REF!</definedName>
    <definedName name="Currency" localSheetId="2">[23]RFME25!#REF!</definedName>
    <definedName name="Currency">[23]RFME25!#REF!</definedName>
    <definedName name="CurrentCellOnSS" localSheetId="2">'[45]Hyperion load FY03 P&amp;L'!#REF!</definedName>
    <definedName name="CurrentCellOnSS">'[45]Hyperion load FY03 P&amp;L'!#REF!</definedName>
    <definedName name="CUSTOMER_GP_PG1" localSheetId="2">'[24]Early CO'!#REF!</definedName>
    <definedName name="CUSTOMER_GP_PG1">'[24]Early CO'!#REF!</definedName>
    <definedName name="cv" localSheetId="3">광주본사!cv</definedName>
    <definedName name="cv" localSheetId="1">화성!cv</definedName>
    <definedName name="cv" localSheetId="2">'SND(창신)작성'!cv</definedName>
    <definedName name="cv">[0]!cv</definedName>
    <definedName name="cvb" localSheetId="3" hidden="1">{"detail",#N/A,FALSE,"mfg";"summary",#N/A,FALSE,"mfg"}</definedName>
    <definedName name="cvb" localSheetId="1" hidden="1">{"detail",#N/A,FALSE,"mfg";"summary",#N/A,FALSE,"mfg"}</definedName>
    <definedName name="cvb" localSheetId="2" hidden="1">{"detail",#N/A,FALSE,"mfg";"summary",#N/A,FALSE,"mfg"}</definedName>
    <definedName name="cvb" hidden="1">{"detail",#N/A,FALSE,"mfg";"summary",#N/A,FALSE,"mfg"}</definedName>
    <definedName name="cvbn" localSheetId="3" hidden="1">{"vol data",#N/A,FALSE,"Datasheet";"vol graph",#N/A,FALSE,"Volume";"price data",#N/A,FALSE,"Datasheet";"price graph",#N/A,FALSE,"Price";"dp data",#N/A,FALSE,"Datasheet";"dp graph",#N/A,FALSE,"DirectProfit"}</definedName>
    <definedName name="cvbn" localSheetId="1" hidden="1">{"vol data",#N/A,FALSE,"Datasheet";"vol graph",#N/A,FALSE,"Volume";"price data",#N/A,FALSE,"Datasheet";"price graph",#N/A,FALSE,"Price";"dp data",#N/A,FALSE,"Datasheet";"dp graph",#N/A,FALSE,"DirectProfit"}</definedName>
    <definedName name="cvbn" localSheetId="2" hidden="1">{"vol data",#N/A,FALSE,"Datasheet";"vol graph",#N/A,FALSE,"Volume";"price data",#N/A,FALSE,"Datasheet";"price graph",#N/A,FALSE,"Price";"dp data",#N/A,FALSE,"Datasheet";"dp graph",#N/A,FALSE,"DirectProfit"}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v" localSheetId="3" hidden="1">{"AS REP",#N/A,FALSE,"EEFSNAP2";"PROP",#N/A,FALSE,"EEFSNAP2";"RISKS",#N/A,FALSE,"EEFSNAP2";"VIEW ALL",#N/A,FALSE,"EEFSNAP2"}</definedName>
    <definedName name="cvcv" localSheetId="1" hidden="1">{"AS REP",#N/A,FALSE,"EEFSNAP2";"PROP",#N/A,FALSE,"EEFSNAP2";"RISKS",#N/A,FALSE,"EEFSNAP2";"VIEW ALL",#N/A,FALSE,"EEFSNAP2"}</definedName>
    <definedName name="cvcv" localSheetId="2" hidden="1">{"AS REP",#N/A,FALSE,"EEFSNAP2";"PROP",#N/A,FALSE,"EEFSNAP2";"RISKS",#N/A,FALSE,"EEFSNAP2";"VIEW ALL",#N/A,FALSE,"EEFSNAP2"}</definedName>
    <definedName name="cvcv" hidden="1">{"AS REP",#N/A,FALSE,"EEFSNAP2";"PROP",#N/A,FALSE,"EEFSNAP2";"RISKS",#N/A,FALSE,"EEFSNAP2";"VIEW ALL",#N/A,FALSE,"EEFSNAP2"}</definedName>
    <definedName name="CWIG" localSheetId="2">#REF!</definedName>
    <definedName name="CWIG">#REF!</definedName>
    <definedName name="cxcx" localSheetId="3">광주본사!cxcx</definedName>
    <definedName name="cxcx" localSheetId="1">화성!cxcx</definedName>
    <definedName name="cxcx" localSheetId="2">'SND(창신)작성'!cxcx</definedName>
    <definedName name="cxcx">[0]!cxcx</definedName>
    <definedName name="cxv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YCosts" localSheetId="2">#REF!</definedName>
    <definedName name="CYCosts">#REF!</definedName>
    <definedName name="CYUnitCosts" localSheetId="2">#REF!</definedName>
    <definedName name="CYUnitCosts">#REF!</definedName>
    <definedName name="cz" localSheetId="3" hidden="1">{"pro_view",#N/A,FALSE,"EEFSNAP2";"rep_view",#N/A,FALSE,"EEFSNAP2"}</definedName>
    <definedName name="cz" localSheetId="1" hidden="1">{"pro_view",#N/A,FALSE,"EEFSNAP2";"rep_view",#N/A,FALSE,"EEFSNAP2"}</definedName>
    <definedName name="cz" localSheetId="2" hidden="1">{"pro_view",#N/A,FALSE,"EEFSNAP2";"rep_view",#N/A,FALSE,"EEFSNAP2"}</definedName>
    <definedName name="cz" hidden="1">{"pro_view",#N/A,FALSE,"EEFSNAP2";"rep_view",#N/A,FALSE,"EEFSNAP2"}</definedName>
    <definedName name="CZkr">'[46]NewLost PGG'!$C$36</definedName>
    <definedName name="d" localSheetId="3" hidden="1">{#N/A,"PURCHM",FALSE,"Business Analysis";#N/A,"SPADD",FALSE,"Business Analysis"}</definedName>
    <definedName name="d" localSheetId="1" hidden="1">{#N/A,"PURCHM",FALSE,"Business Analysis";#N/A,"SPADD",FALSE,"Business Analysis"}</definedName>
    <definedName name="d" localSheetId="2" hidden="1">{#N/A,"PURCHM",FALSE,"Business Analysis";#N/A,"SPADD",FALSE,"Business Analysis"}</definedName>
    <definedName name="d" hidden="1">{#N/A,"PURCHM",FALSE,"Business Analysis";#N/A,"SPADD",FALSE,"Business Analysis"}</definedName>
    <definedName name="da" localSheetId="2">[6]GEG!#REF!</definedName>
    <definedName name="da">[6]GEG!#REF!</definedName>
    <definedName name="DASH" localSheetId="2">#REF!</definedName>
    <definedName name="DASH">#REF!</definedName>
    <definedName name="DAT" localSheetId="2">[47]Q_COMP.XLS!#REF!</definedName>
    <definedName name="DAT">[47]Q_COMP.XLS!#REF!</definedName>
    <definedName name="data">[48]Ret00!$A$4:$A$72</definedName>
    <definedName name="_xlnm.Database" localSheetId="2">#REF!</definedName>
    <definedName name="_xlnm.Database">#REF!</definedName>
    <definedName name="DATABUD" localSheetId="2">#REF!</definedName>
    <definedName name="DATABUD">#REF!</definedName>
    <definedName name="DATACY" localSheetId="2">#REF!</definedName>
    <definedName name="DATACY">#REF!</definedName>
    <definedName name="DATACYACT" localSheetId="2">'[39]NA Ton Vol'!#REF!</definedName>
    <definedName name="DATACYACT">'[39]NA Ton Vol'!#REF!</definedName>
    <definedName name="DATACYBUD" localSheetId="2">'[39]NA Ton Vol'!#REF!</definedName>
    <definedName name="DATACYBUD">'[39]NA Ton Vol'!#REF!</definedName>
    <definedName name="DATAPY" localSheetId="2">#REF!</definedName>
    <definedName name="DATAPY">#REF!</definedName>
    <definedName name="DATAPYACT" localSheetId="2">'[39]NA Ton Vol'!#REF!</definedName>
    <definedName name="DATAPYACT">'[39]NA Ton Vol'!#REF!</definedName>
    <definedName name="date">[35]DATES!$A$1:$D$16</definedName>
    <definedName name="DATES">'[36]Major Factors'!$A$372:$K$383</definedName>
    <definedName name="Datos_Contables" localSheetId="2">#REF!</definedName>
    <definedName name="Datos_Contables">#REF!</definedName>
    <definedName name="Datos2000">'[37]Datos controlable'!$A$1:$P$185</definedName>
    <definedName name="DAYS_IN_OCT" localSheetId="2">'[24]Early CO'!#REF!</definedName>
    <definedName name="DAYS_IN_OCT">'[24]Early CO'!#REF!</definedName>
    <definedName name="dd" localSheetId="3" hidden="1">{#N/A,"PURCHM",FALSE,"Business Analysis";#N/A,"SPADD",FALSE,"Business Analysis"}</definedName>
    <definedName name="dd" localSheetId="1" hidden="1">{#N/A,"PURCHM",FALSE,"Business Analysis";#N/A,"SPADD",FALSE,"Business Analysis"}</definedName>
    <definedName name="dd" localSheetId="2" hidden="1">{#N/A,"PURCHM",FALSE,"Business Analysis";#N/A,"SPADD",FALSE,"Business Analysis"}</definedName>
    <definedName name="dd" hidden="1">{#N/A,"PURCHM",FALSE,"Business Analysis";#N/A,"SPADD",FALSE,"Business Analysis"}</definedName>
    <definedName name="ddd" localSheetId="3" hidden="1">{#N/A,"PURCHM",FALSE,"Business Analysis";#N/A,"SPADD",FALSE,"Business Analysis"}</definedName>
    <definedName name="ddd" localSheetId="1" hidden="1">{#N/A,"PURCHM",FALSE,"Business Analysis";#N/A,"SPADD",FALSE,"Business Analysis"}</definedName>
    <definedName name="ddd" localSheetId="2" hidden="1">{#N/A,"PURCHM",FALSE,"Business Analysis";#N/A,"SPADD",FALSE,"Business Analysis"}</definedName>
    <definedName name="ddd" hidden="1">{#N/A,"PURCHM",FALSE,"Business Analysis";#N/A,"SPADD",FALSE,"Business Analysis"}</definedName>
    <definedName name="dddd" localSheetId="3" hidden="1">{#N/A,"PURCHM",FALSE,"Business Analysis";#N/A,"SPADD",FALSE,"Business Analysis"}</definedName>
    <definedName name="dddd" localSheetId="1" hidden="1">{#N/A,"PURCHM",FALSE,"Business Analysis";#N/A,"SPADD",FALSE,"Business Analysis"}</definedName>
    <definedName name="dddd" localSheetId="2" hidden="1">{#N/A,"PURCHM",FALSE,"Business Analysis";#N/A,"SPADD",FALSE,"Business Analysis"}</definedName>
    <definedName name="dddd" hidden="1">{#N/A,"PURCHM",FALSE,"Business Analysis";#N/A,"SPADD",FALSE,"Business Analysis"}</definedName>
    <definedName name="ddfd" localSheetId="3" hidden="1">{#N/A,"PURCHM",FALSE,"Business Analysis";#N/A,"SPADD",FALSE,"Business Analysis"}</definedName>
    <definedName name="ddfd" localSheetId="1" hidden="1">{#N/A,"PURCHM",FALSE,"Business Analysis";#N/A,"SPADD",FALSE,"Business Analysis"}</definedName>
    <definedName name="ddfd" localSheetId="2" hidden="1">{#N/A,"PURCHM",FALSE,"Business Analysis";#N/A,"SPADD",FALSE,"Business Analysis"}</definedName>
    <definedName name="ddfd" hidden="1">{#N/A,"PURCHM",FALSE,"Business Analysis";#N/A,"SPADD",FALSE,"Business Analysis"}</definedName>
    <definedName name="DE" localSheetId="3" hidden="1">{"detail",#N/A,FALSE,"mfg";"summary",#N/A,FALSE,"mfg"}</definedName>
    <definedName name="DE" localSheetId="1" hidden="1">{"detail",#N/A,FALSE,"mfg";"summary",#N/A,FALSE,"mfg"}</definedName>
    <definedName name="DE" localSheetId="2" hidden="1">{"detail",#N/A,FALSE,"mfg";"summary",#N/A,FALSE,"mfg"}</definedName>
    <definedName name="DE" hidden="1">{"detail",#N/A,FALSE,"mfg";"summary",#N/A,FALSE,"mfg"}</definedName>
    <definedName name="DEC_UNI_VOL1" localSheetId="2">'[24]Early CO'!#REF!</definedName>
    <definedName name="DEC_UNI_VOL1">'[24]Early CO'!#REF!</definedName>
    <definedName name="DEC_UNI_VOL2" localSheetId="2">'[24]Early CO'!#REF!</definedName>
    <definedName name="DEC_UNI_VOL2">'[24]Early CO'!#REF!</definedName>
    <definedName name="Dec99_Carburos">[29]Carburos!$A$244:$X$254</definedName>
    <definedName name="Dec99_CentralEurope">'[29]Central Europe'!$A$237:$Z$246</definedName>
    <definedName name="Dec99_Equipment">[29]Equipment!$A$192:$Z$199</definedName>
    <definedName name="Dec99_Merchant">[29]Merchant!$A$277:$X$288</definedName>
    <definedName name="Dec99_Tonnage">[29]Tonnage!$A$339:$X$353</definedName>
    <definedName name="Deferred_Taxes" localSheetId="2">[42]BS!#REF!</definedName>
    <definedName name="Deferred_Taxes">[42]BS!#REF!</definedName>
    <definedName name="DEMAND__KWH" localSheetId="2">'[24]Early CO'!#REF!</definedName>
    <definedName name="DEMAND__KWH">'[24]Early CO'!#REF!</definedName>
    <definedName name="DemApres">[20]ADem!$A$1:$I$6</definedName>
    <definedName name="df" localSheetId="3">광주본사!df</definedName>
    <definedName name="df" localSheetId="1">화성!df</definedName>
    <definedName name="df" localSheetId="2">'SND(창신)작성'!df</definedName>
    <definedName name="df">[0]!df</definedName>
    <definedName name="dfd">"1100000000110100_01000"</definedName>
    <definedName name="dfg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fgdfgdgtf" localSheetId="2" hidden="1">'[49]Est P&amp;L'!#REF!</definedName>
    <definedName name="dfgdfgdgtf" hidden="1">'[49]Est P&amp;L'!#REF!</definedName>
    <definedName name="dfgh" localSheetId="3" hidden="1">{#N/A,"PURCHM",FALSE,"Business Analysis";#N/A,"SPADD",FALSE,"Business Analysis"}</definedName>
    <definedName name="dfgh" localSheetId="1" hidden="1">{#N/A,"PURCHM",FALSE,"Business Analysis";#N/A,"SPADD",FALSE,"Business Analysis"}</definedName>
    <definedName name="dfgh" localSheetId="2" hidden="1">{#N/A,"PURCHM",FALSE,"Business Analysis";#N/A,"SPADD",FALSE,"Business Analysis"}</definedName>
    <definedName name="dfgh" hidden="1">{#N/A,"PURCHM",FALSE,"Business Analysis";#N/A,"SPADD",FALSE,"Business Analysis"}</definedName>
    <definedName name="DG">'[50]Qtr 1 98'!$B$34</definedName>
    <definedName name="Distlist" localSheetId="2">'[39]NA Ton Vol'!#REF!</definedName>
    <definedName name="Distlist">'[39]NA Ton Vol'!#REF!</definedName>
    <definedName name="DIVISIONAL_TONNAGE_VOLUMES_COMMENTARY" localSheetId="2">'[39]NA Ton Vol'!#REF!</definedName>
    <definedName name="DIVISIONAL_TONNAGE_VOLUMES_COMMENTARY">'[39]NA Ton Vol'!#REF!</definedName>
    <definedName name="dkdkdk" localSheetId="3" hidden="1">{#N/A,#N/A,FALSE,"IS US";#N/A,#N/A,FALSE,"BS US";#N/A,#N/A,FALSE,"IS LOCAL";#N/A,#N/A,FALSE,"BS INPUT";#N/A,#N/A,FALSE,"EQUITY";#N/A,#N/A,FALSE,"LOCAL ADJ";#N/A,#N/A,FALSE,"GAAP ADJ"}</definedName>
    <definedName name="dkdkdk" localSheetId="1" hidden="1">{#N/A,#N/A,FALSE,"IS US";#N/A,#N/A,FALSE,"BS US";#N/A,#N/A,FALSE,"IS LOCAL";#N/A,#N/A,FALSE,"BS INPUT";#N/A,#N/A,FALSE,"EQUITY";#N/A,#N/A,FALSE,"LOCAL ADJ";#N/A,#N/A,FALSE,"GAAP ADJ"}</definedName>
    <definedName name="dkdkdk" localSheetId="2" hidden="1">{#N/A,#N/A,FALSE,"IS US";#N/A,#N/A,FALSE,"BS US";#N/A,#N/A,FALSE,"IS LOCAL";#N/A,#N/A,FALSE,"BS INPUT";#N/A,#N/A,FALSE,"EQUITY";#N/A,#N/A,FALSE,"LOCAL ADJ";#N/A,#N/A,FALSE,"GAAP ADJ"}</definedName>
    <definedName name="dkdkdk" hidden="1">{#N/A,#N/A,FALSE,"IS US";#N/A,#N/A,FALSE,"BS US";#N/A,#N/A,FALSE,"IS LOCAL";#N/A,#N/A,FALSE,"BS INPUT";#N/A,#N/A,FALSE,"EQUITY";#N/A,#N/A,FALSE,"LOCAL ADJ";#N/A,#N/A,FALSE,"GAAP ADJ"}</definedName>
    <definedName name="DM">'[50]Qtr 1 98'!$B$35</definedName>
    <definedName name="DNI">"DSN=GESCOM;SVR=RDB;UID=M_HOMAR;PWD=1234;DATABASE=ATTACH 'FILENAME GESCOM'"</definedName>
    <definedName name="DOW_OCT_EVALUE" localSheetId="2">'[24]Early CO'!#REF!</definedName>
    <definedName name="DOW_OCT_EVALUE">'[24]Early CO'!#REF!</definedName>
    <definedName name="DOWPC_DED_CAP" localSheetId="2">'[24]Early CO'!#REF!</definedName>
    <definedName name="DOWPC_DED_CAP">'[24]Early CO'!#REF!</definedName>
    <definedName name="DOWPC_OCT_VOL" localSheetId="2">'[24]Early CO'!#REF!</definedName>
    <definedName name="DOWPC_OCT_VOL">'[24]Early CO'!#REF!</definedName>
    <definedName name="DPROFIT" localSheetId="2">#REF!</definedName>
    <definedName name="DPROFIT">#REF!</definedName>
    <definedName name="dsfsf" localSheetId="3" hidden="1">{"detail",#N/A,FALSE,"mfg";"summary",#N/A,FALSE,"mfg"}</definedName>
    <definedName name="dsfsf" localSheetId="1" hidden="1">{"detail",#N/A,FALSE,"mfg";"summary",#N/A,FALSE,"mfg"}</definedName>
    <definedName name="dsfsf" localSheetId="2" hidden="1">{"detail",#N/A,FALSE,"mfg";"summary",#N/A,FALSE,"mfg"}</definedName>
    <definedName name="dsfsf" hidden="1">{"detail",#N/A,FALSE,"mfg";"summary",#N/A,FALSE,"mfg"}</definedName>
    <definedName name="dsgfhgfv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uedates" localSheetId="2">#REF!</definedName>
    <definedName name="duedates">#REF!</definedName>
    <definedName name="dx" localSheetId="3" hidden="1">{"Month Summary",#N/A,FALSE,"Summary";"Total Details",#N/A,FALSE,"Current Yr";"Polymers Details",#N/A,FALSE,"Current Yr";"Performance Details",#N/A,FALSE,"Current Yr";"ICD Details",#N/A,FALSE,"Current Yr"}</definedName>
    <definedName name="dx" localSheetId="1" hidden="1">{"Month Summary",#N/A,FALSE,"Summary";"Total Details",#N/A,FALSE,"Current Yr";"Polymers Details",#N/A,FALSE,"Current Yr";"Performance Details",#N/A,FALSE,"Current Yr";"ICD Details",#N/A,FALSE,"Current Yr"}</definedName>
    <definedName name="dx" localSheetId="2" hidden="1">{"Month Summary",#N/A,FALSE,"Summary";"Total Details",#N/A,FALSE,"Current Yr";"Polymers Details",#N/A,FALSE,"Current Yr";"Performance Details",#N/A,FALSE,"Current Yr";"ICD Details",#N/A,FALSE,"Current Yr"}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e">#N/A</definedName>
    <definedName name="EAA">[51]EA!$C$1:$L$19</definedName>
    <definedName name="EAP_SALES" localSheetId="2">'[52]Sales(EAP)-D'!#REF!</definedName>
    <definedName name="EAP_SALES">'[52]Sales(EAP)-D'!#REF!</definedName>
    <definedName name="ebbfy01pf" localSheetId="2">[53]CPI!#REF!</definedName>
    <definedName name="ebbfy01pf">[53]CPI!#REF!</definedName>
    <definedName name="ebbfy02pf" localSheetId="2">[53]CPI!#REF!</definedName>
    <definedName name="ebbfy02pf">[53]CPI!#REF!</definedName>
    <definedName name="ebbfy03pf" localSheetId="2">[53]CPI!#REF!</definedName>
    <definedName name="ebbfy03pf">[53]CPI!#REF!</definedName>
    <definedName name="ebbfy04pf" localSheetId="2">[53]CPI!#REF!</definedName>
    <definedName name="ebbfy04pf">[53]CPI!#REF!</definedName>
    <definedName name="ebbfy05pf" localSheetId="2">[53]CPI!#REF!</definedName>
    <definedName name="ebbfy05pf">[53]CPI!#REF!</definedName>
    <definedName name="ebbfy06pf" localSheetId="2">[53]CPI!#REF!</definedName>
    <definedName name="ebbfy06pf">[53]CPI!#REF!</definedName>
    <definedName name="ebbfy07pf" localSheetId="2">[53]CPI!#REF!</definedName>
    <definedName name="ebbfy07pf">[53]CPI!#REF!</definedName>
    <definedName name="ebbfy08pf" localSheetId="2">[53]CPI!#REF!</definedName>
    <definedName name="ebbfy08pf">[53]CPI!#REF!</definedName>
    <definedName name="ec" localSheetId="3">[7]!SQL.REQUEST(DNI,,,[0]!FORB)</definedName>
    <definedName name="ec" localSheetId="1">[7]!SQL.REQUEST(DNI,,,[0]!FORB)</definedName>
    <definedName name="ec" localSheetId="2">[7]!SQL.REQUEST([0]!DNI,,,'SND(창신)작성'!FORB)</definedName>
    <definedName name="ec">[7]!SQL.REQUEST(DNI,,,[0]!FORB)</definedName>
    <definedName name="ed" localSheetId="3" hidden="1">{"vol data",#N/A,FALSE,"Datasheet";"vol graph",#N/A,FALSE,"Volume";"price data",#N/A,FALSE,"Datasheet";"price graph",#N/A,FALSE,"Price";"dp data",#N/A,FALSE,"Datasheet";"dp graph",#N/A,FALSE,"DirectProfit"}</definedName>
    <definedName name="ed" localSheetId="1" hidden="1">{"vol data",#N/A,FALSE,"Datasheet";"vol graph",#N/A,FALSE,"Volume";"price data",#N/A,FALSE,"Datasheet";"price graph",#N/A,FALSE,"Price";"dp data",#N/A,FALSE,"Datasheet";"dp graph",#N/A,FALSE,"DirectProfit"}</definedName>
    <definedName name="ed" localSheetId="2" hidden="1">{"vol data",#N/A,FALSE,"Datasheet";"vol graph",#N/A,FALSE,"Volume";"price data",#N/A,FALSE,"Datasheet";"price graph",#N/A,FALSE,"Price";"dp data",#N/A,FALSE,"Datasheet";"dp graph",#N/A,FALSE,"DirectProfit"}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c" localSheetId="2">[6]Volumes!#REF!</definedName>
    <definedName name="edc">[6]Volumes!#REF!</definedName>
    <definedName name="ee" localSheetId="3" hidden="1">{"YD LAPO2",#N/A,FALSE,"YTD";"YD LPH2",#N/A,FALSE,"YTD";"YD LOUISIANA",#N/A,FALSE,"YTD";"YD GENERALH2",#N/A,FALSE,"YTD";"YD PRS",#N/A,FALSE,"YTD";"YD PACKAGE",#N/A,FALSE,"YTD";"YD OTHER",#N/A,FALSE,"YTD"}</definedName>
    <definedName name="ee" localSheetId="1" hidden="1">{"YD LAPO2",#N/A,FALSE,"YTD";"YD LPH2",#N/A,FALSE,"YTD";"YD LOUISIANA",#N/A,FALSE,"YTD";"YD GENERALH2",#N/A,FALSE,"YTD";"YD PRS",#N/A,FALSE,"YTD";"YD PACKAGE",#N/A,FALSE,"YTD";"YD OTHER",#N/A,FALSE,"YTD"}</definedName>
    <definedName name="ee" localSheetId="2" hidden="1">{"YD LAPO2",#N/A,FALSE,"YTD";"YD LPH2",#N/A,FALSE,"YTD";"YD LOUISIANA",#N/A,FALSE,"YTD";"YD GENERALH2",#N/A,FALSE,"YTD";"YD PRS",#N/A,FALSE,"YTD";"YD PACKAGE",#N/A,FALSE,"YTD";"YD OTHER",#N/A,FALSE,"YTD"}</definedName>
    <definedName name="ee" hidden="1">{"YD LAPO2",#N/A,FALSE,"YTD";"YD LPH2",#N/A,FALSE,"YTD";"YD LOUISIANA",#N/A,FALSE,"YTD";"YD GENERALH2",#N/A,FALSE,"YTD";"YD PRS",#N/A,FALSE,"YTD";"YD PACKAGE",#N/A,FALSE,"YTD";"YD OTHER",#N/A,FALSE,"YTD"}</definedName>
    <definedName name="eee" localSheetId="3" hidden="1">{"YD GENERALH2",#N/A,FALSE,"YTD"}</definedName>
    <definedName name="eee" localSheetId="1" hidden="1">{"YD GENERALH2",#N/A,FALSE,"YTD"}</definedName>
    <definedName name="eee" localSheetId="2" hidden="1">{"YD GENERALH2",#N/A,FALSE,"YTD"}</definedName>
    <definedName name="eee" hidden="1">{"YD GENERALH2",#N/A,FALSE,"YTD"}</definedName>
    <definedName name="eeed" localSheetId="3" hidden="1">{"detail",#N/A,FALSE,"mfg";"summary",#N/A,FALSE,"mfg"}</definedName>
    <definedName name="eeed" localSheetId="1" hidden="1">{"detail",#N/A,FALSE,"mfg";"summary",#N/A,FALSE,"mfg"}</definedName>
    <definedName name="eeed" localSheetId="2" hidden="1">{"detail",#N/A,FALSE,"mfg";"summary",#N/A,FALSE,"mfg"}</definedName>
    <definedName name="eeed" hidden="1">{"detail",#N/A,FALSE,"mfg";"summary",#N/A,FALSE,"mfg"}</definedName>
    <definedName name="eeee" localSheetId="3" hidden="1">{"YD LAPO2",#N/A,FALSE,"YTD"}</definedName>
    <definedName name="eeee" localSheetId="1" hidden="1">{"YD LAPO2",#N/A,FALSE,"YTD"}</definedName>
    <definedName name="eeee" localSheetId="2" hidden="1">{"YD LAPO2",#N/A,FALSE,"YTD"}</definedName>
    <definedName name="eeee" hidden="1">{"YD LAPO2",#N/A,FALSE,"YTD"}</definedName>
    <definedName name="eeeee" localSheetId="3" hidden="1">{"YD LOUISIANA",#N/A,FALSE,"YTD"}</definedName>
    <definedName name="eeeee" localSheetId="1" hidden="1">{"YD LOUISIANA",#N/A,FALSE,"YTD"}</definedName>
    <definedName name="eeeee" localSheetId="2" hidden="1">{"YD LOUISIANA",#N/A,FALSE,"YTD"}</definedName>
    <definedName name="eeeee" hidden="1">{"YD LOUISIANA",#N/A,FALSE,"YTD"}</definedName>
    <definedName name="eeeeee" localSheetId="3" hidden="1">{"YD OTHER",#N/A,FALSE,"YTD"}</definedName>
    <definedName name="eeeeee" localSheetId="1" hidden="1">{"YD OTHER",#N/A,FALSE,"YTD"}</definedName>
    <definedName name="eeeeee" localSheetId="2" hidden="1">{"YD OTHER",#N/A,FALSE,"YTD"}</definedName>
    <definedName name="eeeeee" hidden="1">{"YD OTHER",#N/A,FALSE,"YTD"}</definedName>
    <definedName name="eeeeeee" localSheetId="3" hidden="1">{"YD LPH2",#N/A,FALSE,"YTD"}</definedName>
    <definedName name="eeeeeee" localSheetId="1" hidden="1">{"YD LPH2",#N/A,FALSE,"YTD"}</definedName>
    <definedName name="eeeeeee" localSheetId="2" hidden="1">{"YD LPH2",#N/A,FALSE,"YTD"}</definedName>
    <definedName name="eeeeeee" hidden="1">{"YD LPH2",#N/A,FALSE,"YTD"}</definedName>
    <definedName name="eeeeeeee" localSheetId="3" hidden="1">{"Pg1",#N/A,FALSE,"OpExYTDvsBud";"Pg2",#N/A,FALSE,"OpExYTDvsBud"}</definedName>
    <definedName name="eeeeeeee" localSheetId="1" hidden="1">{"Pg1",#N/A,FALSE,"OpExYTDvsBud";"Pg2",#N/A,FALSE,"OpExYTDvsBud"}</definedName>
    <definedName name="eeeeeeee" localSheetId="2" hidden="1">{"Pg1",#N/A,FALSE,"OpExYTDvsBud";"Pg2",#N/A,FALSE,"OpExYTDvsBud"}</definedName>
    <definedName name="eeeeeeee" hidden="1">{"Pg1",#N/A,FALSE,"OpExYTDvsBud";"Pg2",#N/A,FALSE,"OpExYTDvsBud"}</definedName>
    <definedName name="eeeeeeeee" localSheetId="3" hidden="1">{"Pa1",#N/A,FALSE,"OpExYTDvsPY";"Pa2",#N/A,FALSE,"OpExYTDvsPY"}</definedName>
    <definedName name="eeeeeeeee" localSheetId="1" hidden="1">{"Pa1",#N/A,FALSE,"OpExYTDvsPY";"Pa2",#N/A,FALSE,"OpExYTDvsPY"}</definedName>
    <definedName name="eeeeeeeee" localSheetId="2" hidden="1">{"Pa1",#N/A,FALSE,"OpExYTDvsPY";"Pa2",#N/A,FALSE,"OpExYTDvsPY"}</definedName>
    <definedName name="eeeeeeeee" hidden="1">{"Pa1",#N/A,FALSE,"OpExYTDvsPY";"Pa2",#N/A,FALSE,"OpExYTDvsPY"}</definedName>
    <definedName name="eeeeeeeeee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localSheetId="3" hidden="1">{#N/A,"PURCHM",FALSE,"Business Analysis";#N/A,"SPADD",FALSE,"Business Analysis"}</definedName>
    <definedName name="eeeeeeeeeee" localSheetId="1" hidden="1">{#N/A,"PURCHM",FALSE,"Business Analysis";#N/A,"SPADD",FALSE,"Business Analysis"}</definedName>
    <definedName name="eeeeeeeeeee" localSheetId="2" hidden="1">{#N/A,"PURCHM",FALSE,"Business Analysis";#N/A,"SPADD",FALSE,"Business Analysis"}</definedName>
    <definedName name="eeeeeeeeeee" hidden="1">{#N/A,"PURCHM",FALSE,"Business Analysis";#N/A,"SPADD",FALSE,"Business Analysis"}</definedName>
    <definedName name="eeeeeeeeeeee" localSheetId="3" hidden="1">{"pro_view",#N/A,FALSE,"EEFSNAP2";"rep_view",#N/A,FALSE,"EEFSNAP2"}</definedName>
    <definedName name="eeeeeeeeeeee" localSheetId="1" hidden="1">{"pro_view",#N/A,FALSE,"EEFSNAP2";"rep_view",#N/A,FALSE,"EEFSNAP2"}</definedName>
    <definedName name="eeeeeeeeeeee" localSheetId="2" hidden="1">{"pro_view",#N/A,FALSE,"EEFSNAP2";"rep_view",#N/A,FALSE,"EEFSNAP2"}</definedName>
    <definedName name="eeeeeeeeeeee" hidden="1">{"pro_view",#N/A,FALSE,"EEFSNAP2";"rep_view",#N/A,FALSE,"EEFSNAP2"}</definedName>
    <definedName name="eeeeeeeeeeeeee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scomfy02total">[28]Details!$Y$129</definedName>
    <definedName name="eescomfy03total">[28]Details!$Z$129</definedName>
    <definedName name="eescomfy04total">[28]Details!$AA$129</definedName>
    <definedName name="eescomfy05total">[26]Details!$AB$148</definedName>
    <definedName name="efedcd" localSheetId="2">'[8]Group Commitments'!#REF!</definedName>
    <definedName name="efedcd">'[8]Group Commitments'!#REF!</definedName>
    <definedName name="efef" localSheetId="2">'[8]Group Commitments'!#REF!</definedName>
    <definedName name="efef">'[8]Group Commitments'!#REF!</definedName>
    <definedName name="ei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LE_" localSheetId="3" hidden="1">{#N/A,"PURCHM",FALSE,"Business Analysis";#N/A,"SPADD",FALSE,"Business Analysis"}</definedName>
    <definedName name="ELE_" localSheetId="1" hidden="1">{#N/A,"PURCHM",FALSE,"Business Analysis";#N/A,"SPADD",FALSE,"Business Analysis"}</definedName>
    <definedName name="ELE_" localSheetId="2" hidden="1">{#N/A,"PURCHM",FALSE,"Business Analysis";#N/A,"SPADD",FALSE,"Business Analysis"}</definedName>
    <definedName name="ELE_" hidden="1">{#N/A,"PURCHM",FALSE,"Business Analysis";#N/A,"SPADD",FALSE,"Business Analysis"}</definedName>
    <definedName name="ENGY__KWH" localSheetId="2">'[24]Early CO'!#REF!</definedName>
    <definedName name="ENGY__KWH">'[24]Early CO'!#REF!</definedName>
    <definedName name="ENGY_CONV_FCTR" localSheetId="2">'[24]Early CO'!#REF!</definedName>
    <definedName name="ENGY_CONV_FCTR">'[24]Early CO'!#REF!</definedName>
    <definedName name="ENRON_DED_CAP" localSheetId="2">'[24]Early CO'!#REF!</definedName>
    <definedName name="ENRON_DED_CAP">'[24]Early CO'!#REF!</definedName>
    <definedName name="Entity">[54]Convert!$P$3:$R$17</definedName>
    <definedName name="EPSSPEC" localSheetId="2">[13]GEG!#REF!</definedName>
    <definedName name="EPSSPEC">[13]GEG!#REF!</definedName>
    <definedName name="EPSVSBUD" localSheetId="2">[13]GEG!#REF!</definedName>
    <definedName name="EPSVSBUD">[13]GEG!#REF!</definedName>
    <definedName name="EPSVSPY" localSheetId="2">[13]GEG!#REF!</definedName>
    <definedName name="EPSVSPY">[13]GEG!#REF!</definedName>
    <definedName name="Equity" localSheetId="2">[42]BS!#REF!</definedName>
    <definedName name="Equity">[42]BS!#REF!</definedName>
    <definedName name="EquityA">[51]EAApres!$B$1:$H$9</definedName>
    <definedName name="er" localSheetId="3" hidden="1">{"Month Summary",#N/A,FALSE,"Summary";"Total Details",#N/A,FALSE,"Current Yr";"Polymers Details",#N/A,FALSE,"Current Yr";"Performance Details",#N/A,FALSE,"Current Yr";"ICD Details",#N/A,FALSE,"Current Yr"}</definedName>
    <definedName name="er" localSheetId="1" hidden="1">{"Month Summary",#N/A,FALSE,"Summary";"Total Details",#N/A,FALSE,"Current Yr";"Polymers Details",#N/A,FALSE,"Current Yr";"Performance Details",#N/A,FALSE,"Current Yr";"ICD Details",#N/A,FALSE,"Current Yr"}</definedName>
    <definedName name="er" localSheetId="2" hidden="1">{"Month Summary",#N/A,FALSE,"Summary";"Total Details",#N/A,FALSE,"Current Yr";"Polymers Details",#N/A,FALSE,"Current Yr";"Performance Details",#N/A,FALSE,"Current Yr";"ICD Details",#N/A,FALSE,"Current Yr"}</definedName>
    <definedName name="er" hidden="1">{"Month Summary",#N/A,FALSE,"Summary";"Total Details",#N/A,FALSE,"Current Yr";"Polymers Details",#N/A,FALSE,"Current Yr";"Performance Details",#N/A,FALSE,"Current Yr";"ICD Details",#N/A,FALSE,"Current Yr"}</definedName>
    <definedName name="ert" localSheetId="3" hidden="1">{"BA detail",#N/A,FALSE,"Q3YTD "}</definedName>
    <definedName name="ert" localSheetId="1" hidden="1">{"BA detail",#N/A,FALSE,"Q3YTD "}</definedName>
    <definedName name="ert" localSheetId="2" hidden="1">{"BA detail",#N/A,FALSE,"Q3YTD "}</definedName>
    <definedName name="ert" hidden="1">{"BA detail",#N/A,FALSE,"Q3YTD "}</definedName>
    <definedName name="erty">#N/A</definedName>
    <definedName name="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sAliasTable">"Default"</definedName>
    <definedName name="Essbase">[30]Submitted!$A$1:$AJ$130</definedName>
    <definedName name="EssOptions">"1100000000110000_01000"</definedName>
    <definedName name="esz" localSheetId="2">[6]GEG!#REF!</definedName>
    <definedName name="esz">[6]GEG!#REF!</definedName>
    <definedName name="et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u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localSheetId="1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localSheetId="2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comfy02total">[25]Details!$Y$137</definedName>
    <definedName name="eurcomfy03total">[25]Details!$AD$137</definedName>
    <definedName name="eurcomfy04total">[25]Details!$AE$137</definedName>
    <definedName name="Euro">'[46]NewLost PGG'!$C$35</definedName>
    <definedName name="Europe_Volume___Price___Margin_Trend" localSheetId="2">[13]Volumes!#REF!</definedName>
    <definedName name="Europe_Volume___Price___Margin_Trend">[13]Volumes!#REF!</definedName>
    <definedName name="Europe_YTD_VPM" localSheetId="2">[13]Volumes!#REF!</definedName>
    <definedName name="Europe_YTD_VPM">[13]Volumes!#REF!</definedName>
    <definedName name="euruncomfy02total">[26]Details!$Y$238</definedName>
    <definedName name="euruncomfy03total">[26]Details!$Z$238</definedName>
    <definedName name="euruncomfy04total">[26]Details!$AA$238</definedName>
    <definedName name="euruncomfy05total">[26]Details!$AB$238</definedName>
    <definedName name="ewdwqd" localSheetId="3" hidden="1">{#N/A,"PURCHM",FALSE,"Business Analysis";#N/A,"SPADD",FALSE,"Business Analysis"}</definedName>
    <definedName name="ewdwqd" localSheetId="1" hidden="1">{#N/A,"PURCHM",FALSE,"Business Analysis";#N/A,"SPADD",FALSE,"Business Analysis"}</definedName>
    <definedName name="ewdwqd" localSheetId="2" hidden="1">{#N/A,"PURCHM",FALSE,"Business Analysis";#N/A,"SPADD",FALSE,"Business Analysis"}</definedName>
    <definedName name="ewdwqd" hidden="1">{#N/A,"PURCHM",FALSE,"Business Analysis";#N/A,"SPADD",FALSE,"Business Analysis"}</definedName>
    <definedName name="ex" localSheetId="3">[7]!SQL.REQUEST(DNI,,,[0]!FORA)</definedName>
    <definedName name="ex" localSheetId="1">[7]!SQL.REQUEST(DNI,,,[0]!FORA)</definedName>
    <definedName name="ex" localSheetId="2">[7]!SQL.REQUEST([0]!DNI,,,'SND(창신)작성'!FORA)</definedName>
    <definedName name="ex">[7]!SQL.REQUEST(DNI,,,[0]!FORA)</definedName>
    <definedName name="EXCH01" localSheetId="2">#REF!</definedName>
    <definedName name="EXCH01">#REF!</definedName>
    <definedName name="_xlnm.Extract" localSheetId="2">#REF!</definedName>
    <definedName name="_xlnm.Extract">#REF!</definedName>
    <definedName name="ey" localSheetId="3">[7]!SQL.REQUEST(DNI,,,[0]!FORP&amp;[0]!_FOR2)/1000</definedName>
    <definedName name="ey" localSheetId="1">[7]!SQL.REQUEST(DNI,,,[0]!FORP&amp;[0]!_FOR2)/1000</definedName>
    <definedName name="ey" localSheetId="2">[7]!SQL.REQUEST([0]!DNI,,,'SND(창신)작성'!FORP&amp;'SND(창신)작성'!_FOR2)/1000</definedName>
    <definedName name="ey">[7]!SQL.REQUEST(DNI,,,[0]!FORP&amp;[0]!_FOR2)/1000</definedName>
    <definedName name="ez" localSheetId="3">[7]!SQL.REQUEST(DNI,,,[0]!_FOR8)</definedName>
    <definedName name="ez" localSheetId="1">[7]!SQL.REQUEST(DNI,,,[0]!_FOR8)</definedName>
    <definedName name="ez" localSheetId="2">[7]!SQL.REQUEST([0]!DNI,,,'SND(창신)작성'!_FOR8)</definedName>
    <definedName name="ez">[7]!SQL.REQUEST(DNI,,,[0]!_FOR8)</definedName>
    <definedName name="f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a" localSheetId="3" hidden="1">{"vol data",#N/A,FALSE,"Datasheet";"vol graph",#N/A,FALSE,"Volume";"price data",#N/A,FALSE,"Datasheet";"price graph",#N/A,FALSE,"Price";"dp data",#N/A,FALSE,"Datasheet";"dp graph",#N/A,FALSE,"DirectProfit"}</definedName>
    <definedName name="fa" localSheetId="1" hidden="1">{"vol data",#N/A,FALSE,"Datasheet";"vol graph",#N/A,FALSE,"Volume";"price data",#N/A,FALSE,"Datasheet";"price graph",#N/A,FALSE,"Price";"dp data",#N/A,FALSE,"Datasheet";"dp graph",#N/A,FALSE,"DirectProfit"}</definedName>
    <definedName name="fa" localSheetId="2" hidden="1">{"vol data",#N/A,FALSE,"Datasheet";"vol graph",#N/A,FALSE,"Volume";"price data",#N/A,FALSE,"Datasheet";"price graph",#N/A,FALSE,"Price";"dp data",#N/A,FALSE,"Datasheet";"dp graph",#N/A,FALSE,"DirectProfit"}</definedName>
    <definedName name="fa" hidden="1">{"vol data",#N/A,FALSE,"Datasheet";"vol graph",#N/A,FALSE,"Volume";"price data",#N/A,FALSE,"Datasheet";"price graph",#N/A,FALSE,"Price";"dp data",#N/A,FALSE,"Datasheet";"dp graph",#N/A,FALSE,"DirectProfit"}</definedName>
    <definedName name="FACTOR" localSheetId="2">#REF!</definedName>
    <definedName name="FACTOR">#REF!</definedName>
    <definedName name="fc">#N/A</definedName>
    <definedName name="fcsummary" localSheetId="2">#REF!</definedName>
    <definedName name="fcsummary">#REF!</definedName>
    <definedName name="fde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Q" localSheetId="3" hidden="1">{"detail",#N/A,FALSE,"mfg";"summary",#N/A,FALSE,"mfg"}</definedName>
    <definedName name="FDQ" localSheetId="1" hidden="1">{"detail",#N/A,FALSE,"mfg";"summary",#N/A,FALSE,"mfg"}</definedName>
    <definedName name="FDQ" localSheetId="2" hidden="1">{"detail",#N/A,FALSE,"mfg";"summary",#N/A,FALSE,"mfg"}</definedName>
    <definedName name="FDQ" hidden="1">{"detail",#N/A,FALSE,"mfg";"summary",#N/A,FALSE,"mfg"}</definedName>
    <definedName name="fdsa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EB_UNI_VOL1" localSheetId="2">'[24]Early CO'!#REF!</definedName>
    <definedName name="FEB_UNI_VOL1">'[24]Early CO'!#REF!</definedName>
    <definedName name="FEB_UNI_VOL2" localSheetId="2">'[24]Early CO'!#REF!</definedName>
    <definedName name="FEB_UNI_VOL2">'[24]Early CO'!#REF!</definedName>
    <definedName name="Feb00_Carburos">[55]Carburos!$A$270:$X$281</definedName>
    <definedName name="Feb00_CentralEurope">'[55]Central Europe'!$A$259:$Z$268</definedName>
    <definedName name="Feb00_Equipment">[55]Equipment!$A$210:$Z$217</definedName>
    <definedName name="Feb00_Merchant">[55]Merchant!$A$303:$X$314</definedName>
    <definedName name="Feb00_Tonnage">[55]Tonnage!$A$371:$X$385</definedName>
    <definedName name="FECHA" localSheetId="2">#REF!</definedName>
    <definedName name="FECHA">#REF!</definedName>
    <definedName name="fee" localSheetId="2">[47]Q_COMP.XLS!#REF!</definedName>
    <definedName name="fee">[47]Q_COMP.XLS!#REF!</definedName>
    <definedName name="FEROX" localSheetId="2">[33]Selling!#REF!</definedName>
    <definedName name="FEROX">[33]Selling!#REF!</definedName>
    <definedName name="fewq" localSheetId="3" hidden="1">{"Comp_of_Price_Effect",#N/A,FALSE,"QTRDPVAR"}</definedName>
    <definedName name="fewq" localSheetId="1" hidden="1">{"Comp_of_Price_Effect",#N/A,FALSE,"QTRDPVAR"}</definedName>
    <definedName name="fewq" localSheetId="2" hidden="1">{"Comp_of_Price_Effect",#N/A,FALSE,"QTRDPVAR"}</definedName>
    <definedName name="fewq" hidden="1">{"Comp_of_Price_Effect",#N/A,FALSE,"QTRDPVAR"}</definedName>
    <definedName name="FF">'[50]Qtr 1 98'!$B$32</definedName>
    <definedName name="fffff" localSheetId="3" hidden="1">{#N/A,"PURCHM",FALSE,"Business Analysis";#N/A,"SPADD",FALSE,"Business Analysis"}</definedName>
    <definedName name="fffff" localSheetId="1" hidden="1">{#N/A,"PURCHM",FALSE,"Business Analysis";#N/A,"SPADD",FALSE,"Business Analysis"}</definedName>
    <definedName name="fffff" localSheetId="2" hidden="1">{#N/A,"PURCHM",FALSE,"Business Analysis";#N/A,"SPADD",FALSE,"Business Analysis"}</definedName>
    <definedName name="fffff" hidden="1">{#N/A,"PURCHM",FALSE,"Business Analysis";#N/A,"SPADD",FALSE,"Business Analysis"}</definedName>
    <definedName name="fg" localSheetId="3">광주본사!fg</definedName>
    <definedName name="fg" localSheetId="1">화성!fg</definedName>
    <definedName name="fg" localSheetId="2">'SND(창신)작성'!fg</definedName>
    <definedName name="fg">[0]!fg</definedName>
    <definedName name="fggh" localSheetId="3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fggh" localSheetId="1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fggh" localSheetId="2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fggh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fgh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j" localSheetId="3" hidden="1">{"detail",#N/A,FALSE,"mfg";"summary",#N/A,FALSE,"mfg"}</definedName>
    <definedName name="fghj" localSheetId="1" hidden="1">{"detail",#N/A,FALSE,"mfg";"summary",#N/A,FALSE,"mfg"}</definedName>
    <definedName name="fghj" localSheetId="2" hidden="1">{"detail",#N/A,FALSE,"mfg";"summary",#N/A,FALSE,"mfg"}</definedName>
    <definedName name="fghj" hidden="1">{"detail",#N/A,FALSE,"mfg";"summary",#N/A,FALSE,"mfg"}</definedName>
    <definedName name="FGP" localSheetId="2">'[33]Gross Profit'!#REF!</definedName>
    <definedName name="FGP">'[33]Gross Profit'!#REF!</definedName>
    <definedName name="FISCALYEARS">'[36]Nat Spending Drilldown'!$B$738:$D$741</definedName>
    <definedName name="FOR0" localSheetId="2">"select SUM(TOTREAL-IMPCBREAL-RETREAL),SUM(TOTPRES-IMPCBPRES-RETPRES),SUM(TOTANT-IMPCBANT-RETANT) FROM REAL_PRESUP_MES_M A, PRODUCTOS_M B WHERE A.CODPRO=B.CODPRO and codexp BETWEEN 901 AND 942 AND CODEXP&lt;&gt;906 and anymes="&amp;#REF!</definedName>
    <definedName name="FOR0">"select SUM(TOTREAL-IMPCBREAL-RETREAL),SUM(TOTPRES-IMPCBPRES-RETPRES),SUM(TOTANT-IMPCBANT-RETANT) FROM REAL_PRESUP_MES_M A, PRODUCTOS_M B WHERE A.CODPRO=B.CODPRO and codexp BETWEEN 901 AND 942 AND CODEXP&lt;&gt;906 and anymes="&amp;#REF!</definedName>
    <definedName name="FOR00" localSheetId="3">[7]!SQL.REQUEST(DNI,,,FOR0)/1000</definedName>
    <definedName name="FOR00" localSheetId="1">[7]!SQL.REQUEST(DNI,,,FOR0)/1000</definedName>
    <definedName name="FOR00" localSheetId="2">[7]!SQL.REQUEST([0]!DNI,,,'SND(창신)작성'!FOR0)/1000</definedName>
    <definedName name="FOR00">[7]!SQL.REQUEST(DNI,,,FOR0)/1000</definedName>
    <definedName name="FORA" localSheetId="2">"SELECT SUM((A.TUBOS_VEN+A.TUBOS_BAR)*CASE WHEN B.INDTB IN('E','C') THEN 36 WHEN B.INDTB='D' THEN 18 ELSE 1 END) FROM TUBOS_DEPOSITO A, PRODUCTOS B WHERE A.CODPRO=B.CODPRO and codexp="&amp;#REF!&amp;" and anymes="&amp;#REF!</definedName>
    <definedName name="FORA">"SELECT SUM((A.TUBOS_VEN+A.TUBOS_BAR)*CASE WHEN B.INDTB IN('E','C') THEN 36 WHEN B.INDTB='D' THEN 18 ELSE 1 END) FROM TUBOS_DEPOSITO A, PRODUCTOS B WHERE A.CODPRO=B.CODPRO and codexp="&amp;#REF!&amp;" and anymes="&amp;#REF!</definedName>
    <definedName name="FORAA" localSheetId="3">[7]!SQL.REQUEST(DNI,,,FORA)</definedName>
    <definedName name="FORAA" localSheetId="1">[7]!SQL.REQUEST(DNI,,,FORA)</definedName>
    <definedName name="FORAA" localSheetId="2">[7]!SQL.REQUEST([0]!DNI,,,'SND(창신)작성'!FORA)</definedName>
    <definedName name="FORAA">[7]!SQL.REQUEST(DNI,,,FORA)</definedName>
    <definedName name="FORB" localSheetId="2">"SELECT SUM((A.TUBOS_VEN_PRES+A.TUBOS_BAR_PRES)*CASE WHEN B.INDTB IN('E','C') THEN 36 WHEN B.INDTB='D' THEN 18 ELSE 1 END) FROM TUBOS_DEPOSITO A, PRODUCTOS B WHERE A.CODPRO=B.CODPRO and codexp="&amp;#REF!&amp;" and anymes="&amp;#REF!</definedName>
    <definedName name="FORB">"SELECT SUM((A.TUBOS_VEN_PRES+A.TUBOS_BAR_PRES)*CASE WHEN B.INDTB IN('E','C') THEN 36 WHEN B.INDTB='D' THEN 18 ELSE 1 END) FROM TUBOS_DEPOSITO A, PRODUCTOS B WHERE A.CODPRO=B.CODPRO and codexp="&amp;#REF!&amp;" and anymes="&amp;#REF!</definedName>
    <definedName name="FORBB" localSheetId="3">[7]!SQL.REQUEST(DNI,,,FORB)</definedName>
    <definedName name="FORBB" localSheetId="1">[7]!SQL.REQUEST(DNI,,,FORB)</definedName>
    <definedName name="FORBB" localSheetId="2">[7]!SQL.REQUEST([0]!DNI,,,'SND(창신)작성'!FORB)</definedName>
    <definedName name="FORBB">[7]!SQL.REQUEST(DNI,,,FORB)</definedName>
    <definedName name="FORC" localSheetId="2">"SELECT SUM((A.TUBOS_VEN+A.TUBOS_BAR)*CASE WHEN B.INDTB IN('E','C') THEN 36 WHEN B.INDTB='D' THEN 18 ELSE 1 END) FROM TUBOS_DEPOSITO A, PRODUCTOS B WHERE A.CODPRO=B.CODPRO and codexp="&amp;#REF!&amp;" and anymes="&amp;#REF!-100</definedName>
    <definedName name="FORC">"SELECT SUM((A.TUBOS_VEN+A.TUBOS_BAR)*CASE WHEN B.INDTB IN('E','C') THEN 36 WHEN B.INDTB='D' THEN 18 ELSE 1 END) FROM TUBOS_DEPOSITO A, PRODUCTOS B WHERE A.CODPRO=B.CODPRO and codexp="&amp;#REF!&amp;" and anymes="&amp;#REF!-100</definedName>
    <definedName name="FORCC" localSheetId="3">[7]!SQL.REQUEST(DNI,,,FORC)</definedName>
    <definedName name="FORCC" localSheetId="1">[7]!SQL.REQUEST(DNI,,,FORC)</definedName>
    <definedName name="FORCC" localSheetId="2">[7]!SQL.REQUEST([0]!DNI,,,'SND(창신)작성'!FORC)</definedName>
    <definedName name="FORCC">[7]!SQL.REQUEST(DNI,,,FORC)</definedName>
    <definedName name="FORD" localSheetId="2">"select SUM(TOTREAL-IMPCBREAL-RETREAL),SUM(TOTPRES-IMPCBPRES-RETPRES),SUM(TOTANT-IMPCBANT-RETANT) FROM REAL_PRESUP_MES A, PRODUCTOS B WHERE A.CODPRO=B.CODPRO and codexp="&amp;#REF!&amp;" and anymes="&amp;#REF!</definedName>
    <definedName name="FORD">"select SUM(TOTREAL-IMPCBREAL-RETREAL),SUM(TOTPRES-IMPCBPRES-RETPRES),SUM(TOTANT-IMPCBANT-RETANT) FROM REAL_PRESUP_MES A, PRODUCTOS B WHERE A.CODPRO=B.CODPRO and codexp="&amp;#REF!&amp;" and anymes="&amp;#REF!</definedName>
    <definedName name="FORDD" localSheetId="3">[7]!SQL.REQUEST(DNI,,,FORD)/1000</definedName>
    <definedName name="FORDD" localSheetId="1">[7]!SQL.REQUEST(DNI,,,FORD)/1000</definedName>
    <definedName name="FORDD" localSheetId="2">[7]!SQL.REQUEST([0]!DNI,,,'SND(창신)작성'!FORD)/1000</definedName>
    <definedName name="FORDD">[7]!SQL.REQUEST(DNI,,,FORD)/1000</definedName>
    <definedName name="FORE" localSheetId="2">"SELECT SUM((TUBOS_VEN+TUBOS_BAR)*CASE WHEN INDTB IN('E','C') THEN 36 WHEN INDTB='D' THEN 18 ELSE 1 END) FROM TUBOS_DEPOSITO A, PRODUCTOS B WHERE A.CODPRO=B.CODPRO and codexp BETWEEN 901 AND 942 AND CODEXP&lt;&gt;918 and anymes="&amp;#REF!</definedName>
    <definedName name="FORE">"SELECT SUM((TUBOS_VEN+TUBOS_BAR)*CASE WHEN INDTB IN('E','C') THEN 36 WHEN INDTB='D' THEN 18 ELSE 1 END) FROM TUBOS_DEPOSITO A, PRODUCTOS B WHERE A.CODPRO=B.CODPRO and codexp BETWEEN 901 AND 942 AND CODEXP&lt;&gt;918 and anymes="&amp;#REF!</definedName>
    <definedName name="FOREE" localSheetId="3">[7]!SQL.REQUEST(DNI,,,FORE)</definedName>
    <definedName name="FOREE" localSheetId="1">[7]!SQL.REQUEST(DNI,,,FORE)</definedName>
    <definedName name="FOREE" localSheetId="2">[7]!SQL.REQUEST([0]!DNI,,,'SND(창신)작성'!FORE)</definedName>
    <definedName name="FOREE">[7]!SQL.REQUEST(DNI,,,FORE)</definedName>
    <definedName name="FORF">"SELECT SUM((TUBOS_VEN_PRES+TUBOS_BAR_PRES)*CASE WHEN INDTB IN('E','C') THEN 36 WHEN INDTB='D' THEN 18 ELSE 1 END) FROM TUBOS_DEPOSITO A, PRODUCTOS B WHERE A.CODPRO=B.CODPRO and codexp BETWEEN 901 AND 942 AND CODEXP&lt;&gt;918 and anymes="</definedName>
    <definedName name="FORFF" localSheetId="3">[7]!SQL.REQUEST(DNI,,,FORF&amp;#REF!)</definedName>
    <definedName name="FORFF" localSheetId="1">[7]!SQL.REQUEST(DNI,,,FORF&amp;#REF!)</definedName>
    <definedName name="FORFF" localSheetId="2">[7]!SQL.REQUEST([0]!DNI,,,[0]!FORF&amp;#REF!)</definedName>
    <definedName name="FORFF">[7]!SQL.REQUEST(DNI,,,FORF&amp;#REF!)</definedName>
    <definedName name="FORG" localSheetId="2">"SELECT SUM((TUBOS_VEN+TUBOS_BAR)*CASE WHEN INDTB IN('E','C') THEN 36 WHEN INDTB='D' THEN 18 ELSE 1 END) FROM TUBOS_DEPOSITO A, PRODUCTOS B WHERE A.CODPRO=B.CODPRO and codexp BETWEEN 901 AND 942 AND CODEXP&lt;&gt;918 and anymes="&amp;#REF!-100</definedName>
    <definedName name="FORG">"SELECT SUM((TUBOS_VEN+TUBOS_BAR)*CASE WHEN INDTB IN('E','C') THEN 36 WHEN INDTB='D' THEN 18 ELSE 1 END) FROM TUBOS_DEPOSITO A, PRODUCTOS B WHERE A.CODPRO=B.CODPRO and codexp BETWEEN 901 AND 942 AND CODEXP&lt;&gt;918 and anymes="&amp;#REF!-100</definedName>
    <definedName name="FORGG" localSheetId="3">[7]!SQL.REQUEST(DNI,,,FORG)</definedName>
    <definedName name="FORGG" localSheetId="1">[7]!SQL.REQUEST(DNI,,,FORG)</definedName>
    <definedName name="FORGG" localSheetId="2">[7]!SQL.REQUEST([0]!DNI,,,'SND(창신)작성'!FORG)</definedName>
    <definedName name="FORGG">[7]!SQL.REQUEST(DNI,,,FORG)</definedName>
    <definedName name="FORH">"select SUM(TOTREAL-IMPCBREAL-RETREAL),SUM(TOTPRES-IMPCBPRES-RETPRES),SUM(TOTANT-IMPCBANT-RETANT) FROM REAL_PRESUP_MES A, PRODUCTOS B WHERE A.CODPRO=B.CODPRO and codexp BETWEEN 901 AND 942 AND CODEXP NOT IN(918,905,906,912,922) and anymes="</definedName>
    <definedName name="FORHH" localSheetId="3">[7]!SQL.REQUEST(DNI,,,FORH&amp;#REF!)/1000</definedName>
    <definedName name="FORHH" localSheetId="1">[7]!SQL.REQUEST(DNI,,,FORH&amp;#REF!)/1000</definedName>
    <definedName name="FORHH" localSheetId="2">[7]!SQL.REQUEST([0]!DNI,,,[0]!FORH&amp;#REF!)/1000</definedName>
    <definedName name="FORHH">[7]!SQL.REQUEST(DNI,,,FORH&amp;#REF!)/1000</definedName>
    <definedName name="FORP" localSheetId="2">"select sum(unireal)*"&amp;#REF!&amp;",sum(unipres)*"&amp;#REF!&amp;",sum(uniant)*"&amp;#REF!&amp;" from real_presup_mes_l a, productos_l b where a.codpro=b.codpro and coddep not in('28','00') "</definedName>
    <definedName name="FORP">"select sum(unireal)*"&amp;#REF!&amp;",sum(unipres)*"&amp;#REF!&amp;",sum(uniant)*"&amp;#REF!&amp;" from real_presup_mes_l a, productos_l b where a.codpro=b.codpro and coddep not in('28','00') "</definedName>
    <definedName name="FORP2" localSheetId="3">[7]!SQL.REQUEST(DNI,,,FORP&amp;_FOR2)/1000</definedName>
    <definedName name="FORP2" localSheetId="1">[7]!SQL.REQUEST(DNI,,,FORP&amp;_FOR2)/1000</definedName>
    <definedName name="FORP2" localSheetId="2">[7]!SQL.REQUEST([0]!DNI,,,'SND(창신)작성'!FORP&amp;'SND(창신)작성'!_FOR2)/1000</definedName>
    <definedName name="FORP2">[7]!SQL.REQUEST(DNI,,,FORP&amp;_FOR2)/1000</definedName>
    <definedName name="FORQ">"select sum(totreal),sum(totpres),sum(totant) from real_presup_mes_l a, productos_l b where a.codpro=b.codpro and coddep not in('28','00') "</definedName>
    <definedName name="FORQ2" localSheetId="3">[7]!SQL.REQUEST(DNI,,,FORQ&amp;_FOR2)/1000</definedName>
    <definedName name="FORQ2" localSheetId="1">[7]!SQL.REQUEST(DNI,,,FORQ&amp;_FOR2)/1000</definedName>
    <definedName name="FORQ2" localSheetId="2">[7]!SQL.REQUEST([0]!DNI,,,[0]!FORQ&amp;'SND(창신)작성'!_FOR2)/1000</definedName>
    <definedName name="FORQ2">[7]!SQL.REQUEST(DNI,,,FORQ&amp;_FOR2)/1000</definedName>
    <definedName name="FORR" localSheetId="2">"select sum(unireal),sum(unipres)*"&amp;#REF!&amp;",sum(uniant) from real_presup_mes_l a, productos_l b where a.codpro=b.codpro and coddep not in('28','00') "</definedName>
    <definedName name="FORR">"select sum(unireal),sum(unipres)*"&amp;#REF!&amp;",sum(uniant) from real_presup_mes_l a, productos_l b where a.codpro=b.codpro and coddep not in('28','00') "</definedName>
    <definedName name="FORR2" localSheetId="3">[7]!SQL.REQUEST(DNI,,,FORR&amp;_FOR2)/1000</definedName>
    <definedName name="FORR2" localSheetId="1">[7]!SQL.REQUEST(DNI,,,FORR&amp;_FOR2)/1000</definedName>
    <definedName name="FORR2" localSheetId="2">[7]!SQL.REQUEST([0]!DNI,,,'SND(창신)작성'!FORR&amp;'SND(창신)작성'!_FOR2)/1000</definedName>
    <definedName name="FORR2">[7]!SQL.REQUEST(DNI,,,FORR&amp;_FOR2)/1000</definedName>
    <definedName name="FORS" localSheetId="2">"select sum(unireal)*"&amp;#REF!&amp;",sum(unipres)*"&amp;#REF!&amp;",sum(uniant)*"&amp;#REF!&amp;",sum(totreal),sum(totpres),sum(totant) from real_presup_mes_m a, productos_m b where a.codpro=b.codpro and codexp="&amp;#REF!&amp;" and anymes="&amp;#REF!</definedName>
    <definedName name="FORS">"select sum(unireal)*"&amp;#REF!&amp;",sum(unipres)*"&amp;#REF!&amp;",sum(uniant)*"&amp;#REF!&amp;",sum(totreal),sum(totpres),sum(totant) from real_presup_mes_m a, productos_m b where a.codpro=b.codpro and codexp="&amp;#REF!&amp;" and anymes="&amp;#REF!</definedName>
    <definedName name="FORSS" localSheetId="3">[7]!SQL.REQUEST(DNI,,,FORS)/1000</definedName>
    <definedName name="FORSS" localSheetId="1">[7]!SQL.REQUEST(DNI,,,FORS)/1000</definedName>
    <definedName name="FORSS" localSheetId="2">[7]!SQL.REQUEST([0]!DNI,,,'SND(창신)작성'!FORS)/1000</definedName>
    <definedName name="FORSS">[7]!SQL.REQUEST(DNI,,,FORS)/1000</definedName>
    <definedName name="FORXX" localSheetId="3">[7]!SQL.REQUEST(DNI,,,FORA)</definedName>
    <definedName name="FORXX" localSheetId="1">[7]!SQL.REQUEST(DNI,,,FORA)</definedName>
    <definedName name="FORXX" localSheetId="2">[7]!SQL.REQUEST([0]!DNI,,,'SND(창신)작성'!FORA)</definedName>
    <definedName name="FORXX">[7]!SQL.REQUEST(DNI,,,FORA)</definedName>
    <definedName name="fr" localSheetId="3" hidden="1">{#N/A,"PURCHM",FALSE,"Business Analysis";#N/A,"SPADD",FALSE,"Business Analysis"}</definedName>
    <definedName name="fr" localSheetId="1" hidden="1">{#N/A,"PURCHM",FALSE,"Business Analysis";#N/A,"SPADD",FALSE,"Business Analysis"}</definedName>
    <definedName name="fr" localSheetId="2" hidden="1">{#N/A,"PURCHM",FALSE,"Business Analysis";#N/A,"SPADD",FALSE,"Business Analysis"}</definedName>
    <definedName name="fr" hidden="1">{#N/A,"PURCHM",FALSE,"Business Analysis";#N/A,"SPADD",FALSE,"Business Analysis"}</definedName>
    <definedName name="Fre" localSheetId="2">#REF!</definedName>
    <definedName name="Fre">#REF!</definedName>
    <definedName name="fs" localSheetId="2">[6]Volumes!#REF!</definedName>
    <definedName name="fs">[6]Volumes!#REF!</definedName>
    <definedName name="FSALES" localSheetId="2">'[33]Gross Profit'!#REF!</definedName>
    <definedName name="FSALES">'[33]Gross Profit'!#REF!</definedName>
    <definedName name="FUEL_ADJ_FCTR" localSheetId="2">'[24]Early CO'!#REF!</definedName>
    <definedName name="FUEL_ADJ_FCTR">'[24]Early CO'!#REF!</definedName>
    <definedName name="fy01q1target">[28]Details!$P$255</definedName>
    <definedName name="fy01q2target">[28]Details!$Q$255</definedName>
    <definedName name="fy01q3target">[28]Details!$R$255</definedName>
    <definedName name="fy01q4target">[28]Details!$S$255</definedName>
    <definedName name="fy02q1com">[28]Details!$U$132</definedName>
    <definedName name="fy02q1hedge">[28]Details!$U$234</definedName>
    <definedName name="fy02q1onso">[28]Details!$U$253</definedName>
    <definedName name="fy02q1uncom">[28]Details!$U$230</definedName>
    <definedName name="fy02q2com">[28]Details!$V$132</definedName>
    <definedName name="fy02q2hedge">[28]Details!$V$234</definedName>
    <definedName name="fy02q2onso">[28]Details!$V$253</definedName>
    <definedName name="fy02q2uncom">[28]Details!$V$230</definedName>
    <definedName name="fy02q3com">[28]Details!$W$132</definedName>
    <definedName name="fy02q3hedge">[28]Details!$W$234</definedName>
    <definedName name="fy02q3onso">[28]Details!$W$253</definedName>
    <definedName name="fy02q3uncom">[28]Details!$W$230</definedName>
    <definedName name="fy02q4com">[28]Details!$X$132</definedName>
    <definedName name="fy02q4hedge">[28]Details!$X$234</definedName>
    <definedName name="fy02q4onso">[28]Details!$X$253</definedName>
    <definedName name="fy02q4uncom">[28]Details!$X$230</definedName>
    <definedName name="fy02target">[25]Details!$Y$358</definedName>
    <definedName name="fy02totalcom">[25]Details!$Y$176</definedName>
    <definedName name="fy03target">[25]Details!$AD$358</definedName>
    <definedName name="fy03totalcom">[25]Details!$AD$176</definedName>
    <definedName name="fy04target">[25]Details!$AE$358</definedName>
    <definedName name="fy04totalcom">[25]Details!$AE$176</definedName>
    <definedName name="fy05target">[25]Details!$AF$358</definedName>
    <definedName name="fy05totalcom">[25]Details!$AF$176</definedName>
    <definedName name="g">#N/A</definedName>
    <definedName name="ga">#N/A</definedName>
    <definedName name="GBP">'[50]Qtr 1 98'!$B$30</definedName>
    <definedName name="gd" localSheetId="2">[6]Volumes!#REF!</definedName>
    <definedName name="gd">[6]Volumes!#REF!</definedName>
    <definedName name="GDP" localSheetId="3" hidden="1">{"vol data",#N/A,FALSE,"Datasheet";"vol graph",#N/A,FALSE,"Volume";"price data",#N/A,FALSE,"Datasheet";"price graph",#N/A,FALSE,"Price";"dp data",#N/A,FALSE,"Datasheet";"dp graph",#N/A,FALSE,"DirectProfit"}</definedName>
    <definedName name="GDP" localSheetId="1" hidden="1">{"vol data",#N/A,FALSE,"Datasheet";"vol graph",#N/A,FALSE,"Volume";"price data",#N/A,FALSE,"Datasheet";"price graph",#N/A,FALSE,"Price";"dp data",#N/A,FALSE,"Datasheet";"dp graph",#N/A,FALSE,"DirectProfit"}</definedName>
    <definedName name="GDP" localSheetId="2" hidden="1">{"vol data",#N/A,FALSE,"Datasheet";"vol graph",#N/A,FALSE,"Volume";"price data",#N/A,FALSE,"Datasheet";"price graph",#N/A,FALSE,"Price";"dp data",#N/A,FALSE,"Datasheet";"dp graph",#N/A,FALSE,"DirectProfit"}</definedName>
    <definedName name="GDP" hidden="1">{"vol data",#N/A,FALSE,"Datasheet";"vol graph",#N/A,FALSE,"Volume";"price data",#N/A,FALSE,"Datasheet";"price graph",#N/A,FALSE,"Price";"dp data",#N/A,FALSE,"Datasheet";"dp graph",#N/A,FALSE,"DirectProfit"}</definedName>
    <definedName name="GEGWorld" localSheetId="2">[56]Data!#REF!</definedName>
    <definedName name="GEGWorld">[56]Data!#REF!</definedName>
    <definedName name="GEIS_ALLOC_ACCT" localSheetId="2">'[24]Early CO'!#REF!</definedName>
    <definedName name="GEIS_ALLOC_ACCT">'[24]Early CO'!#REF!</definedName>
    <definedName name="GEIS_COST_ALLOC" localSheetId="2">'[24]Early CO'!#REF!</definedName>
    <definedName name="GEIS_COST_ALLOC">'[24]Early CO'!#REF!</definedName>
    <definedName name="GEIS_OCT_BON_VO" localSheetId="2">'[24]Early CO'!#REF!</definedName>
    <definedName name="GEIS_OCT_BON_VO">'[24]Early CO'!#REF!</definedName>
    <definedName name="GEIS_OCT_MIN_VO" localSheetId="2">'[24]Early CO'!#REF!</definedName>
    <definedName name="GEIS_OCT_MIN_VO">'[24]Early CO'!#REF!</definedName>
    <definedName name="GEIS_PAGE1" localSheetId="2">'[24]Early CO'!#REF!</definedName>
    <definedName name="GEIS_PAGE1">'[24]Early CO'!#REF!</definedName>
    <definedName name="GEIS_PAGE2" localSheetId="2">'[24]Early CO'!#REF!</definedName>
    <definedName name="GEIS_PAGE2">'[24]Early CO'!#REF!</definedName>
    <definedName name="GEISMAR" localSheetId="2">'[24]Early CO'!#REF!</definedName>
    <definedName name="GEISMAR">'[24]Early CO'!#REF!</definedName>
    <definedName name="GENA" localSheetId="2">[56]Data!#REF!</definedName>
    <definedName name="GENA">[56]Data!#REF!</definedName>
    <definedName name="gena1" localSheetId="2">#REF!</definedName>
    <definedName name="gena1">#REF!</definedName>
    <definedName name="gent_tern" localSheetId="2">[27]oct!#REF!</definedName>
    <definedName name="gent_tern">[27]oct!#REF!</definedName>
    <definedName name="gf" localSheetId="3" hidden="1">{"Performance Details",#N/A,FALSE,"Current Yr";"Performance Details",#N/A,FALSE,"Budget";"Performance Details",#N/A,FALSE,"Prior Year"}</definedName>
    <definedName name="gf" localSheetId="1" hidden="1">{"Performance Details",#N/A,FALSE,"Current Yr";"Performance Details",#N/A,FALSE,"Budget";"Performance Details",#N/A,FALSE,"Prior Year"}</definedName>
    <definedName name="gf" localSheetId="2" hidden="1">{"Performance Details",#N/A,FALSE,"Current Yr";"Performance Details",#N/A,FALSE,"Budget";"Performance Details",#N/A,FALSE,"Prior Year"}</definedName>
    <definedName name="gf" hidden="1">{"Performance Details",#N/A,FALSE,"Current Yr";"Performance Details",#N/A,FALSE,"Budget";"Performance Details",#N/A,FALSE,"Prior Year"}</definedName>
    <definedName name="gfd" localSheetId="3" hidden="1">{#N/A,"PURCHM",FALSE,"Business Analysis";#N/A,"SPADD",FALSE,"Business Analysis"}</definedName>
    <definedName name="gfd" localSheetId="1" hidden="1">{#N/A,"PURCHM",FALSE,"Business Analysis";#N/A,"SPADD",FALSE,"Business Analysis"}</definedName>
    <definedName name="gfd" localSheetId="2" hidden="1">{#N/A,"PURCHM",FALSE,"Business Analysis";#N/A,"SPADD",FALSE,"Business Analysis"}</definedName>
    <definedName name="gfd" hidden="1">{#N/A,"PURCHM",FALSE,"Business Analysis";#N/A,"SPADD",FALSE,"Business Analysis"}</definedName>
    <definedName name="gfds" localSheetId="3" hidden="1">{"oct_res_comm",#N/A,FALSE,"VarToBud"}</definedName>
    <definedName name="gfds" localSheetId="1" hidden="1">{"oct_res_comm",#N/A,FALSE,"VarToBud"}</definedName>
    <definedName name="gfds" localSheetId="2" hidden="1">{"oct_res_comm",#N/A,FALSE,"VarToBud"}</definedName>
    <definedName name="gfds" hidden="1">{"oct_res_comm",#N/A,FALSE,"VarToBud"}</definedName>
    <definedName name="ghjk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ycs" localSheetId="2">[57]Q1!#REF!</definedName>
    <definedName name="ghycs">[57]Q1!#REF!</definedName>
    <definedName name="ghypc" localSheetId="2">[57]Q1!#REF!</definedName>
    <definedName name="ghypc">[57]Q1!#REF!</definedName>
    <definedName name="ghyveh" localSheetId="2">[57]Q1!#REF!</definedName>
    <definedName name="ghyveh">[57]Q1!#REF!</definedName>
    <definedName name="GMEB1" localSheetId="2">#REF!</definedName>
    <definedName name="GMEB1">#REF!</definedName>
    <definedName name="GMEB2" localSheetId="2">#REF!</definedName>
    <definedName name="GMEB2">#REF!</definedName>
    <definedName name="GOLONGAN">#N/A</definedName>
    <definedName name="GoToGasDetails" localSheetId="3">광주본사!GoToGasDetails</definedName>
    <definedName name="GoToGasDetails" localSheetId="1">화성!GoToGasDetails</definedName>
    <definedName name="GoToGasDetails" localSheetId="2">'SND(창신)작성'!GoToGasDetails</definedName>
    <definedName name="GoToGasDetails">[0]!GoToGasDetails</definedName>
    <definedName name="GoToGasMeasures" localSheetId="3">광주본사!GoToGasMeasures</definedName>
    <definedName name="GoToGasMeasures" localSheetId="1">화성!GoToGasMeasures</definedName>
    <definedName name="GoToGasMeasures" localSheetId="2">'SND(창신)작성'!GoToGasMeasures</definedName>
    <definedName name="GoToGasMeasures">[0]!GoToGasMeasures</definedName>
    <definedName name="GoToMTDetail" localSheetId="3">광주본사!GoToMTDetail</definedName>
    <definedName name="GoToMTDetail" localSheetId="1">화성!GoToMTDetail</definedName>
    <definedName name="GoToMTDetail" localSheetId="2">'SND(창신)작성'!GoToMTDetail</definedName>
    <definedName name="GoToMTDetail">[0]!GoToMTDetail</definedName>
    <definedName name="GoToMTMeasures" localSheetId="3">광주본사!GoToMTMeasures</definedName>
    <definedName name="GoToMTMeasures" localSheetId="1">화성!GoToMTMeasures</definedName>
    <definedName name="GoToMTMeasures" localSheetId="2">'SND(창신)작성'!GoToMTMeasures</definedName>
    <definedName name="GoToMTMeasures">[0]!GoToMTMeasures</definedName>
    <definedName name="govthaulcost">[35]INPUT!$B$27:$Q$27</definedName>
    <definedName name="govthaulvol">[35]INPUT!$B$14:$Q$14</definedName>
    <definedName name="graph" localSheetId="2" hidden="1">'[49]Est P&amp;L'!#REF!</definedName>
    <definedName name="graph" hidden="1">'[49]Est P&amp;L'!#REF!</definedName>
    <definedName name="gt" localSheetId="3">[7]!SQL.REQUEST(DNI,,,[0]!FORS)/1000</definedName>
    <definedName name="gt" localSheetId="1">[7]!SQL.REQUEST(DNI,,,[0]!FORS)/1000</definedName>
    <definedName name="gt" localSheetId="2">[7]!SQL.REQUEST([0]!DNI,,,'SND(창신)작성'!FORS)/1000</definedName>
    <definedName name="gt">[7]!SQL.REQUEST(DNI,,,[0]!FORS)/1000</definedName>
    <definedName name="g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h">#N/A</definedName>
    <definedName name="H_PEROLH_M">#N/A</definedName>
    <definedName name="H2_CONVT_OCT_VO" localSheetId="2">'[24]Early CO'!#REF!</definedName>
    <definedName name="H2_CONVT_OCT_VO">'[24]Early CO'!#REF!</definedName>
    <definedName name="H2_PWR_FCTR" localSheetId="2">'[24]Early CO'!#REF!</definedName>
    <definedName name="H2_PWR_FCTR">'[24]Early CO'!#REF!</definedName>
    <definedName name="ha">#N/A</definedName>
    <definedName name="hb">#N/A</definedName>
    <definedName name="help" localSheetId="3">광주본사!help</definedName>
    <definedName name="help" localSheetId="1">화성!help</definedName>
    <definedName name="help" localSheetId="2">'SND(창신)작성'!help</definedName>
    <definedName name="help">[0]!help</definedName>
    <definedName name="hf" localSheetId="3" hidden="1">{"detail",#N/A,FALSE,"mfg";"summary",#N/A,FALSE,"mfg"}</definedName>
    <definedName name="hf" localSheetId="1" hidden="1">{"detail",#N/A,FALSE,"mfg";"summary",#N/A,FALSE,"mfg"}</definedName>
    <definedName name="hf" localSheetId="2" hidden="1">{"detail",#N/A,FALSE,"mfg";"summary",#N/A,FALSE,"mfg"}</definedName>
    <definedName name="hf" hidden="1">{"detail",#N/A,FALSE,"mfg";"summary",#N/A,FALSE,"mfg"}</definedName>
    <definedName name="hg" localSheetId="3" hidden="1">{"detail",#N/A,FALSE,"mfg";"summary",#N/A,FALSE,"mfg"}</definedName>
    <definedName name="hg" localSheetId="1" hidden="1">{"detail",#N/A,FALSE,"mfg";"summary",#N/A,FALSE,"mfg"}</definedName>
    <definedName name="hg" localSheetId="2" hidden="1">{"detail",#N/A,FALSE,"mfg";"summary",#N/A,FALSE,"mfg"}</definedName>
    <definedName name="hg" hidden="1">{"detail",#N/A,FALSE,"mfg";"summary",#N/A,FALSE,"mfg"}</definedName>
    <definedName name="hgfd" localSheetId="3" hidden="1">{"BA detail",#N/A,FALSE,"Q3YTD "}</definedName>
    <definedName name="hgfd" localSheetId="1" hidden="1">{"BA detail",#N/A,FALSE,"Q3YTD "}</definedName>
    <definedName name="hgfd" localSheetId="2" hidden="1">{"BA detail",#N/A,FALSE,"Q3YTD "}</definedName>
    <definedName name="hgfd" hidden="1">{"BA detail",#N/A,FALSE,"Q3YTD "}</definedName>
    <definedName name="HIDEROWS__h" localSheetId="2">[58]HIDEROW!#REF!</definedName>
    <definedName name="HIDEROWS__h">[58]HIDEROW!#REF!</definedName>
    <definedName name="hj" localSheetId="3">[7]!SQL.REQUEST(DNI,,,FORF&amp;#REF!)</definedName>
    <definedName name="hj" localSheetId="1">[7]!SQL.REQUEST(DNI,,,FORF&amp;#REF!)</definedName>
    <definedName name="hj" localSheetId="2">[7]!SQL.REQUEST([0]!DNI,,,[0]!FORF&amp;#REF!)</definedName>
    <definedName name="hj">[7]!SQL.REQUEST(DNI,,,FORF&amp;#REF!)</definedName>
    <definedName name="hjf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hjfs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hjfs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hjf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hjk" localSheetId="3" hidden="1">{"oct_res_comm",#N/A,FALSE,"VarToBud"}</definedName>
    <definedName name="hjk" localSheetId="1" hidden="1">{"oct_res_comm",#N/A,FALSE,"VarToBud"}</definedName>
    <definedName name="hjk" localSheetId="2" hidden="1">{"oct_res_comm",#N/A,FALSE,"VarToBud"}</definedName>
    <definedName name="hjk" hidden="1">{"oct_res_comm",#N/A,FALSE,"VarToBud"}</definedName>
    <definedName name="hjkl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OSP1" localSheetId="2">#REF!</definedName>
    <definedName name="HOSP1">#REF!</definedName>
    <definedName name="HOSP2" localSheetId="2">#REF!</definedName>
    <definedName name="HOSP2">#REF!</definedName>
    <definedName name="hu" localSheetId="3" hidden="1">{"detail",#N/A,FALSE,"mfg";"summary",#N/A,FALSE,"mfg"}</definedName>
    <definedName name="hu" localSheetId="1" hidden="1">{"detail",#N/A,FALSE,"mfg";"summary",#N/A,FALSE,"mfg"}</definedName>
    <definedName name="hu" localSheetId="2" hidden="1">{"detail",#N/A,FALSE,"mfg";"summary",#N/A,FALSE,"mfg"}</definedName>
    <definedName name="hu" hidden="1">{"detail",#N/A,FALSE,"mfg";"summary",#N/A,FALSE,"mfg"}</definedName>
    <definedName name="humberside" localSheetId="2">[27]oct!#REF!</definedName>
    <definedName name="humberside">[27]oct!#REF!</definedName>
    <definedName name="hw" localSheetId="3" hidden="1">{"sales growth",#N/A,FALSE,"summary";"oper income",#N/A,FALSE,"summary";"oros rank",#N/A,FALSE,"summary";"net assets",#N/A,FALSE,"summary";"asset turnover",#N/A,FALSE,"summary";"orona",#N/A,FALSE,"summary"}</definedName>
    <definedName name="hw" localSheetId="1" hidden="1">{"sales growth",#N/A,FALSE,"summary";"oper income",#N/A,FALSE,"summary";"oros rank",#N/A,FALSE,"summary";"net assets",#N/A,FALSE,"summary";"asset turnover",#N/A,FALSE,"summary";"orona",#N/A,FALSE,"summary"}</definedName>
    <definedName name="hw" localSheetId="2" hidden="1">{"sales growth",#N/A,FALSE,"summary";"oper income",#N/A,FALSE,"summary";"oros rank",#N/A,FALSE,"summary";"net assets",#N/A,FALSE,"summary";"asset turnover",#N/A,FALSE,"summary";"orona",#N/A,FALSE,"summary"}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i">#N/A</definedName>
    <definedName name="IEP" localSheetId="2">#REF!</definedName>
    <definedName name="IEP">#REF!</definedName>
    <definedName name="ij" localSheetId="3">[7]!SQL.REQUEST(DNI,,,[0]!FOR0)/1000</definedName>
    <definedName name="ij" localSheetId="1">[7]!SQL.REQUEST(DNI,,,[0]!FOR0)/1000</definedName>
    <definedName name="ij" localSheetId="2">[7]!SQL.REQUEST([0]!DNI,,,'SND(창신)작성'!FOR0)/1000</definedName>
    <definedName name="ij">[7]!SQL.REQUEST(DNI,,,[0]!FOR0)/1000</definedName>
    <definedName name="ik" localSheetId="3" hidden="1">{"detail",#N/A,FALSE,"mfg";"summary",#N/A,FALSE,"mfg"}</definedName>
    <definedName name="ik" localSheetId="1" hidden="1">{"detail",#N/A,FALSE,"mfg";"summary",#N/A,FALSE,"mfg"}</definedName>
    <definedName name="ik" localSheetId="2" hidden="1">{"detail",#N/A,FALSE,"mfg";"summary",#N/A,FALSE,"mfg"}</definedName>
    <definedName name="ik" hidden="1">{"detail",#N/A,FALSE,"mfg";"summary",#N/A,FALSE,"mfg"}</definedName>
    <definedName name="im" localSheetId="3">[7]!SQL.REQUEST(DNI,,,FORH&amp;#REF!)/1000</definedName>
    <definedName name="im" localSheetId="1">[7]!SQL.REQUEST(DNI,,,FORH&amp;#REF!)/1000</definedName>
    <definedName name="im" localSheetId="2">[7]!SQL.REQUEST([0]!DNI,,,[0]!FORH&amp;#REF!)/1000</definedName>
    <definedName name="im">[7]!SQL.REQUEST(DNI,,,FORH&amp;#REF!)/1000</definedName>
    <definedName name="in" localSheetId="3">[7]!SQL.REQUEST(DNI,,,[0]!_FOR4)/1000</definedName>
    <definedName name="in" localSheetId="1">[7]!SQL.REQUEST(DNI,,,[0]!_FOR4)/1000</definedName>
    <definedName name="in" localSheetId="2">[7]!SQL.REQUEST([0]!DNI,,,'SND(창신)작성'!_FOR4)/1000</definedName>
    <definedName name="in">[7]!SQL.REQUEST(DNI,,,[0]!_FOR4)/1000</definedName>
    <definedName name="infOper" localSheetId="2">#REF!</definedName>
    <definedName name="infOper">#REF!</definedName>
    <definedName name="infSGA" localSheetId="2">#REF!</definedName>
    <definedName name="infSGA">#REF!</definedName>
    <definedName name="inpcentral" localSheetId="2">#REF!</definedName>
    <definedName name="inpcentral">#REF!</definedName>
    <definedName name="inplocal" localSheetId="2">#REF!</definedName>
    <definedName name="inplocal">#REF!</definedName>
    <definedName name="inpPeriod" localSheetId="2">#REF!</definedName>
    <definedName name="inpPeriod">#REF!</definedName>
    <definedName name="intusecost">[35]INPUT!$B$30:$Q$30</definedName>
    <definedName name="intusevol">[35]INPUT!$B$17:$Q$17</definedName>
    <definedName name="invcost">[35]INPUT!$B$25:$Q$25</definedName>
    <definedName name="invvol">[35]INPUT!$B$12:$Q$12</definedName>
    <definedName name="io" localSheetId="3" hidden="1">{"Performance Details",#N/A,FALSE,"Current Yr";"Performance Details",#N/A,FALSE,"Budget";"Performance Details",#N/A,FALSE,"Prior Year"}</definedName>
    <definedName name="io" localSheetId="1" hidden="1">{"Performance Details",#N/A,FALSE,"Current Yr";"Performance Details",#N/A,FALSE,"Budget";"Performance Details",#N/A,FALSE,"Prior Year"}</definedName>
    <definedName name="io" localSheetId="2" hidden="1">{"Performance Details",#N/A,FALSE,"Current Yr";"Performance Details",#N/A,FALSE,"Budget";"Performance Details",#N/A,FALSE,"Prior Year"}</definedName>
    <definedName name="io" hidden="1">{"Performance Details",#N/A,FALSE,"Current Yr";"Performance Details",#N/A,FALSE,"Budget";"Performance Details",#N/A,FALSE,"Prior Year"}</definedName>
    <definedName name="iop" localSheetId="3" hidden="1">{#N/A,"PURCHM",FALSE,"Business Analysis";#N/A,"SPADD",FALSE,"Business Analysis"}</definedName>
    <definedName name="iop" localSheetId="1" hidden="1">{#N/A,"PURCHM",FALSE,"Business Analysis";#N/A,"SPADD",FALSE,"Business Analysis"}</definedName>
    <definedName name="iop" localSheetId="2" hidden="1">{#N/A,"PURCHM",FALSE,"Business Analysis";#N/A,"SPADD",FALSE,"Business Analysis"}</definedName>
    <definedName name="iop" hidden="1">{#N/A,"PURCHM",FALSE,"Business Analysis";#N/A,"SPADD",FALSE,"Business Analysis"}</definedName>
    <definedName name="iq">#N/A</definedName>
    <definedName name="IRP">'[50]Qtr 1 98'!$B$31</definedName>
    <definedName name="italy_ACT" localSheetId="2">#REF!</definedName>
    <definedName name="italy_ACT">#REF!</definedName>
    <definedName name="italy_DSO" localSheetId="2">#REF!</definedName>
    <definedName name="italy_DSO">#REF!</definedName>
    <definedName name="italy_DTP" localSheetId="2">#REF!</definedName>
    <definedName name="italy_DTP">#REF!</definedName>
    <definedName name="ITALY_receivables" localSheetId="2">#REF!</definedName>
    <definedName name="ITALY_receivables">#REF!</definedName>
    <definedName name="ITALY_sales" localSheetId="2">#REF!</definedName>
    <definedName name="ITALY_sales">#REF!</definedName>
    <definedName name="italy_tot_overdue" localSheetId="2">#REF!</definedName>
    <definedName name="italy_tot_overdue">#REF!</definedName>
    <definedName name="italy1_15" localSheetId="2">#REF!</definedName>
    <definedName name="italy1_15">#REF!</definedName>
    <definedName name="italy16_30" localSheetId="2">#REF!</definedName>
    <definedName name="italy16_30">#REF!</definedName>
    <definedName name="italy31_60" localSheetId="2">#REF!</definedName>
    <definedName name="italy31_60">#REF!</definedName>
    <definedName name="italy61_90" localSheetId="2">#REF!</definedName>
    <definedName name="italy61_90">#REF!</definedName>
    <definedName name="italy90plus" localSheetId="2">#REF!</definedName>
    <definedName name="italy90plus">#REF!</definedName>
    <definedName name="ITL">'[50]Qtr 1 98'!$B$33</definedName>
    <definedName name="iuyt" localSheetId="3" hidden="1">{"AS REP",#N/A,FALSE,"EEFSNAP2";"PROP",#N/A,FALSE,"EEFSNAP2";"RISKS",#N/A,FALSE,"EEFSNAP2";"VIEW ALL",#N/A,FALSE,"EEFSNAP2"}</definedName>
    <definedName name="iuyt" localSheetId="1" hidden="1">{"AS REP",#N/A,FALSE,"EEFSNAP2";"PROP",#N/A,FALSE,"EEFSNAP2";"RISKS",#N/A,FALSE,"EEFSNAP2";"VIEW ALL",#N/A,FALSE,"EEFSNAP2"}</definedName>
    <definedName name="iuyt" localSheetId="2" hidden="1">{"AS REP",#N/A,FALSE,"EEFSNAP2";"PROP",#N/A,FALSE,"EEFSNAP2";"RISKS",#N/A,FALSE,"EEFSNAP2";"VIEW ALL",#N/A,FALSE,"EEFSNAP2"}</definedName>
    <definedName name="iuyt" hidden="1">{"AS REP",#N/A,FALSE,"EEFSNAP2";"PROP",#N/A,FALSE,"EEFSNAP2";"RISKS",#N/A,FALSE,"EEFSNAP2";"VIEW ALL",#N/A,FALSE,"EEFSNAP2"}</definedName>
    <definedName name="iy" localSheetId="3" hidden="1">{"AS REP",#N/A,FALSE,"EEFSNAP2";"PROP",#N/A,FALSE,"EEFSNAP2";"RISKS",#N/A,FALSE,"EEFSNAP2";"VIEW ALL",#N/A,FALSE,"EEFSNAP2"}</definedName>
    <definedName name="iy" localSheetId="1" hidden="1">{"AS REP",#N/A,FALSE,"EEFSNAP2";"PROP",#N/A,FALSE,"EEFSNAP2";"RISKS",#N/A,FALSE,"EEFSNAP2";"VIEW ALL",#N/A,FALSE,"EEFSNAP2"}</definedName>
    <definedName name="iy" localSheetId="2" hidden="1">{"AS REP",#N/A,FALSE,"EEFSNAP2";"PROP",#N/A,FALSE,"EEFSNAP2";"RISKS",#N/A,FALSE,"EEFSNAP2";"VIEW ALL",#N/A,FALSE,"EEFSNAP2"}</definedName>
    <definedName name="iy" hidden="1">{"AS REP",#N/A,FALSE,"EEFSNAP2";"PROP",#N/A,FALSE,"EEFSNAP2";"RISKS",#N/A,FALSE,"EEFSNAP2";"VIEW ALL",#N/A,FALSE,"EEFSNAP2"}</definedName>
    <definedName name="j">#N/A</definedName>
    <definedName name="ja" localSheetId="3">광주본사!ja</definedName>
    <definedName name="ja" localSheetId="1">화성!ja</definedName>
    <definedName name="ja" localSheetId="2">'SND(창신)작성'!ja</definedName>
    <definedName name="ja">[0]!ja</definedName>
    <definedName name="JAN_UNI_VOL1" localSheetId="2">'[24]Early CO'!#REF!</definedName>
    <definedName name="JAN_UNI_VOL1">'[24]Early CO'!#REF!</definedName>
    <definedName name="JAN_UNI_VOL2" localSheetId="2">'[24]Early CO'!#REF!</definedName>
    <definedName name="JAN_UNI_VOL2">'[24]Early CO'!#REF!</definedName>
    <definedName name="Jan00_Carburos">[55]Carburos!$A$257:$X$268</definedName>
    <definedName name="Jan00_CentralEurope">'[55]Central Europe'!$A$259:$Z$268</definedName>
    <definedName name="Jan00_Equipment">[55]Equipment!$A$201:$Z$208</definedName>
    <definedName name="Jan00_Merchant">[55]Merchant!$A$290:$X$301</definedName>
    <definedName name="Jan00_Tonnage">[55]Tonnage!$A$355:$X$369</definedName>
    <definedName name="JENIS">#N/A</definedName>
    <definedName name="jg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hgf" localSheetId="3" hidden="1">{"Commentary",#N/A,FALSE,"May"}</definedName>
    <definedName name="jhgf" localSheetId="1" hidden="1">{"Commentary",#N/A,FALSE,"May"}</definedName>
    <definedName name="jhgf" localSheetId="2" hidden="1">{"Commentary",#N/A,FALSE,"May"}</definedName>
    <definedName name="jhgf" hidden="1">{"Commentary",#N/A,FALSE,"May"}</definedName>
    <definedName name="ji" localSheetId="3">[7]!SQL.REQUEST(DNI,,,[0]!FORS)/1000</definedName>
    <definedName name="ji" localSheetId="1">[7]!SQL.REQUEST(DNI,,,[0]!FORS)/1000</definedName>
    <definedName name="ji" localSheetId="2">[7]!SQL.REQUEST([0]!DNI,,,'SND(창신)작성'!FORS)/1000</definedName>
    <definedName name="ji">[7]!SQL.REQUEST(DNI,,,[0]!FORS)/1000</definedName>
    <definedName name="jkl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jkl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jkl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jkl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jklñ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n" localSheetId="3">[7]!SQL.REQUEST(DNI,,,[0]!FORA)</definedName>
    <definedName name="jn" localSheetId="1">[7]!SQL.REQUEST(DNI,,,[0]!FORA)</definedName>
    <definedName name="jn" localSheetId="2">[7]!SQL.REQUEST([0]!DNI,,,'SND(창신)작성'!FORA)</definedName>
    <definedName name="jn">[7]!SQL.REQUEST(DNI,,,[0]!FORA)</definedName>
    <definedName name="ju" localSheetId="3" hidden="1">{"detail",#N/A,FALSE,"mfg";"summary",#N/A,FALSE,"mfg"}</definedName>
    <definedName name="ju" localSheetId="1" hidden="1">{"detail",#N/A,FALSE,"mfg";"summary",#N/A,FALSE,"mfg"}</definedName>
    <definedName name="ju" localSheetId="2" hidden="1">{"detail",#N/A,FALSE,"mfg";"summary",#N/A,FALSE,"mfg"}</definedName>
    <definedName name="ju" hidden="1">{"detail",#N/A,FALSE,"mfg";"summary",#N/A,FALSE,"mfg"}</definedName>
    <definedName name="JUL_UNI_VOL1" localSheetId="2">'[24]Early CO'!#REF!</definedName>
    <definedName name="JUL_UNI_VOL1">'[24]Early CO'!#REF!</definedName>
    <definedName name="JUL_UNI_VOL2" localSheetId="2">'[24]Early CO'!#REF!</definedName>
    <definedName name="JUL_UNI_VOL2">'[24]Early CO'!#REF!</definedName>
    <definedName name="jump" localSheetId="3">광주본사!jump</definedName>
    <definedName name="jump" localSheetId="1">화성!jump</definedName>
    <definedName name="jump" localSheetId="2">'SND(창신)작성'!jump</definedName>
    <definedName name="jump">[0]!jump</definedName>
    <definedName name="JUN_UNI_VOL1" localSheetId="2">'[24]Early CO'!#REF!</definedName>
    <definedName name="JUN_UNI_VOL1">'[24]Early CO'!#REF!</definedName>
    <definedName name="JUN_UNI_VOL2" localSheetId="2">'[24]Early CO'!#REF!</definedName>
    <definedName name="JUN_UNI_VOL2">'[24]Early CO'!#REF!</definedName>
    <definedName name="Just_for_Me___NLG" localSheetId="2">#REF!</definedName>
    <definedName name="Just_for_Me___NLG">#REF!</definedName>
    <definedName name="k">#N/A</definedName>
    <definedName name="ka" localSheetId="3">광주본사!ka</definedName>
    <definedName name="ka" localSheetId="1">화성!ka</definedName>
    <definedName name="ka" localSheetId="2">'SND(창신)작성'!ka</definedName>
    <definedName name="ka">[0]!ka</definedName>
    <definedName name="kh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i" localSheetId="3">[7]!SQL.REQUEST(DNI,,,[0]!FORR&amp;[0]!_FOR2)/1000</definedName>
    <definedName name="ki" localSheetId="1">[7]!SQL.REQUEST(DNI,,,[0]!FORR&amp;[0]!_FOR2)/1000</definedName>
    <definedName name="ki" localSheetId="2">[7]!SQL.REQUEST([0]!DNI,,,'SND(창신)작성'!FORR&amp;'SND(창신)작성'!_FOR2)/1000</definedName>
    <definedName name="ki">[7]!SQL.REQUEST(DNI,,,[0]!FORR&amp;[0]!_FOR2)/1000</definedName>
    <definedName name="KIG" localSheetId="2">#REF!</definedName>
    <definedName name="KIG">#REF!</definedName>
    <definedName name="kj" localSheetId="3">광주본사!kj</definedName>
    <definedName name="kj" localSheetId="1">화성!kj</definedName>
    <definedName name="kj" localSheetId="2">'SND(창신)작성'!kj</definedName>
    <definedName name="kj">[0]!kj</definedName>
    <definedName name="kjhg" localSheetId="3" hidden="1">{"ICD Details",#N/A,FALSE,"Current Yr";"ICD Details",#N/A,FALSE,"Budget";"ICD Details",#N/A,FALSE,"Prior Year"}</definedName>
    <definedName name="kjhg" localSheetId="1" hidden="1">{"ICD Details",#N/A,FALSE,"Current Yr";"ICD Details",#N/A,FALSE,"Budget";"ICD Details",#N/A,FALSE,"Prior Year"}</definedName>
    <definedName name="kjhg" localSheetId="2" hidden="1">{"ICD Details",#N/A,FALSE,"Current Yr";"ICD Details",#N/A,FALSE,"Budget";"ICD Details",#N/A,FALSE,"Prior Year"}</definedName>
    <definedName name="kjhg" hidden="1">{"ICD Details",#N/A,FALSE,"Current Yr";"ICD Details",#N/A,FALSE,"Budget";"ICD Details",#N/A,FALSE,"Prior Year"}</definedName>
    <definedName name="KK" localSheetId="3" hidden="1">{#N/A,"PURCHM",FALSE,"Business Analysis";#N/A,"SPADD",FALSE,"Business Analysis"}</definedName>
    <definedName name="KK" localSheetId="1" hidden="1">{#N/A,"PURCHM",FALSE,"Business Analysis";#N/A,"SPADD",FALSE,"Business Analysis"}</definedName>
    <definedName name="KK" localSheetId="2" hidden="1">{#N/A,"PURCHM",FALSE,"Business Analysis";#N/A,"SPADD",FALSE,"Business Analysis"}</definedName>
    <definedName name="KK" hidden="1">{#N/A,"PURCHM",FALSE,"Business Analysis";#N/A,"SPADD",FALSE,"Business Analysis"}</definedName>
    <definedName name="KKK" localSheetId="2">#REF!</definedName>
    <definedName name="KKK">#REF!</definedName>
    <definedName name="kl" localSheetId="3">광주본사!kl</definedName>
    <definedName name="kl" localSheetId="1">화성!kl</definedName>
    <definedName name="kl" localSheetId="2">'SND(창신)작성'!kl</definedName>
    <definedName name="kl">[0]!kl</definedName>
    <definedName name="klk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ñ" localSheetId="3" hidden="1">{"AS REP",#N/A,FALSE,"EEFSNAP2";"PROP",#N/A,FALSE,"EEFSNAP2";"RISKS",#N/A,FALSE,"EEFSNAP2";"VIEW ALL",#N/A,FALSE,"EEFSNAP2"}</definedName>
    <definedName name="klñ" localSheetId="1" hidden="1">{"AS REP",#N/A,FALSE,"EEFSNAP2";"PROP",#N/A,FALSE,"EEFSNAP2";"RISKS",#N/A,FALSE,"EEFSNAP2";"VIEW ALL",#N/A,FALSE,"EEFSNAP2"}</definedName>
    <definedName name="klñ" localSheetId="2" hidden="1">{"AS REP",#N/A,FALSE,"EEFSNAP2";"PROP",#N/A,FALSE,"EEFSNAP2";"RISKS",#N/A,FALSE,"EEFSNAP2";"VIEW ALL",#N/A,FALSE,"EEFSNAP2"}</definedName>
    <definedName name="klñ" hidden="1">{"AS REP",#N/A,FALSE,"EEFSNAP2";"PROP",#N/A,FALSE,"EEFSNAP2";"RISKS",#N/A,FALSE,"EEFSNAP2";"VIEW ALL",#N/A,FALSE,"EEFSNAP2"}</definedName>
    <definedName name="km" localSheetId="3" hidden="1">{"pro_view",#N/A,FALSE,"EEFSNAP2";"rep_view",#N/A,FALSE,"EEFSNAP2"}</definedName>
    <definedName name="km" localSheetId="1" hidden="1">{"pro_view",#N/A,FALSE,"EEFSNAP2";"rep_view",#N/A,FALSE,"EEFSNAP2"}</definedName>
    <definedName name="km" localSheetId="2" hidden="1">{"pro_view",#N/A,FALSE,"EEFSNAP2";"rep_view",#N/A,FALSE,"EEFSNAP2"}</definedName>
    <definedName name="km" hidden="1">{"pro_view",#N/A,FALSE,"EEFSNAP2";"rep_view",#N/A,FALSE,"EEFSNAP2"}</definedName>
    <definedName name="KODE_FA">#N/A</definedName>
    <definedName name="KW_DEMAND" localSheetId="2">'[24]Early CO'!#REF!</definedName>
    <definedName name="KW_DEMAND">'[24]Early CO'!#REF!</definedName>
    <definedName name="la">#N/A</definedName>
    <definedName name="LaborInfl" localSheetId="2">[32]MICMULT!#REF!</definedName>
    <definedName name="LaborInfl">[32]MICMULT!#REF!</definedName>
    <definedName name="labour" localSheetId="2">#REF!</definedName>
    <definedName name="labour">#REF!</definedName>
    <definedName name="lasacomfy02total">[28]Details!$Y$126</definedName>
    <definedName name="lasacomfy03total">[28]Details!$Z$126</definedName>
    <definedName name="lasacomfy04total">[28]Details!$AA$126</definedName>
    <definedName name="lasacomfy05total">[26]Details!$AB$145</definedName>
    <definedName name="lasauncomfy02total">[26]Details!$Y$258</definedName>
    <definedName name="lasauncomfy03total">[26]Details!$Z$258</definedName>
    <definedName name="lasauncomfy04total">[26]Details!$AA$258</definedName>
    <definedName name="lasauncomfy05total">[26]Details!$AB$258</definedName>
    <definedName name="l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d_sum" localSheetId="2">[13]GEG!#REF!</definedName>
    <definedName name="ljd_sum">[13]GEG!#REF!</definedName>
    <definedName name="lk">#N/A</definedName>
    <definedName name="lkl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LL" localSheetId="3" hidden="1">{"detail",#N/A,FALSE,"mfg";"summary",#N/A,FALSE,"mfg"}</definedName>
    <definedName name="LLL" localSheetId="1" hidden="1">{"detail",#N/A,FALSE,"mfg";"summary",#N/A,FALSE,"mfg"}</definedName>
    <definedName name="LLL" localSheetId="2" hidden="1">{"detail",#N/A,FALSE,"mfg";"summary",#N/A,FALSE,"mfg"}</definedName>
    <definedName name="LLL" hidden="1">{"detail",#N/A,FALSE,"mfg";"summary",#N/A,FALSE,"mfg"}</definedName>
    <definedName name="llllll" localSheetId="3" hidden="1">{"detail",#N/A,FALSE,"mfg";"summary",#N/A,FALSE,"mfg"}</definedName>
    <definedName name="llllll" localSheetId="1" hidden="1">{"detail",#N/A,FALSE,"mfg";"summary",#N/A,FALSE,"mfg"}</definedName>
    <definedName name="llllll" localSheetId="2" hidden="1">{"detail",#N/A,FALSE,"mfg";"summary",#N/A,FALSE,"mfg"}</definedName>
    <definedName name="llllll" hidden="1">{"detail",#N/A,FALSE,"mfg";"summary",#N/A,FALSE,"mfg"}</definedName>
    <definedName name="lñ" localSheetId="3" hidden="1">{"sales growth",#N/A,FALSE,"summary";"oper income",#N/A,FALSE,"summary";"oros rank",#N/A,FALSE,"summary";"net assets",#N/A,FALSE,"summary";"asset turnover",#N/A,FALSE,"summary";"orona",#N/A,FALSE,"summary"}</definedName>
    <definedName name="lñ" localSheetId="1" hidden="1">{"sales growth",#N/A,FALSE,"summary";"oper income",#N/A,FALSE,"summary";"oros rank",#N/A,FALSE,"summary";"net assets",#N/A,FALSE,"summary";"asset turnover",#N/A,FALSE,"summary";"orona",#N/A,FALSE,"summary"}</definedName>
    <definedName name="lñ" localSheetId="2" hidden="1">{"sales growth",#N/A,FALSE,"summary";"oper income",#N/A,FALSE,"summary";"oros rank",#N/A,FALSE,"summary";"net assets",#N/A,FALSE,"summary";"asset turnover",#N/A,FALSE,"summary";"orona",#N/A,FALSE,"summary"}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localSheetId="3">[7]!SQL.REQUEST(DNI,,,FORH&amp;#REF!)/1000</definedName>
    <definedName name="lo" localSheetId="1">[7]!SQL.REQUEST(DNI,,,FORH&amp;#REF!)/1000</definedName>
    <definedName name="lo" localSheetId="2">[7]!SQL.REQUEST([0]!DNI,,,[0]!FORH&amp;#REF!)/1000</definedName>
    <definedName name="lo">[7]!SQL.REQUEST(DNI,,,FORH&amp;#REF!)/1000</definedName>
    <definedName name="LOOKUP" localSheetId="2">#REF!</definedName>
    <definedName name="LOOKUP">#REF!</definedName>
    <definedName name="lop" localSheetId="3" hidden="1">{"detail",#N/A,FALSE,"mfg";"summary",#N/A,FALSE,"mfg"}</definedName>
    <definedName name="lop" localSheetId="1" hidden="1">{"detail",#N/A,FALSE,"mfg";"summary",#N/A,FALSE,"mfg"}</definedName>
    <definedName name="lop" localSheetId="2" hidden="1">{"detail",#N/A,FALSE,"mfg";"summary",#N/A,FALSE,"mfg"}</definedName>
    <definedName name="lop" hidden="1">{"detail",#N/A,FALSE,"mfg";"summary",#N/A,FALSE,"mfg"}</definedName>
    <definedName name="loxlinlar">[54]Data!$N$73:$CQ$211</definedName>
    <definedName name="m" localSheetId="3" hidden="1">{"detail",#N/A,FALSE,"mfg";"summary",#N/A,FALSE,"mfg"}</definedName>
    <definedName name="m" localSheetId="1" hidden="1">{"detail",#N/A,FALSE,"mfg";"summary",#N/A,FALSE,"mfg"}</definedName>
    <definedName name="m" localSheetId="2" hidden="1">{"detail",#N/A,FALSE,"mfg";"summary",#N/A,FALSE,"mfg"}</definedName>
    <definedName name="m" hidden="1">{"detail",#N/A,FALSE,"mfg";"summary",#N/A,FALSE,"mfg"}</definedName>
    <definedName name="M_0001000000000" localSheetId="2">'[2]GI TOTAL'!#REF!</definedName>
    <definedName name="M_0001000000000">'[2]GI TOTAL'!#REF!</definedName>
    <definedName name="Macro1">[59]Macro1!$A$1:$A$7</definedName>
    <definedName name="Macro2" localSheetId="2">#REF!</definedName>
    <definedName name="Macro2">#REF!</definedName>
    <definedName name="Macro6" localSheetId="3">[60]!Macro6</definedName>
    <definedName name="Macro6" localSheetId="1">[60]!Macro6</definedName>
    <definedName name="Macro6" localSheetId="0">[60]!Macro6</definedName>
    <definedName name="Macro6" localSheetId="2">[60]!Macro6</definedName>
    <definedName name="Macro6">[60]!Macro6</definedName>
    <definedName name="MACROS" localSheetId="2">[11]BUD97!#REF!</definedName>
    <definedName name="MACROS">[11]BUD97!#REF!</definedName>
    <definedName name="maintenance" localSheetId="2">#REF!</definedName>
    <definedName name="maintenance">#REF!</definedName>
    <definedName name="MAINTSUM" localSheetId="2">#REF!</definedName>
    <definedName name="MAINTSUM">#REF!</definedName>
    <definedName name="MajFactors">'[36]Major Factors'!$B$8:$N$135</definedName>
    <definedName name="manpower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manpower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manpower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manpower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MAR_UNI_VOL1" localSheetId="2">'[24]Early CO'!#REF!</definedName>
    <definedName name="MAR_UNI_VOL1">'[24]Early CO'!#REF!</definedName>
    <definedName name="MAR_UNI_VOL2" localSheetId="2">'[24]Early CO'!#REF!</definedName>
    <definedName name="MAR_UNI_VOL2">'[24]Early CO'!#REF!</definedName>
    <definedName name="Mar00_Carburos">[55]Carburos!$A$283:$X$294</definedName>
    <definedName name="Mar00_CentralEurope">'[55]Central Europe'!$A$270:$Z$279</definedName>
    <definedName name="Mar00_Equipment">[55]Equipment!$A$219:$Z$226</definedName>
    <definedName name="Mar00_Merchant">[55]Merchant!$A$316:$X$327</definedName>
    <definedName name="Mar00_Tonnage">[55]Tonnage!$A$387:$X$401</definedName>
    <definedName name="MAY_UNI_VOL1" localSheetId="2">'[24]Early CO'!#REF!</definedName>
    <definedName name="MAY_UNI_VOL1">'[24]Early CO'!#REF!</definedName>
    <definedName name="MAY_UNI_VOL2" localSheetId="2">'[24]Early CO'!#REF!</definedName>
    <definedName name="MAY_UNI_VOL2">'[24]Early CO'!#REF!</definedName>
    <definedName name="menu" localSheetId="3">광주본사!menu</definedName>
    <definedName name="menu" localSheetId="1">화성!menu</definedName>
    <definedName name="menu" localSheetId="2">'SND(창신)작성'!menu</definedName>
    <definedName name="menu">[0]!menu</definedName>
    <definedName name="MENU1" localSheetId="2">#REF!</definedName>
    <definedName name="MENU1">#REF!</definedName>
    <definedName name="MENUBRANCH_1" localSheetId="2">#REF!</definedName>
    <definedName name="MENUBRANCH_1">#REF!</definedName>
    <definedName name="merseyside" localSheetId="2">[27]oct!#REF!</definedName>
    <definedName name="merseyside">[27]oct!#REF!</definedName>
    <definedName name="mi" localSheetId="3">[7]!SQL.REQUEST(DNI,,,[0]!FORP&amp;[0]!_FOR2)/1000</definedName>
    <definedName name="mi" localSheetId="1">[7]!SQL.REQUEST(DNI,,,[0]!FORP&amp;[0]!_FOR2)/1000</definedName>
    <definedName name="mi" localSheetId="2">[7]!SQL.REQUEST([0]!DNI,,,'SND(창신)작성'!FORP&amp;'SND(창신)작성'!_FOR2)/1000</definedName>
    <definedName name="mi">[7]!SQL.REQUEST(DNI,,,[0]!FORP&amp;[0]!_FOR2)/1000</definedName>
    <definedName name="misc" localSheetId="2">[32]Inputs!#REF!</definedName>
    <definedName name="misc">[32]Inputs!#REF!</definedName>
    <definedName name="mj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k" localSheetId="3" hidden="1">{"detail",#N/A,FALSE,"mfg";"summary",#N/A,FALSE,"mfg"}</definedName>
    <definedName name="mk" localSheetId="1" hidden="1">{"detail",#N/A,FALSE,"mfg";"summary",#N/A,FALSE,"mfg"}</definedName>
    <definedName name="mk" localSheetId="2" hidden="1">{"detail",#N/A,FALSE,"mfg";"summary",#N/A,FALSE,"mfg"}</definedName>
    <definedName name="mk" hidden="1">{"detail",#N/A,FALSE,"mfg";"summary",#N/A,FALSE,"mfg"}</definedName>
    <definedName name="mm" localSheetId="3" hidden="1">{"vol data",#N/A,FALSE,"Datasheet";"vol graph",#N/A,FALSE,"Volume";"price data",#N/A,FALSE,"Datasheet";"price graph",#N/A,FALSE,"Price";"dp data",#N/A,FALSE,"Datasheet";"dp graph",#N/A,FALSE,"DirectProfit"}</definedName>
    <definedName name="mm" localSheetId="1" hidden="1">{"vol data",#N/A,FALSE,"Datasheet";"vol graph",#N/A,FALSE,"Volume";"price data",#N/A,FALSE,"Datasheet";"price graph",#N/A,FALSE,"Price";"dp data",#N/A,FALSE,"Datasheet";"dp graph",#N/A,FALSE,"DirectProfit"}</definedName>
    <definedName name="mm" localSheetId="2" hidden="1">{"vol data",#N/A,FALSE,"Datasheet";"vol graph",#N/A,FALSE,"Volume";"price data",#N/A,FALSE,"Datasheet";"price graph",#N/A,FALSE,"Price";"dp data",#N/A,FALSE,"Datasheet";"dp graph",#N/A,FALSE,"DirectProfit"}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m" localSheetId="3" hidden="1">{#N/A,"PURCHM",FALSE,"Business Analysis";#N/A,"SPADD",FALSE,"Business Analysis"}</definedName>
    <definedName name="mmm" localSheetId="1" hidden="1">{#N/A,"PURCHM",FALSE,"Business Analysis";#N/A,"SPADD",FALSE,"Business Analysis"}</definedName>
    <definedName name="mmm" localSheetId="2" hidden="1">{#N/A,"PURCHM",FALSE,"Business Analysis";#N/A,"SPADD",FALSE,"Business Analysis"}</definedName>
    <definedName name="mmm" hidden="1">{#N/A,"PURCHM",FALSE,"Business Analysis";#N/A,"SPADD",FALSE,"Business Analysis"}</definedName>
    <definedName name="mmmm" localSheetId="3" hidden="1">{"vol data",#N/A,FALSE,"Datasheet";"vol graph",#N/A,FALSE,"Volume";"price data",#N/A,FALSE,"Datasheet";"price graph",#N/A,FALSE,"Price";"dp data",#N/A,FALSE,"Datasheet";"dp graph",#N/A,FALSE,"DirectProfit"}</definedName>
    <definedName name="mmmm" localSheetId="1" hidden="1">{"vol data",#N/A,FALSE,"Datasheet";"vol graph",#N/A,FALSE,"Volume";"price data",#N/A,FALSE,"Datasheet";"price graph",#N/A,FALSE,"Price";"dp data",#N/A,FALSE,"Datasheet";"dp graph",#N/A,FALSE,"DirectProfit"}</definedName>
    <definedName name="mmmm" localSheetId="2" hidden="1">{"vol data",#N/A,FALSE,"Datasheet";"vol graph",#N/A,FALSE,"Volume";"price data",#N/A,FALSE,"Datasheet";"price graph",#N/A,FALSE,"Price";"dp data",#N/A,FALSE,"Datasheet";"dp graph",#N/A,FALSE,"DirectProfit"}</definedName>
    <definedName name="mmmm" hidden="1">{"vol data",#N/A,FALSE,"Datasheet";"vol graph",#N/A,FALSE,"Volume";"price data",#N/A,FALSE,"Datasheet";"price graph",#N/A,FALSE,"Price";"dp data",#N/A,FALSE,"Datasheet";"dp graph",#N/A,FALSE,"DirectProfit"}</definedName>
    <definedName name="mmmmm" localSheetId="3" hidden="1">{#N/A,"PURCHM",FALSE,"Business Analysis";#N/A,"SPADD",FALSE,"Business Analysis"}</definedName>
    <definedName name="mmmmm" localSheetId="1" hidden="1">{#N/A,"PURCHM",FALSE,"Business Analysis";#N/A,"SPADD",FALSE,"Business Analysis"}</definedName>
    <definedName name="mmmmm" localSheetId="2" hidden="1">{#N/A,"PURCHM",FALSE,"Business Analysis";#N/A,"SPADD",FALSE,"Business Analysis"}</definedName>
    <definedName name="mmmmm" hidden="1">{#N/A,"PURCHM",FALSE,"Business Analysis";#N/A,"SPADD",FALSE,"Business Analysis"}</definedName>
    <definedName name="mn" localSheetId="3" hidden="1">{"detail",#N/A,FALSE,"mfg";"summary",#N/A,FALSE,"mfg"}</definedName>
    <definedName name="mn" localSheetId="1" hidden="1">{"detail",#N/A,FALSE,"mfg";"summary",#N/A,FALSE,"mfg"}</definedName>
    <definedName name="mn" localSheetId="2" hidden="1">{"detail",#N/A,FALSE,"mfg";"summary",#N/A,FALSE,"mfg"}</definedName>
    <definedName name="mn" hidden="1">{"detail",#N/A,FALSE,"mfg";"summary",#N/A,FALSE,"mfg"}</definedName>
    <definedName name="mnb" localSheetId="3">광주본사!mnb</definedName>
    <definedName name="mnb" localSheetId="1">화성!mnb</definedName>
    <definedName name="mnb" localSheetId="2">'SND(창신)작성'!mnb</definedName>
    <definedName name="mnb">[0]!mnb</definedName>
    <definedName name="mnbv" localSheetId="3" hidden="1">{"Month Summary",#N/A,FALSE,"Summary";"Total Details",#N/A,FALSE,"Current Yr";"Polymers Details",#N/A,FALSE,"Current Yr";"Performance Details",#N/A,FALSE,"Current Yr";"ICD Details",#N/A,FALSE,"Current Yr"}</definedName>
    <definedName name="mnbv" localSheetId="1" hidden="1">{"Month Summary",#N/A,FALSE,"Summary";"Total Details",#N/A,FALSE,"Current Yr";"Polymers Details",#N/A,FALSE,"Current Yr";"Performance Details",#N/A,FALSE,"Current Yr";"ICD Details",#N/A,FALSE,"Current Yr"}</definedName>
    <definedName name="mnbv" localSheetId="2" hidden="1">{"Month Summary",#N/A,FALSE,"Summary";"Total Details",#N/A,FALSE,"Current Yr";"Polymers Details",#N/A,FALSE,"Current Yr";"Performance Details",#N/A,FALSE,"Current Yr";"ICD Details",#N/A,FALSE,"Current Yr"}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mn" localSheetId="3" hidden="1">{"detail",#N/A,FALSE,"mfg";"summary",#N/A,FALSE,"mfg"}</definedName>
    <definedName name="mnmn" localSheetId="1" hidden="1">{"detail",#N/A,FALSE,"mfg";"summary",#N/A,FALSE,"mfg"}</definedName>
    <definedName name="mnmn" localSheetId="2" hidden="1">{"detail",#N/A,FALSE,"mfg";"summary",#N/A,FALSE,"mfg"}</definedName>
    <definedName name="mnmn" hidden="1">{"detail",#N/A,FALSE,"mfg";"summary",#N/A,FALSE,"mfg"}</definedName>
    <definedName name="MomentumDivisions">[15]Menus!$B$136:$E$148</definedName>
    <definedName name="MONTH" localSheetId="2">#REF!</definedName>
    <definedName name="MONTH">#REF!</definedName>
    <definedName name="Month_With_Graph" localSheetId="2">#REF!</definedName>
    <definedName name="Month_With_Graph">#REF!</definedName>
    <definedName name="MONTHREPT" localSheetId="2">'[39]NA Ton Vol'!#REF!</definedName>
    <definedName name="MONTHREPT">'[39]NA Ton Vol'!#REF!</definedName>
    <definedName name="MonthSummary" localSheetId="2">#REF!</definedName>
    <definedName name="MonthSummary">#REF!</definedName>
    <definedName name="MONTITLE" localSheetId="2">'[39]NA Ton Vol'!#REF!</definedName>
    <definedName name="MONTITLE">'[39]NA Ton Vol'!#REF!</definedName>
    <definedName name="mtgs" localSheetId="2">#REF!</definedName>
    <definedName name="mtgs">#REF!</definedName>
    <definedName name="mu" localSheetId="3">[7]!SQL.REQUEST(DNI,,,[0]!FORG)</definedName>
    <definedName name="mu" localSheetId="1">[7]!SQL.REQUEST(DNI,,,[0]!FORG)</definedName>
    <definedName name="mu" localSheetId="2">[7]!SQL.REQUEST([0]!DNI,,,'SND(창신)작성'!FORG)</definedName>
    <definedName name="mu">[7]!SQL.REQUEST(DNI,,,[0]!FORG)</definedName>
    <definedName name="mz" localSheetId="3">광주본사!mz</definedName>
    <definedName name="mz" localSheetId="1">화성!mz</definedName>
    <definedName name="mz" localSheetId="2">'SND(창신)작성'!mz</definedName>
    <definedName name="mz">[0]!mz</definedName>
    <definedName name="n">#N/A</definedName>
    <definedName name="ñ">#N/A</definedName>
    <definedName name="nacomfy02total">[25]Details!$Y$109</definedName>
    <definedName name="nacomfy03total">[25]Details!$AD$109</definedName>
    <definedName name="nacomfy04total">[25]Details!$AE$109</definedName>
    <definedName name="nacomfy05total">[25]Details!$AF$109</definedName>
    <definedName name="NAMA_FA1">#N/A</definedName>
    <definedName name="NAMA_FA2">#N/A</definedName>
    <definedName name="NAMA_FA3">#N/A</definedName>
    <definedName name="Name" localSheetId="2">#REF!</definedName>
    <definedName name="Name">#REF!</definedName>
    <definedName name="Name1" localSheetId="2" hidden="1">#REF!</definedName>
    <definedName name="Name1" hidden="1">#REF!</definedName>
    <definedName name="Name2" localSheetId="2">#REF!</definedName>
    <definedName name="Name2">#REF!</definedName>
    <definedName name="Name3" localSheetId="2">#REF!</definedName>
    <definedName name="Name3">#REF!</definedName>
    <definedName name="NameOHED" localSheetId="2">#REF!</definedName>
    <definedName name="NameOHED">#REF!</definedName>
    <definedName name="Names">"Load &amp; Verify'!$A$41:$B$41"</definedName>
    <definedName name="NAMES__________" localSheetId="2">'[61]Non-Pers Infl'!#REF!</definedName>
    <definedName name="NAMES__________">'[61]Non-Pers Infl'!#REF!</definedName>
    <definedName name="NatSpend">'[36]Nat Spending Drilldown'!$C$6:$T$678</definedName>
    <definedName name="nauncomfy02total">[26]Details!$Y$215</definedName>
    <definedName name="nauncomfy03total">[26]Details!$Z$215</definedName>
    <definedName name="nauncomfy04total">[26]Details!$AA$215</definedName>
    <definedName name="nauncomfy05total">[26]Details!$AB$215</definedName>
    <definedName name="nbnb" localSheetId="3">광주본사!nbnb</definedName>
    <definedName name="nbnb" localSheetId="1">화성!nbnb</definedName>
    <definedName name="nbnb" localSheetId="2">'SND(창신)작성'!nbnb</definedName>
    <definedName name="nbnb">[0]!nbnb</definedName>
    <definedName name="nbv" localSheetId="3" hidden="1">{"Polymers Details",#N/A,FALSE,"Current Yr";"Polymer Details",#N/A,FALSE,"Budget";"Polymer Details",#N/A,FALSE,"Prior Year"}</definedName>
    <definedName name="nbv" localSheetId="1" hidden="1">{"Polymers Details",#N/A,FALSE,"Current Yr";"Polymer Details",#N/A,FALSE,"Budget";"Polymer Details",#N/A,FALSE,"Prior Year"}</definedName>
    <definedName name="nbv" localSheetId="2" hidden="1">{"Polymers Details",#N/A,FALSE,"Current Yr";"Polymer Details",#N/A,FALSE,"Budget";"Polymer Details",#N/A,FALSE,"Prior Year"}</definedName>
    <definedName name="nbv" hidden="1">{"Polymers Details",#N/A,FALSE,"Current Yr";"Polymer Details",#N/A,FALSE,"Budget";"Polymer Details",#N/A,FALSE,"Prior Year"}</definedName>
    <definedName name="nbv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dhaulcost">[35]INPUT!$B$22:$Q$22</definedName>
    <definedName name="ndhaulvarcost">[35]INPUT!$B$23:$Q$23</definedName>
    <definedName name="ndhaulvarvol">[35]INPUT!$B$10:$Q$10</definedName>
    <definedName name="ndhaulvol">[35]INPUT!$B$9:$Q$9</definedName>
    <definedName name="Net_Income" localSheetId="2">[42]BS!#REF!</definedName>
    <definedName name="Net_Income">[42]BS!#REF!</definedName>
    <definedName name="New" localSheetId="2">#REF!</definedName>
    <definedName name="New">#REF!</definedName>
    <definedName name="NF3_Pricing_Trend___FY02">'[62]NF3 Sales FY02'!$C$43:$U$82</definedName>
    <definedName name="NF3_Pricing_Trend___FY03">'[62]NF3 Sales FY03'!$C$43:$U$82</definedName>
    <definedName name="NF3PriceVar">'[62]NF3&amp;WF6 Pricing Analysis'!$C$3:$U$46</definedName>
    <definedName name="ngfy01pf" localSheetId="2">[53]CPI!#REF!</definedName>
    <definedName name="ngfy01pf">[53]CPI!#REF!</definedName>
    <definedName name="ngfy02pf" localSheetId="2">[53]CPI!#REF!</definedName>
    <definedName name="ngfy02pf">[53]CPI!#REF!</definedName>
    <definedName name="ngfy03pf" localSheetId="2">[53]CPI!#REF!</definedName>
    <definedName name="ngfy03pf">[53]CPI!#REF!</definedName>
    <definedName name="ngfy04pf" localSheetId="2">[53]CPI!#REF!</definedName>
    <definedName name="ngfy04pf">[53]CPI!#REF!</definedName>
    <definedName name="ngfy05pf" localSheetId="2">[53]CPI!#REF!</definedName>
    <definedName name="ngfy05pf">[53]CPI!#REF!</definedName>
    <definedName name="ngfy06pf" localSheetId="2">[53]CPI!#REF!</definedName>
    <definedName name="ngfy06pf">[53]CPI!#REF!</definedName>
    <definedName name="ngfy07pf" localSheetId="2">[53]CPI!#REF!</definedName>
    <definedName name="ngfy07pf">[53]CPI!#REF!</definedName>
    <definedName name="ngfy08pf" localSheetId="2">[53]CPI!#REF!</definedName>
    <definedName name="ngfy08pf">[53]CPI!#REF!</definedName>
    <definedName name="nh" localSheetId="3" hidden="1">{"AS REP",#N/A,FALSE,"EEFSNAP2";"PROP",#N/A,FALSE,"EEFSNAP2";"RISKS",#N/A,FALSE,"EEFSNAP2";"VIEW ALL",#N/A,FALSE,"EEFSNAP2"}</definedName>
    <definedName name="nh" localSheetId="1" hidden="1">{"AS REP",#N/A,FALSE,"EEFSNAP2";"PROP",#N/A,FALSE,"EEFSNAP2";"RISKS",#N/A,FALSE,"EEFSNAP2";"VIEW ALL",#N/A,FALSE,"EEFSNAP2"}</definedName>
    <definedName name="nh" localSheetId="2" hidden="1">{"AS REP",#N/A,FALSE,"EEFSNAP2";"PROP",#N/A,FALSE,"EEFSNAP2";"RISKS",#N/A,FALSE,"EEFSNAP2";"VIEW ALL",#N/A,FALSE,"EEFSNAP2"}</definedName>
    <definedName name="nh" hidden="1">{"AS REP",#N/A,FALSE,"EEFSNAP2";"PROP",#N/A,FALSE,"EEFSNAP2";"RISKS",#N/A,FALSE,"EEFSNAP2";"VIEW ALL",#N/A,FALSE,"EEFSNAP2"}</definedName>
    <definedName name="NL_RESIDU">#N/A</definedName>
    <definedName name="ñlkj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localSheetId="3" hidden="1">{"pro_view",#N/A,FALSE,"EEFSNAP2";"rep_view",#N/A,FALSE,"EEFSNAP2"}</definedName>
    <definedName name="ñlñl" localSheetId="1" hidden="1">{"pro_view",#N/A,FALSE,"EEFSNAP2";"rep_view",#N/A,FALSE,"EEFSNAP2"}</definedName>
    <definedName name="ñlñl" localSheetId="2" hidden="1">{"pro_view",#N/A,FALSE,"EEFSNAP2";"rep_view",#N/A,FALSE,"EEFSNAP2"}</definedName>
    <definedName name="ñlñl" hidden="1">{"pro_view",#N/A,FALSE,"EEFSNAP2";"rep_view",#N/A,FALSE,"EEFSNAP2"}</definedName>
    <definedName name="nm" localSheetId="3">광주본사!nm</definedName>
    <definedName name="nm" localSheetId="1">화성!nm</definedName>
    <definedName name="nm" localSheetId="2">'SND(창신)작성'!nm</definedName>
    <definedName name="nm">[0]!nm</definedName>
    <definedName name="nmnm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localSheetId="1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localSheetId="2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N" localSheetId="2">#REF!</definedName>
    <definedName name="NNN">#REF!</definedName>
    <definedName name="NOID" localSheetId="2">#REF!</definedName>
    <definedName name="NOID">#REF!</definedName>
    <definedName name="Non_Current_Liabilities" localSheetId="2">[42]BS!#REF!</definedName>
    <definedName name="Non_Current_Liabilities">[42]BS!#REF!</definedName>
    <definedName name="NOV_UNI_VOL1" localSheetId="2">'[24]Early CO'!#REF!</definedName>
    <definedName name="NOV_UNI_VOL1">'[24]Early CO'!#REF!</definedName>
    <definedName name="NOV_UNI_VOL2" localSheetId="2">'[24]Early CO'!#REF!</definedName>
    <definedName name="NOV_UNI_VOL2">'[24]Early CO'!#REF!</definedName>
    <definedName name="Nov99_Carburos">[29]Carburos!$A$232:$X$242</definedName>
    <definedName name="Nov99_CentralEurope">'[29]Central Europe'!$A$226:$Z$235</definedName>
    <definedName name="Nov99_Equipment">[29]Equipment!$A$183:$Z$190</definedName>
    <definedName name="Nov99_Merchant">[29]Merchant!$A$264:$X$275</definedName>
    <definedName name="Nov99_Tonnage">[29]Tonnage!$A$323:$X$337</definedName>
    <definedName name="ñp" localSheetId="3" hidden="1">{#N/A,"PURCHM",FALSE,"Business Analysis";#N/A,"SPADD",FALSE,"Business Analysis"}</definedName>
    <definedName name="ñp" localSheetId="1" hidden="1">{#N/A,"PURCHM",FALSE,"Business Analysis";#N/A,"SPADD",FALSE,"Business Analysis"}</definedName>
    <definedName name="ñp" localSheetId="2" hidden="1">{#N/A,"PURCHM",FALSE,"Business Analysis";#N/A,"SPADD",FALSE,"Business Analysis"}</definedName>
    <definedName name="ñp" hidden="1">{#N/A,"PURCHM",FALSE,"Business Analysis";#N/A,"SPADD",FALSE,"Business Analysis"}</definedName>
    <definedName name="NPAT" localSheetId="2">#REF!</definedName>
    <definedName name="NPAT">#REF!</definedName>
    <definedName name="nu" localSheetId="3">광주본사!nu</definedName>
    <definedName name="nu" localSheetId="1">화성!nu</definedName>
    <definedName name="nu" localSheetId="2">'SND(창신)작성'!nu</definedName>
    <definedName name="nu">[0]!nu</definedName>
    <definedName name="ny" localSheetId="3">[7]!SQL.REQUEST(DNI,,,[0]!FORE)</definedName>
    <definedName name="ny" localSheetId="1">[7]!SQL.REQUEST(DNI,,,[0]!FORE)</definedName>
    <definedName name="ny" localSheetId="2">[7]!SQL.REQUEST([0]!DNI,,,'SND(창신)작성'!FORE)</definedName>
    <definedName name="ny">[7]!SQL.REQUEST(DNI,,,[0]!FORE)</definedName>
    <definedName name="nz" localSheetId="3">광주본사!nz</definedName>
    <definedName name="nz" localSheetId="1">화성!nz</definedName>
    <definedName name="nz" localSheetId="2">'SND(창신)작성'!nz</definedName>
    <definedName name="nz">[0]!nz</definedName>
    <definedName name="o" localSheetId="3" hidden="1">{"detail",#N/A,FALSE,"mfg";"summary",#N/A,FALSE,"mfg"}</definedName>
    <definedName name="o" localSheetId="1" hidden="1">{"detail",#N/A,FALSE,"mfg";"summary",#N/A,FALSE,"mfg"}</definedName>
    <definedName name="o" localSheetId="2" hidden="1">{"detail",#N/A,FALSE,"mfg";"summary",#N/A,FALSE,"mfg"}</definedName>
    <definedName name="o" hidden="1">{"detail",#N/A,FALSE,"mfg";"summary",#N/A,FALSE,"mfg"}</definedName>
    <definedName name="O_E_METL" localSheetId="2">#REF!</definedName>
    <definedName name="O_E_METL">#REF!</definedName>
    <definedName name="OCT_AHE" localSheetId="2">'[24]Early CO'!#REF!</definedName>
    <definedName name="OCT_AHE">'[24]Early CO'!#REF!</definedName>
    <definedName name="OCT_GEIS_PVALUE" localSheetId="2">'[24]Early CO'!#REF!</definedName>
    <definedName name="OCT_GEIS_PVALUE">'[24]Early CO'!#REF!</definedName>
    <definedName name="OCT_INORGANIC" localSheetId="2">'[24]Early CO'!#REF!</definedName>
    <definedName name="OCT_INORGANIC">'[24]Early CO'!#REF!</definedName>
    <definedName name="OCT_KWH" localSheetId="2">'[24]Early CO'!#REF!</definedName>
    <definedName name="OCT_KWH">'[24]Early CO'!#REF!</definedName>
    <definedName name="OCT_P_VALUE" localSheetId="2">'[24]Early CO'!#REF!</definedName>
    <definedName name="OCT_P_VALUE">'[24]Early CO'!#REF!</definedName>
    <definedName name="OCT_PPI" localSheetId="2">'[24]Early CO'!#REF!</definedName>
    <definedName name="OCT_PPI">'[24]Early CO'!#REF!</definedName>
    <definedName name="OCT_UNI_VOL1" localSheetId="2">'[24]Early CO'!#REF!</definedName>
    <definedName name="OCT_UNI_VOL1">'[24]Early CO'!#REF!</definedName>
    <definedName name="OCT_UNI_VOL2" localSheetId="2">'[24]Early CO'!#REF!</definedName>
    <definedName name="OCT_UNI_VOL2">'[24]Early CO'!#REF!</definedName>
    <definedName name="Oct99_Carburos">[29]Carburos!$A$220:$X$230</definedName>
    <definedName name="Oct99_CentralEurope">'[29]Central Europe'!$A$215:$Z$224</definedName>
    <definedName name="Oct99_Equipment">[29]Equipment!$A$174:$Z$181</definedName>
    <definedName name="Oct99_Merchant">[29]Merchant!$A$251:$X$262</definedName>
    <definedName name="Oct99_Tonnage">[29]Tonnage!$A$307:$X$321</definedName>
    <definedName name="oiuy" localSheetId="3" hidden="1">{"Polymers Details",#N/A,FALSE,"Current Yr";"Polymer Details",#N/A,FALSE,"Budget";"Polymer Details",#N/A,FALSE,"Prior Year"}</definedName>
    <definedName name="oiuy" localSheetId="1" hidden="1">{"Polymers Details",#N/A,FALSE,"Current Yr";"Polymer Details",#N/A,FALSE,"Budget";"Polymer Details",#N/A,FALSE,"Prior Year"}</definedName>
    <definedName name="oiuy" localSheetId="2" hidden="1">{"Polymers Details",#N/A,FALSE,"Current Yr";"Polymer Details",#N/A,FALSE,"Budget";"Polymer Details",#N/A,FALSE,"Prior Year"}</definedName>
    <definedName name="oiuy" hidden="1">{"Polymers Details",#N/A,FALSE,"Current Yr";"Polymer Details",#N/A,FALSE,"Budget";"Polymer Details",#N/A,FALSE,"Prior Year"}</definedName>
    <definedName name="ok" localSheetId="3">[7]!SQL.REQUEST(DNI,,,_FOR1&amp;[0]!_FOR2)/1000</definedName>
    <definedName name="ok" localSheetId="1">[7]!SQL.REQUEST(DNI,,,_FOR1&amp;[0]!_FOR2)/1000</definedName>
    <definedName name="ok" localSheetId="2">[7]!SQL.REQUEST([0]!DNI,,,[0]!_FOR1&amp;'SND(창신)작성'!_FOR2)/1000</definedName>
    <definedName name="ok">[7]!SQL.REQUEST(DNI,,,_FOR1&amp;[0]!_FOR2)/1000</definedName>
    <definedName name="okay">[15]Menus!$B$4:$F$37</definedName>
    <definedName name="okm" localSheetId="2">[6]GEG!#REF!</definedName>
    <definedName name="okm">[6]GEG!#REF!</definedName>
    <definedName name="okn" localSheetId="2">[6]GEG!#REF!</definedName>
    <definedName name="okn">[6]GEG!#REF!</definedName>
    <definedName name="ol" localSheetId="3" hidden="1">{"vol data",#N/A,FALSE,"Datasheet";"vol graph",#N/A,FALSE,"Volume";"price data",#N/A,FALSE,"Datasheet";"price graph",#N/A,FALSE,"Price";"dp data",#N/A,FALSE,"Datasheet";"dp graph",#N/A,FALSE,"DirectProfit"}</definedName>
    <definedName name="ol" localSheetId="1" hidden="1">{"vol data",#N/A,FALSE,"Datasheet";"vol graph",#N/A,FALSE,"Volume";"price data",#N/A,FALSE,"Datasheet";"price graph",#N/A,FALSE,"Price";"dp data",#N/A,FALSE,"Datasheet";"dp graph",#N/A,FALSE,"DirectProfit"}</definedName>
    <definedName name="ol" localSheetId="2" hidden="1">{"vol data",#N/A,FALSE,"Datasheet";"vol graph",#N/A,FALSE,"Volume";"price data",#N/A,FALSE,"Datasheet";"price graph",#N/A,FALSE,"Price";"dp data",#N/A,FALSE,"Datasheet";"dp graph",#N/A,FALSE,"DirectProfit"}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localSheetId="3" hidden="1">{#N/A,"PURCHM",FALSE,"Business Analysis";#N/A,"SPADD",FALSE,"Business Analysis"}</definedName>
    <definedName name="old" localSheetId="1" hidden="1">{#N/A,"PURCHM",FALSE,"Business Analysis";#N/A,"SPADD",FALSE,"Business Analysis"}</definedName>
    <definedName name="old" localSheetId="2" hidden="1">{#N/A,"PURCHM",FALSE,"Business Analysis";#N/A,"SPADD",FALSE,"Business Analysis"}</definedName>
    <definedName name="old" hidden="1">{#N/A,"PURCHM",FALSE,"Business Analysis";#N/A,"SPADD",FALSE,"Business Analysis"}</definedName>
    <definedName name="on" localSheetId="3" hidden="1">{"overview",#N/A,FALSE,"summary";"net assets",#N/A,FALSE,"summary";"asset turnover",#N/A,FALSE,"summary";"orona",#N/A,FALSE,"summary"}</definedName>
    <definedName name="on" localSheetId="1" hidden="1">{"overview",#N/A,FALSE,"summary";"net assets",#N/A,FALSE,"summary";"asset turnover",#N/A,FALSE,"summary";"orona",#N/A,FALSE,"summary"}</definedName>
    <definedName name="on" localSheetId="2" hidden="1">{"overview",#N/A,FALSE,"summary";"net assets",#N/A,FALSE,"summary";"asset turnover",#N/A,FALSE,"summary";"orona",#N/A,FALSE,"summary"}</definedName>
    <definedName name="on" hidden="1">{"overview",#N/A,FALSE,"summary";"net assets",#N/A,FALSE,"summary";"asset turnover",#N/A,FALSE,"summary";"orona",#N/A,FALSE,"summary"}</definedName>
    <definedName name="ONG_PROP" localSheetId="3">광주본사!ONG_PROP</definedName>
    <definedName name="ONG_PROP" localSheetId="1">화성!ONG_PROP</definedName>
    <definedName name="ONG_PROP" localSheetId="2">'SND(창신)작성'!ONG_PROP</definedName>
    <definedName name="ONG_PROP">[0]!ONG_PROP</definedName>
    <definedName name="ONG_YTD" localSheetId="3">광주본사!ONG_YTD</definedName>
    <definedName name="ONG_YTD" localSheetId="1">화성!ONG_YTD</definedName>
    <definedName name="ONG_YTD" localSheetId="2">'SND(창신)작성'!ONG_YTD</definedName>
    <definedName name="ONG_YTD">[0]!ONG_YTD</definedName>
    <definedName name="op">#N/A</definedName>
    <definedName name="operating_costs" localSheetId="2">#REF!</definedName>
    <definedName name="operating_costs">#REF!</definedName>
    <definedName name="ops_serv_ren" localSheetId="2">#REF!</definedName>
    <definedName name="ops_serv_ren">#REF!</definedName>
    <definedName name="OPTION_1" localSheetId="2">#REF!</definedName>
    <definedName name="OPTION_1">#REF!</definedName>
    <definedName name="oq">#N/A</definedName>
    <definedName name="ORD_ENT" localSheetId="2">#REF!</definedName>
    <definedName name="ORD_ENT">#REF!</definedName>
    <definedName name="ordr_ent" localSheetId="2">#REF!</definedName>
    <definedName name="ordr_ent">#REF!</definedName>
    <definedName name="Other__Inv.___G_W" localSheetId="2">[42]BS!#REF!</definedName>
    <definedName name="Other__Inv.___G_W">[42]BS!#REF!</definedName>
    <definedName name="others3" localSheetId="3" hidden="1">{#N/A,"PURCHM",FALSE,"Business Analysis";#N/A,"SPADD",FALSE,"Business Analysis"}</definedName>
    <definedName name="others3" localSheetId="1" hidden="1">{#N/A,"PURCHM",FALSE,"Business Analysis";#N/A,"SPADD",FALSE,"Business Analysis"}</definedName>
    <definedName name="others3" localSheetId="2" hidden="1">{#N/A,"PURCHM",FALSE,"Business Analysis";#N/A,"SPADD",FALSE,"Business Analysis"}</definedName>
    <definedName name="others3" hidden="1">{#N/A,"PURCHM",FALSE,"Business Analysis";#N/A,"SPADD",FALSE,"Business Analysis"}</definedName>
    <definedName name="otherterm" localSheetId="2">[32]Inputs!#REF!</definedName>
    <definedName name="otherterm">[32]Inputs!#REF!</definedName>
    <definedName name="ou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VERHEADS" localSheetId="2">'[63]KEY DATA'!#REF!</definedName>
    <definedName name="OVERHEADS">'[63]KEY DATA'!#REF!</definedName>
    <definedName name="P" localSheetId="2">#REF!</definedName>
    <definedName name="P">#REF!</definedName>
    <definedName name="pb" localSheetId="3" hidden="1">{"net assets",#N/A,FALSE,"summary";"asset turnover",#N/A,FALSE,"summary";"orona",#N/A,FALSE,"summary"}</definedName>
    <definedName name="pb" localSheetId="1" hidden="1">{"net assets",#N/A,FALSE,"summary";"asset turnover",#N/A,FALSE,"summary";"orona",#N/A,FALSE,"summary"}</definedName>
    <definedName name="pb" localSheetId="2" hidden="1">{"net assets",#N/A,FALSE,"summary";"asset turnover",#N/A,FALSE,"summary";"orona",#N/A,FALSE,"summary"}</definedName>
    <definedName name="pb" hidden="1">{"net assets",#N/A,FALSE,"summary";"asset turnover",#N/A,FALSE,"summary";"orona",#N/A,FALSE,"summary"}</definedName>
    <definedName name="PBIT" localSheetId="2">#REF!</definedName>
    <definedName name="PBIT">#REF!</definedName>
    <definedName name="PBIT_APCI" localSheetId="2">[13]GEG!#REF!</definedName>
    <definedName name="PBIT_APCI">[13]GEG!#REF!</definedName>
    <definedName name="PBIT_CDV" localSheetId="2">[13]GEG!#REF!</definedName>
    <definedName name="PBIT_CDV">[13]GEG!#REF!</definedName>
    <definedName name="PBIT_GEG" localSheetId="2">[13]GEG!#REF!</definedName>
    <definedName name="PBIT_GEG">[13]GEG!#REF!</definedName>
    <definedName name="PBIT_GROUP" localSheetId="2">[13]GEG!#REF!</definedName>
    <definedName name="PBIT_GROUP">[13]GEG!#REF!</definedName>
    <definedName name="pd" localSheetId="3" hidden="1">{"detail",#N/A,FALSE,"mfg";"summary",#N/A,FALSE,"mfg"}</definedName>
    <definedName name="pd" localSheetId="1" hidden="1">{"detail",#N/A,FALSE,"mfg";"summary",#N/A,FALSE,"mfg"}</definedName>
    <definedName name="pd" localSheetId="2" hidden="1">{"detail",#N/A,FALSE,"mfg";"summary",#N/A,FALSE,"mfg"}</definedName>
    <definedName name="pd" hidden="1">{"detail",#N/A,FALSE,"mfg";"summary",#N/A,FALSE,"mfg"}</definedName>
    <definedName name="PDT">[54]Convert!$C$3:$I$7</definedName>
    <definedName name="PDTcol">[54]Convert!$V$2:$W$8</definedName>
    <definedName name="PDTrow">[54]Convert!$T$2:$U$6</definedName>
    <definedName name="pec_ACT" localSheetId="2">#REF!</definedName>
    <definedName name="pec_ACT">#REF!</definedName>
    <definedName name="pec_DSO" localSheetId="2">#REF!</definedName>
    <definedName name="pec_DSO">#REF!</definedName>
    <definedName name="pec_DTP" localSheetId="2">#REF!</definedName>
    <definedName name="pec_DTP">#REF!</definedName>
    <definedName name="PEC_receivables" localSheetId="2">#REF!</definedName>
    <definedName name="PEC_receivables">#REF!</definedName>
    <definedName name="PEC_sales" localSheetId="2">#REF!</definedName>
    <definedName name="PEC_sales">#REF!</definedName>
    <definedName name="pec_tot_overdue" localSheetId="2">#REF!</definedName>
    <definedName name="pec_tot_overdue">#REF!</definedName>
    <definedName name="pec1_15" localSheetId="2">#REF!</definedName>
    <definedName name="pec1_15">#REF!</definedName>
    <definedName name="pec16_30" localSheetId="2">#REF!</definedName>
    <definedName name="pec16_30">#REF!</definedName>
    <definedName name="pec31_60" localSheetId="2">#REF!</definedName>
    <definedName name="pec31_60">#REF!</definedName>
    <definedName name="pec61_90" localSheetId="2">#REF!</definedName>
    <definedName name="pec61_90">#REF!</definedName>
    <definedName name="pec90plus" localSheetId="2">#REF!</definedName>
    <definedName name="pec90plus">#REF!</definedName>
    <definedName name="Per" localSheetId="2">#REF!</definedName>
    <definedName name="Per">#REF!</definedName>
    <definedName name="PerCONS" localSheetId="2">'[64]COL-VAE'!#REF!</definedName>
    <definedName name="PerCONS">'[64]COL-VAE'!#REF!</definedName>
    <definedName name="pernis" localSheetId="2">[27]oct!#REF!</definedName>
    <definedName name="pernis">[27]oct!#REF!</definedName>
    <definedName name="pernis_ACT" localSheetId="2">#REF!</definedName>
    <definedName name="pernis_ACT">#REF!</definedName>
    <definedName name="pernis_DSO" localSheetId="2">#REF!</definedName>
    <definedName name="pernis_DSO">#REF!</definedName>
    <definedName name="pernis_DTP" localSheetId="2">#REF!</definedName>
    <definedName name="pernis_DTP">#REF!</definedName>
    <definedName name="Pernis_receivables" localSheetId="2">#REF!</definedName>
    <definedName name="Pernis_receivables">#REF!</definedName>
    <definedName name="Pernis_sales" localSheetId="2">#REF!</definedName>
    <definedName name="Pernis_sales">#REF!</definedName>
    <definedName name="pernis_tot_overdue" localSheetId="2">#REF!</definedName>
    <definedName name="pernis_tot_overdue">#REF!</definedName>
    <definedName name="pernis1_15" localSheetId="2">#REF!</definedName>
    <definedName name="pernis1_15">#REF!</definedName>
    <definedName name="pernis16_30" localSheetId="2">#REF!</definedName>
    <definedName name="pernis16_30">#REF!</definedName>
    <definedName name="pernis31_60" localSheetId="2">#REF!</definedName>
    <definedName name="pernis31_60">#REF!</definedName>
    <definedName name="pernis61_90" localSheetId="2">#REF!</definedName>
    <definedName name="pernis61_90">#REF!</definedName>
    <definedName name="pernis90plus" localSheetId="2">#REF!</definedName>
    <definedName name="pernis90plus">#REF!</definedName>
    <definedName name="pg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localSheetId="1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localSheetId="2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i" localSheetId="3" hidden="1">{"oct_res_comm",#N/A,FALSE,"VarToBud"}</definedName>
    <definedName name="pi" localSheetId="1" hidden="1">{"oct_res_comm",#N/A,FALSE,"VarToBud"}</definedName>
    <definedName name="pi" localSheetId="2" hidden="1">{"oct_res_comm",#N/A,FALSE,"VarToBud"}</definedName>
    <definedName name="pi" hidden="1">{"oct_res_comm",#N/A,FALSE,"VarToBud"}</definedName>
    <definedName name="PILAR" localSheetId="3" hidden="1">{"detail",#N/A,FALSE,"mfg";"summary",#N/A,FALSE,"mfg"}</definedName>
    <definedName name="PILAR" localSheetId="1" hidden="1">{"detail",#N/A,FALSE,"mfg";"summary",#N/A,FALSE,"mfg"}</definedName>
    <definedName name="PILAR" localSheetId="2" hidden="1">{"detail",#N/A,FALSE,"mfg";"summary",#N/A,FALSE,"mfg"}</definedName>
    <definedName name="PILAR" hidden="1">{"detail",#N/A,FALSE,"mfg";"summary",#N/A,FALSE,"mfg"}</definedName>
    <definedName name="PILAR1" localSheetId="2">[6]GEG!#REF!</definedName>
    <definedName name="PILAR1">[6]GEG!#REF!</definedName>
    <definedName name="PIPE_DED_CAP" localSheetId="2">'[24]Early CO'!#REF!</definedName>
    <definedName name="PIPE_DED_CAP">'[24]Early CO'!#REF!</definedName>
    <definedName name="pk" localSheetId="3" hidden="1">{"vol data",#N/A,FALSE,"Datasheet";"vol graph",#N/A,FALSE,"Volume";"price data",#N/A,FALSE,"Datasheet";"price graph",#N/A,FALSE,"Price";"dp data",#N/A,FALSE,"Datasheet";"dp graph",#N/A,FALSE,"DirectProfit"}</definedName>
    <definedName name="pk" localSheetId="1" hidden="1">{"vol data",#N/A,FALSE,"Datasheet";"vol graph",#N/A,FALSE,"Volume";"price data",#N/A,FALSE,"Datasheet";"price graph",#N/A,FALSE,"Price";"dp data",#N/A,FALSE,"Datasheet";"dp graph",#N/A,FALSE,"DirectProfit"}</definedName>
    <definedName name="pk" localSheetId="2" hidden="1">{"vol data",#N/A,FALSE,"Datasheet";"vol graph",#N/A,FALSE,"Volume";"price data",#N/A,FALSE,"Datasheet";"price graph",#N/A,FALSE,"Price";"dp data",#N/A,FALSE,"Datasheet";"dp graph",#N/A,FALSE,"DirectProfit"}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l" localSheetId="3" hidden="1">{"overview",#N/A,FALSE,"summary";"net assets",#N/A,FALSE,"summary";"asset turnover",#N/A,FALSE,"summary";"orona",#N/A,FALSE,"summary"}</definedName>
    <definedName name="pl" localSheetId="1" hidden="1">{"overview",#N/A,FALSE,"summary";"net assets",#N/A,FALSE,"summary";"asset turnover",#N/A,FALSE,"summary";"orona",#N/A,FALSE,"summary"}</definedName>
    <definedName name="pl" localSheetId="2" hidden="1">{"overview",#N/A,FALSE,"summary";"net assets",#N/A,FALSE,"summary";"asset turnover",#N/A,FALSE,"summary";"orona",#N/A,FALSE,"summary"}</definedName>
    <definedName name="pl" hidden="1">{"overview",#N/A,FALSE,"summary";"net assets",#N/A,FALSE,"summary";"asset turnover",#N/A,FALSE,"summary";"orona",#N/A,FALSE,"summary"}</definedName>
    <definedName name="Plan">[21]Plan!$A$1:$E$23</definedName>
    <definedName name="PlanOp">'[20]Plan Opinc'!$A$1:$E$22</definedName>
    <definedName name="PlanPL">'[20]Plan P&amp;L'!$A$1:$E$19</definedName>
    <definedName name="PLAQ_PAGE1" localSheetId="2">'[24]Early CO'!#REF!</definedName>
    <definedName name="PLAQ_PAGE1">'[24]Early CO'!#REF!</definedName>
    <definedName name="PLAQ_PAGE3" localSheetId="2">'[24]Early CO'!#REF!</definedName>
    <definedName name="PLAQ_PAGE3">'[24]Early CO'!#REF!</definedName>
    <definedName name="PLAQ_PAGE4" localSheetId="2">'[24]Early CO'!#REF!</definedName>
    <definedName name="PLAQ_PAGE4">'[24]Early CO'!#REF!</definedName>
    <definedName name="PLAQ_PAGE5" localSheetId="2">'[24]Early CO'!#REF!</definedName>
    <definedName name="PLAQ_PAGE5">'[24]Early CO'!#REF!</definedName>
    <definedName name="PLAQ_PAGE6" localSheetId="2">'[24]Early CO'!#REF!</definedName>
    <definedName name="PLAQ_PAGE6">'[24]Early CO'!#REF!</definedName>
    <definedName name="pm" localSheetId="3">[7]!SQL.REQUEST(DNI,,,_FOR1&amp;[0]!_FOR3)/1000</definedName>
    <definedName name="pm" localSheetId="1">[7]!SQL.REQUEST(DNI,,,_FOR1&amp;[0]!_FOR3)/1000</definedName>
    <definedName name="pm" localSheetId="2">[7]!SQL.REQUEST([0]!DNI,,,[0]!_FOR1&amp;'SND(창신)작성'!_FOR3)/1000</definedName>
    <definedName name="pm">[7]!SQL.REQUEST(DNI,,,_FOR1&amp;[0]!_FOR3)/1000</definedName>
    <definedName name="po" localSheetId="3" hidden="1">{"detail",#N/A,FALSE,"mfg";"summary",#N/A,FALSE,"mfg"}</definedName>
    <definedName name="po" localSheetId="1" hidden="1">{"detail",#N/A,FALSE,"mfg";"summary",#N/A,FALSE,"mfg"}</definedName>
    <definedName name="po" localSheetId="2" hidden="1">{"detail",#N/A,FALSE,"mfg";"summary",#N/A,FALSE,"mfg"}</definedName>
    <definedName name="po" hidden="1">{"detail",#N/A,FALSE,"mfg";"summary",#N/A,FALSE,"mfg"}</definedName>
    <definedName name="poc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u" localSheetId="3" hidden="1">{"Performance Details",#N/A,FALSE,"Current Yr";"Performance Details",#N/A,FALSE,"Budget";"Performance Details",#N/A,FALSE,"Prior Year"}</definedName>
    <definedName name="poiu" localSheetId="1" hidden="1">{"Performance Details",#N/A,FALSE,"Current Yr";"Performance Details",#N/A,FALSE,"Budget";"Performance Details",#N/A,FALSE,"Prior Year"}</definedName>
    <definedName name="poiu" localSheetId="2" hidden="1">{"Performance Details",#N/A,FALSE,"Current Yr";"Performance Details",#N/A,FALSE,"Budget";"Performance Details",#N/A,FALSE,"Prior Year"}</definedName>
    <definedName name="poiu" hidden="1">{"Performance Details",#N/A,FALSE,"Current Yr";"Performance Details",#N/A,FALSE,"Budget";"Performance Details",#N/A,FALSE,"Prior Year"}</definedName>
    <definedName name="PPP" localSheetId="3" hidden="1">{#N/A,"PURCHM",FALSE,"Business Analysis";#N/A,"SPADD",FALSE,"Business Analysis"}</definedName>
    <definedName name="PPP" localSheetId="1" hidden="1">{#N/A,"PURCHM",FALSE,"Business Analysis";#N/A,"SPADD",FALSE,"Business Analysis"}</definedName>
    <definedName name="PPP" localSheetId="2" hidden="1">{#N/A,"PURCHM",FALSE,"Business Analysis";#N/A,"SPADD",FALSE,"Business Analysis"}</definedName>
    <definedName name="PPP" hidden="1">{#N/A,"PURCHM",FALSE,"Business Analysis";#N/A,"SPADD",FALSE,"Business Analysis"}</definedName>
    <definedName name="pq" localSheetId="3">광주본사!pq</definedName>
    <definedName name="pq" localSheetId="1">화성!pq</definedName>
    <definedName name="pq" localSheetId="2">'SND(창신)작성'!pq</definedName>
    <definedName name="pq">[0]!pq</definedName>
    <definedName name="PR_YTD" localSheetId="2">'[65]SOE-O_S'!#REF!</definedName>
    <definedName name="PR_YTD">'[65]SOE-O_S'!#REF!</definedName>
    <definedName name="Print_All" localSheetId="3">[66]!Print_All</definedName>
    <definedName name="Print_All" localSheetId="1">[66]!Print_All</definedName>
    <definedName name="Print_All" localSheetId="0">[66]!Print_All</definedName>
    <definedName name="Print_All" localSheetId="2">[66]!Print_All</definedName>
    <definedName name="Print_All">[66]!Print_All</definedName>
    <definedName name="Print_allocdebt" localSheetId="3">[67]!Print_allocdebt</definedName>
    <definedName name="Print_allocdebt" localSheetId="1">[67]!Print_allocdebt</definedName>
    <definedName name="Print_allocdebt" localSheetId="0">[67]!Print_allocdebt</definedName>
    <definedName name="Print_allocdebt" localSheetId="2">[67]!Print_allocdebt</definedName>
    <definedName name="Print_allocdebt">[67]!Print_allocdebt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Print_Headcount" localSheetId="2">#REF!</definedName>
    <definedName name="Print_Headcount">#REF!</definedName>
    <definedName name="_xlnm.Print_Titles" localSheetId="2">[68]API!#REF!</definedName>
    <definedName name="_xlnm.Print_Titles">[68]API!#REF!</definedName>
    <definedName name="Print_Titles_MI" localSheetId="2">#REF!,#REF!</definedName>
    <definedName name="Print_Titles_MI">#REF!,#REF!</definedName>
    <definedName name="PRINT1" localSheetId="2">'[69]Book Basis'!#REF!</definedName>
    <definedName name="PRINT1">'[69]Book Basis'!#REF!</definedName>
    <definedName name="PRINTALLUSD" localSheetId="2">[23]RFME25!$A$3:$U$159,[23]RFME25!#REF!,[23]RFME25!#REF!,[23]RFME25!#REF!,[23]RFME25!#REF!,[23]RFME25!#REF!,[23]RFME25!#REF!,[23]RFME25!#REF!,[23]RFME25!#REF!,[23]RFME25!#REF!</definedName>
    <definedName name="PRINTALLUSD">[23]RFME25!$A$3:$U$159,[23]RFME25!#REF!,[23]RFME25!#REF!,[23]RFME25!#REF!,[23]RFME25!#REF!,[23]RFME25!#REF!,[23]RFME25!#REF!,[23]RFME25!#REF!,[23]RFME25!#REF!,[23]RFME25!#REF!</definedName>
    <definedName name="PrintSchedule">'[70]US Treasury'!$A$8:$Y$65</definedName>
    <definedName name="PrintScheduleEurope">'[70]Europe Treasury'!$A$4:$Y$124</definedName>
    <definedName name="prior_ytd" localSheetId="2">'[65]SOE-O_S'!#REF!</definedName>
    <definedName name="prior_ytd">'[65]SOE-O_S'!#REF!</definedName>
    <definedName name="prioryearqtr">[35]INPUT!$A$2</definedName>
    <definedName name="prmain">[30]Submitted!$B$1:$AD$18</definedName>
    <definedName name="PRO" localSheetId="2">#REF!</definedName>
    <definedName name="PRO">#REF!</definedName>
    <definedName name="Proc_Act" localSheetId="2">#REF!</definedName>
    <definedName name="Proc_Act">#REF!</definedName>
    <definedName name="Proc_Bud" localSheetId="2">#REF!</definedName>
    <definedName name="Proc_Bud">#REF!</definedName>
    <definedName name="Proc_PY" localSheetId="2">#REF!</definedName>
    <definedName name="Proc_PY">#REF!</definedName>
    <definedName name="PROCESS" localSheetId="2">#REF!</definedName>
    <definedName name="PROCESS">#REF!</definedName>
    <definedName name="prodlosscost">[35]INPUT!$B$24:$Q$24</definedName>
    <definedName name="prodlossvol">[35]INPUT!$B$11:$Q$11</definedName>
    <definedName name="PROJBAR" localSheetId="2">'[33]Gross Profit'!#REF!</definedName>
    <definedName name="PROJBAR">'[33]Gross Profit'!#REF!</definedName>
    <definedName name="PROJGP" localSheetId="2">'[33]Gross Profit'!#REF!</definedName>
    <definedName name="PROJGP">'[33]Gross Profit'!#REF!</definedName>
    <definedName name="PROJRES" localSheetId="2">'[33]Gross Profit'!#REF!</definedName>
    <definedName name="PROJRES">'[33]Gross Profit'!#REF!</definedName>
    <definedName name="PROJWAR" localSheetId="2">'[33]Gross Profit'!#REF!</definedName>
    <definedName name="PROJWAR">'[33]Gross Profit'!#REF!</definedName>
    <definedName name="prospect" localSheetId="2">#REF!</definedName>
    <definedName name="prospect">#REF!</definedName>
    <definedName name="prtrng" localSheetId="2">#REF!</definedName>
    <definedName name="prtrng">#REF!</definedName>
    <definedName name="purchcost">[35]INPUT!$B$21:$Q$21</definedName>
    <definedName name="purchvol">[35]INPUT!$B$8:$Q$8</definedName>
    <definedName name="PYCosts" localSheetId="2">#REF!</definedName>
    <definedName name="PYCosts">#REF!</definedName>
    <definedName name="PYUnitCosts" localSheetId="2">#REF!</definedName>
    <definedName name="PYUnitCosts">#REF!</definedName>
    <definedName name="pz" localSheetId="3" hidden="1">{"Month Summary",#N/A,FALSE,"Summary";"Total Details",#N/A,FALSE,"Current Yr";"Polymers Details",#N/A,FALSE,"Current Yr";"Performance Details",#N/A,FALSE,"Current Yr";"ICD Details",#N/A,FALSE,"Current Yr"}</definedName>
    <definedName name="pz" localSheetId="1" hidden="1">{"Month Summary",#N/A,FALSE,"Summary";"Total Details",#N/A,FALSE,"Current Yr";"Polymers Details",#N/A,FALSE,"Current Yr";"Performance Details",#N/A,FALSE,"Current Yr";"ICD Details",#N/A,FALSE,"Current Yr"}</definedName>
    <definedName name="pz" localSheetId="2" hidden="1">{"Month Summary",#N/A,FALSE,"Summary";"Total Details",#N/A,FALSE,"Current Yr";"Polymers Details",#N/A,FALSE,"Current Yr";"Performance Details",#N/A,FALSE,"Current Yr";"ICD Details",#N/A,FALSE,"Current Yr"}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localSheetId="3" hidden="1">{"detail",#N/A,FALSE,"mfg";"summary",#N/A,FALSE,"mfg"}</definedName>
    <definedName name="Q" localSheetId="1" hidden="1">{"detail",#N/A,FALSE,"mfg";"summary",#N/A,FALSE,"mfg"}</definedName>
    <definedName name="Q" localSheetId="2" hidden="1">{"detail",#N/A,FALSE,"mfg";"summary",#N/A,FALSE,"mfg"}</definedName>
    <definedName name="Q" hidden="1">{"detail",#N/A,FALSE,"mfg";"summary",#N/A,FALSE,"mfg"}</definedName>
    <definedName name="Q3R" localSheetId="2">[71]EES_DATA.XLS!#REF!</definedName>
    <definedName name="Q3R">[71]EES_DATA.XLS!#REF!</definedName>
    <definedName name="Q4FY93" localSheetId="2">[13]GEG!#REF!</definedName>
    <definedName name="Q4FY93">[13]GEG!#REF!</definedName>
    <definedName name="qaaaa" localSheetId="3" hidden="1">{"detail",#N/A,FALSE,"mfg";"summary",#N/A,FALSE,"mfg"}</definedName>
    <definedName name="qaaaa" localSheetId="1" hidden="1">{"detail",#N/A,FALSE,"mfg";"summary",#N/A,FALSE,"mfg"}</definedName>
    <definedName name="qaaaa" localSheetId="2" hidden="1">{"detail",#N/A,FALSE,"mfg";"summary",#N/A,FALSE,"mfg"}</definedName>
    <definedName name="qaaaa" hidden="1">{"detail",#N/A,FALSE,"mfg";"summary",#N/A,FALSE,"mfg"}</definedName>
    <definedName name="qasq" localSheetId="2">[72]Summary!#REF!</definedName>
    <definedName name="qasq">[72]Summary!#REF!</definedName>
    <definedName name="qaz" localSheetId="2">[6]GEG!#REF!</definedName>
    <definedName name="qaz">[6]GEG!#REF!</definedName>
    <definedName name="qe" localSheetId="3">[7]!SQL.REQUEST(DNI,,,FORH&amp;#REF!)/1000</definedName>
    <definedName name="qe" localSheetId="1">[7]!SQL.REQUEST(DNI,,,FORH&amp;#REF!)/1000</definedName>
    <definedName name="qe" localSheetId="2">[7]!SQL.REQUEST([0]!DNI,,,[0]!FORH&amp;#REF!)/1000</definedName>
    <definedName name="qe">[7]!SQL.REQUEST(DNI,,,FORH&amp;#REF!)/1000</definedName>
    <definedName name="qew" localSheetId="3" hidden="1">{#N/A,"PURCHM",FALSE,"Business Analysis";#N/A,"SPADD",FALSE,"Business Analysis"}</definedName>
    <definedName name="qew" localSheetId="1" hidden="1">{#N/A,"PURCHM",FALSE,"Business Analysis";#N/A,"SPADD",FALSE,"Business Analysis"}</definedName>
    <definedName name="qew" localSheetId="2" hidden="1">{#N/A,"PURCHM",FALSE,"Business Analysis";#N/A,"SPADD",FALSE,"Business Analysis"}</definedName>
    <definedName name="qew" hidden="1">{#N/A,"PURCHM",FALSE,"Business Analysis";#N/A,"SPADD",FALSE,"Business Analysis"}</definedName>
    <definedName name="qewr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ewr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ewr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ewr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o" localSheetId="3">광주본사!qo</definedName>
    <definedName name="qo" localSheetId="1">화성!qo</definedName>
    <definedName name="qo" localSheetId="2">'SND(창신)작성'!qo</definedName>
    <definedName name="qo">[0]!qo</definedName>
    <definedName name="qp" localSheetId="3" hidden="1">{"overview",#N/A,FALSE,"summary";"net assets",#N/A,FALSE,"summary";"asset turnover",#N/A,FALSE,"summary";"orona",#N/A,FALSE,"summary"}</definedName>
    <definedName name="qp" localSheetId="1" hidden="1">{"overview",#N/A,FALSE,"summary";"net assets",#N/A,FALSE,"summary";"asset turnover",#N/A,FALSE,"summary";"orona",#N/A,FALSE,"summary"}</definedName>
    <definedName name="qp" localSheetId="2" hidden="1">{"overview",#N/A,FALSE,"summary";"net assets",#N/A,FALSE,"summary";"asset turnover",#N/A,FALSE,"summary";"orona",#N/A,FALSE,"summary"}</definedName>
    <definedName name="qp" hidden="1">{"overview",#N/A,FALSE,"summary";"net assets",#N/A,FALSE,"summary";"asset turnover",#N/A,FALSE,"summary";"orona",#N/A,FALSE,"summary"}</definedName>
    <definedName name="qq" localSheetId="2">[47]Q_COMP.XLS!#REF!</definedName>
    <definedName name="qq">[47]Q_COMP.XLS!#REF!</definedName>
    <definedName name="qqkkkkk" localSheetId="3" hidden="1">{#N/A,"PURCHM",FALSE,"Business Analysis";#N/A,"SPADD",FALSE,"Business Analysis"}</definedName>
    <definedName name="qqkkkkk" localSheetId="1" hidden="1">{#N/A,"PURCHM",FALSE,"Business Analysis";#N/A,"SPADD",FALSE,"Business Analysis"}</definedName>
    <definedName name="qqkkkkk" localSheetId="2" hidden="1">{#N/A,"PURCHM",FALSE,"Business Analysis";#N/A,"SPADD",FALSE,"Business Analysis"}</definedName>
    <definedName name="qqkkkkk" hidden="1">{#N/A,"PURCHM",FALSE,"Business Analysis";#N/A,"SPADD",FALSE,"Business Analysis"}</definedName>
    <definedName name="qqq" localSheetId="2">#REF!</definedName>
    <definedName name="qqq">#REF!</definedName>
    <definedName name="qqqaa" localSheetId="3" hidden="1">{"detail",#N/A,FALSE,"mfg";"summary",#N/A,FALSE,"mfg"}</definedName>
    <definedName name="qqqaa" localSheetId="1" hidden="1">{"detail",#N/A,FALSE,"mfg";"summary",#N/A,FALSE,"mfg"}</definedName>
    <definedName name="qqqaa" localSheetId="2" hidden="1">{"detail",#N/A,FALSE,"mfg";"summary",#N/A,FALSE,"mfg"}</definedName>
    <definedName name="qqqaa" hidden="1">{"detail",#N/A,FALSE,"mfg";"summary",#N/A,FALSE,"mfg"}</definedName>
    <definedName name="qqqq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" localSheetId="3" hidden="1">{"detail",#N/A,FALSE,"mfg";"summary",#N/A,FALSE,"mfg"}</definedName>
    <definedName name="qqqqq" localSheetId="1" hidden="1">{"detail",#N/A,FALSE,"mfg";"summary",#N/A,FALSE,"mfg"}</definedName>
    <definedName name="qqqqq" localSheetId="2" hidden="1">{"detail",#N/A,FALSE,"mfg";"summary",#N/A,FALSE,"mfg"}</definedName>
    <definedName name="qqqqq" hidden="1">{"detail",#N/A,FALSE,"mfg";"summary",#N/A,FALSE,"mfg"}</definedName>
    <definedName name="qqqqqq" localSheetId="3" hidden="1">{"QTD_PRS",#N/A,FALSE,"QTD"}</definedName>
    <definedName name="qqqqqq" localSheetId="1" hidden="1">{"QTD_PRS",#N/A,FALSE,"QTD"}</definedName>
    <definedName name="qqqqqq" localSheetId="2" hidden="1">{"QTD_PRS",#N/A,FALSE,"QTD"}</definedName>
    <definedName name="qqqqqq" hidden="1">{"QTD_PRS",#N/A,FALSE,"QTD"}</definedName>
    <definedName name="qqqqqqq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qqqqqqq" localSheetId="1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qqqqqqq" localSheetId="2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qqqqqqq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qqqqqqqq" localSheetId="2">[13]GEG!#REF!</definedName>
    <definedName name="qqqqqqqq">[13]GEG!#REF!</definedName>
    <definedName name="qqqqqqqqqq" localSheetId="3" hidden="1">{"pro_view",#N/A,FALSE,"EEFSNAP2";"rep_view",#N/A,FALSE,"EEFSNAP2"}</definedName>
    <definedName name="qqqqqqqqqq" localSheetId="1" hidden="1">{"pro_view",#N/A,FALSE,"EEFSNAP2";"rep_view",#N/A,FALSE,"EEFSNAP2"}</definedName>
    <definedName name="qqqqqqqqqq" localSheetId="2" hidden="1">{"pro_view",#N/A,FALSE,"EEFSNAP2";"rep_view",#N/A,FALSE,"EEFSNAP2"}</definedName>
    <definedName name="qqqqqqqqqq" hidden="1">{"pro_view",#N/A,FALSE,"EEFSNAP2";"rep_view",#N/A,FALSE,"EEFSNAP2"}</definedName>
    <definedName name="qqqqqqqqqqqqqq" localSheetId="3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localSheetId="1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localSheetId="2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localSheetId="3" hidden="1">{"detail",#N/A,FALSE,"mfg";"summary",#N/A,FALSE,"mfg"}</definedName>
    <definedName name="qqqqqqqqqqqqqqqqqqq" localSheetId="1" hidden="1">{"detail",#N/A,FALSE,"mfg";"summary",#N/A,FALSE,"mfg"}</definedName>
    <definedName name="qqqqqqqqqqqqqqqqqqq" localSheetId="2" hidden="1">{"detail",#N/A,FALSE,"mfg";"summary",#N/A,FALSE,"mfg"}</definedName>
    <definedName name="qqqqqqqqqqqqqqqqqqq" hidden="1">{"detail",#N/A,FALSE,"mfg";"summary",#N/A,FALSE,"mfg"}</definedName>
    <definedName name="qqqqqqqqqqqqqqqqqqqqqq" localSheetId="3">광주본사!qqqqqqqqqqqqqqqqqqqqqq</definedName>
    <definedName name="qqqqqqqqqqqqqqqqqqqqqq" localSheetId="1">화성!qqqqqqqqqqqqqqqqqqqqqq</definedName>
    <definedName name="qqqqqqqqqqqqqqqqqqqqqq" localSheetId="2">'SND(창신)작성'!qqqqqqqqqqqqqqqqqqqqqq</definedName>
    <definedName name="qqqqqqqqqqqqqqqqqqqqqq">[0]!qqqqqqqqqqqqqqqqqqqqqq</definedName>
    <definedName name="qqqqqqqqqqqqqqqqqqqqqqqqqqqqqqqqqqqqqqqqqqqqqqqqqqqqqq" localSheetId="3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localSheetId="1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localSheetId="2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r" localSheetId="3" hidden="1">{"detail",#N/A,FALSE,"mfg";"summary",#N/A,FALSE,"mfg"}</definedName>
    <definedName name="qr" localSheetId="1" hidden="1">{"detail",#N/A,FALSE,"mfg";"summary",#N/A,FALSE,"mfg"}</definedName>
    <definedName name="qr" localSheetId="2" hidden="1">{"detail",#N/A,FALSE,"mfg";"summary",#N/A,FALSE,"mfg"}</definedName>
    <definedName name="qr" hidden="1">{"detail",#N/A,FALSE,"mfg";"summary",#N/A,FALSE,"mfg"}</definedName>
    <definedName name="qre" localSheetId="3" hidden="1">{"detail",#N/A,FALSE,"mfg";"summary",#N/A,FALSE,"mfg"}</definedName>
    <definedName name="qre" localSheetId="1" hidden="1">{"detail",#N/A,FALSE,"mfg";"summary",#N/A,FALSE,"mfg"}</definedName>
    <definedName name="qre" localSheetId="2" hidden="1">{"detail",#N/A,FALSE,"mfg";"summary",#N/A,FALSE,"mfg"}</definedName>
    <definedName name="qre" hidden="1">{"detail",#N/A,FALSE,"mfg";"summary",#N/A,FALSE,"mfg"}</definedName>
    <definedName name="qrew" localSheetId="3" hidden="1">{#N/A,"PURCHM",FALSE,"Business Analysis";#N/A,"SPADD",FALSE,"Business Analysis"}</definedName>
    <definedName name="qrew" localSheetId="1" hidden="1">{#N/A,"PURCHM",FALSE,"Business Analysis";#N/A,"SPADD",FALSE,"Business Analysis"}</definedName>
    <definedName name="qrew" localSheetId="2" hidden="1">{#N/A,"PURCHM",FALSE,"Business Analysis";#N/A,"SPADD",FALSE,"Business Analysis"}</definedName>
    <definedName name="qrew" hidden="1">{#N/A,"PURCHM",FALSE,"Business Analysis";#N/A,"SPADD",FALSE,"Business Analysis"}</definedName>
    <definedName name="q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localSheetId="3" hidden="1">{#N/A,"PURCHM",FALSE,"Business Analysis";#N/A,"SPADD",FALSE,"Business Analysis"}</definedName>
    <definedName name="qssss" localSheetId="1" hidden="1">{#N/A,"PURCHM",FALSE,"Business Analysis";#N/A,"SPADD",FALSE,"Business Analysis"}</definedName>
    <definedName name="qssss" localSheetId="2" hidden="1">{#N/A,"PURCHM",FALSE,"Business Analysis";#N/A,"SPADD",FALSE,"Business Analysis"}</definedName>
    <definedName name="qssss" hidden="1">{#N/A,"PURCHM",FALSE,"Business Analysis";#N/A,"SPADD",FALSE,"Business Analysis"}</definedName>
    <definedName name="qt" localSheetId="3" hidden="1">{"oct_res_comm",#N/A,FALSE,"VarToBud"}</definedName>
    <definedName name="qt" localSheetId="1" hidden="1">{"oct_res_comm",#N/A,FALSE,"VarToBud"}</definedName>
    <definedName name="qt" localSheetId="2" hidden="1">{"oct_res_comm",#N/A,FALSE,"VarToBud"}</definedName>
    <definedName name="qt" hidden="1">{"oct_res_comm",#N/A,FALSE,"VarToBud"}</definedName>
    <definedName name="qtr" localSheetId="3" hidden="1">{"detail",#N/A,FALSE,"mfg";"summary",#N/A,FALSE,"mfg"}</definedName>
    <definedName name="qtr" localSheetId="1" hidden="1">{"detail",#N/A,FALSE,"mfg";"summary",#N/A,FALSE,"mfg"}</definedName>
    <definedName name="qtr" localSheetId="2" hidden="1">{"detail",#N/A,FALSE,"mfg";"summary",#N/A,FALSE,"mfg"}</definedName>
    <definedName name="qtr" hidden="1">{"detail",#N/A,FALSE,"mfg";"summary",#N/A,FALSE,"mfg"}</definedName>
    <definedName name="QTR_With_Graph" localSheetId="2">#REF!</definedName>
    <definedName name="QTR_With_Graph">#REF!</definedName>
    <definedName name="QTRDIRPR" localSheetId="2">'[63]Q2 FIN SUMM'!#REF!</definedName>
    <definedName name="QTRDIRPR">'[63]Q2 FIN SUMM'!#REF!</definedName>
    <definedName name="qtrsales" localSheetId="2">'[63]Q2 FIN SUMM'!#REF!</definedName>
    <definedName name="qtrsales">'[63]Q2 FIN SUMM'!#REF!</definedName>
    <definedName name="QTRSummary" localSheetId="2">#REF!</definedName>
    <definedName name="QTRSummary">#REF!</definedName>
    <definedName name="QTRTITLE" localSheetId="2">'[39]NA Ton Vol'!#REF!</definedName>
    <definedName name="QTRTITLE">'[39]NA Ton Vol'!#REF!</definedName>
    <definedName name="QTRvsPY" localSheetId="2">#REF!</definedName>
    <definedName name="QTRvsPY">#REF!</definedName>
    <definedName name="qu" localSheetId="3">[7]!SQL.REQUEST(DNI,,,FORF&amp;#REF!)</definedName>
    <definedName name="qu" localSheetId="1">[7]!SQL.REQUEST(DNI,,,FORF&amp;#REF!)</definedName>
    <definedName name="qu" localSheetId="2">[7]!SQL.REQUEST([0]!DNI,,,[0]!FORF&amp;#REF!)</definedName>
    <definedName name="qu">[7]!SQL.REQUEST(DNI,,,FORF&amp;#REF!)</definedName>
    <definedName name="QUERY" localSheetId="2">#REF!</definedName>
    <definedName name="QUERY">#REF!</definedName>
    <definedName name="qw" localSheetId="3">[7]!SQL.REQUEST(DNI,,,[0]!FORG)</definedName>
    <definedName name="qw" localSheetId="1">[7]!SQL.REQUEST(DNI,,,[0]!FORG)</definedName>
    <definedName name="qw" localSheetId="2">[7]!SQL.REQUEST([0]!DNI,,,'SND(창신)작성'!FORG)</definedName>
    <definedName name="qw">[7]!SQL.REQUEST(DNI,,,[0]!FORG)</definedName>
    <definedName name="qw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e" localSheetId="2">[47]Q_COMP.XLS!#REF!</definedName>
    <definedName name="qwee">[47]Q_COMP.XLS!#REF!</definedName>
    <definedName name="qwer" localSheetId="3" hidden="1">{"pro_view",#N/A,FALSE,"EEFSNAP2";"rep_view",#N/A,FALSE,"EEFSNAP2"}</definedName>
    <definedName name="qwer" localSheetId="1" hidden="1">{"pro_view",#N/A,FALSE,"EEFSNAP2";"rep_view",#N/A,FALSE,"EEFSNAP2"}</definedName>
    <definedName name="qwer" localSheetId="2" hidden="1">{"pro_view",#N/A,FALSE,"EEFSNAP2";"rep_view",#N/A,FALSE,"EEFSNAP2"}</definedName>
    <definedName name="qwer" hidden="1">{"pro_view",#N/A,FALSE,"EEFSNAP2";"rep_view",#N/A,FALSE,"EEFSNAP2"}</definedName>
    <definedName name="qy" localSheetId="3">광주본사!qy</definedName>
    <definedName name="qy" localSheetId="1">화성!qy</definedName>
    <definedName name="qy" localSheetId="2">'SND(창신)작성'!qy</definedName>
    <definedName name="qy">[0]!qy</definedName>
    <definedName name="RangeValues" localSheetId="2">#REF!</definedName>
    <definedName name="RangeValues">#REF!</definedName>
    <definedName name="RangeValuesEq" localSheetId="2">#REF!</definedName>
    <definedName name="RangeValuesEq">#REF!</definedName>
    <definedName name="Ratio" localSheetId="2">[42]BS!#REF!</definedName>
    <definedName name="Ratio">[42]BS!#REF!</definedName>
    <definedName name="RawMtrlInfl" localSheetId="2">[32]MICMULT!#REF!</definedName>
    <definedName name="RawMtrlInfl">[32]MICMULT!#REF!</definedName>
    <definedName name="rd" localSheetId="3" hidden="1">{"oct_res_comm",#N/A,FALSE,"VarToBud"}</definedName>
    <definedName name="rd" localSheetId="1" hidden="1">{"oct_res_comm",#N/A,FALSE,"VarToBud"}</definedName>
    <definedName name="rd" localSheetId="2" hidden="1">{"oct_res_comm",#N/A,FALSE,"VarToBud"}</definedName>
    <definedName name="rd" hidden="1">{"oct_res_comm",#N/A,FALSE,"VarToBud"}</definedName>
    <definedName name="rdx" localSheetId="3" hidden="1">{"oct_res_comm",#N/A,FALSE,"VarToBud"}</definedName>
    <definedName name="rdx" localSheetId="1" hidden="1">{"oct_res_comm",#N/A,FALSE,"VarToBud"}</definedName>
    <definedName name="rdx" localSheetId="2" hidden="1">{"oct_res_comm",#N/A,FALSE,"VarToBud"}</definedName>
    <definedName name="rdx" hidden="1">{"oct_res_comm",#N/A,FALSE,"VarToBud"}</definedName>
    <definedName name="re">#N/A</definedName>
    <definedName name="_xlnm.Recorder" localSheetId="2">#REF!</definedName>
    <definedName name="_xlnm.Recorder">#REF!</definedName>
    <definedName name="region12" localSheetId="2">[73]parameters!#REF!</definedName>
    <definedName name="region12">[73]parameters!#REF!</definedName>
    <definedName name="region14" localSheetId="2">[73]parameters!#REF!</definedName>
    <definedName name="region14">[73]parameters!#REF!</definedName>
    <definedName name="REGS_MON" localSheetId="2">'[74]REGION-Mos Analysis'!#REF!</definedName>
    <definedName name="REGS_MON">'[74]REGION-Mos Analysis'!#REF!</definedName>
    <definedName name="REPORT" localSheetId="2">#REF!</definedName>
    <definedName name="REPORT">#REF!</definedName>
    <definedName name="reportwnotes" localSheetId="2">#REF!</definedName>
    <definedName name="reportwnotes">#REF!</definedName>
    <definedName name="rere">"*110000000000000"</definedName>
    <definedName name="RETREIVE1" localSheetId="2">'[75]ServRend Bus Areas'!#REF!</definedName>
    <definedName name="RETREIVE1">'[75]ServRend Bus Areas'!#REF!</definedName>
    <definedName name="Retrieve">[30]Submitted!$A$1:$AJ$131</definedName>
    <definedName name="rewq" localSheetId="3" hidden="1">{"sales growth",#N/A,FALSE,"summary";"oper income",#N/A,FALSE,"summary";"oros rank",#N/A,FALSE,"summary";"net assets",#N/A,FALSE,"summary";"asset turnover",#N/A,FALSE,"summary";"orona",#N/A,FALSE,"summary"}</definedName>
    <definedName name="rewq" localSheetId="1" hidden="1">{"sales growth",#N/A,FALSE,"summary";"oper income",#N/A,FALSE,"summary";"oros rank",#N/A,FALSE,"summary";"net assets",#N/A,FALSE,"summary";"asset turnover",#N/A,FALSE,"summary";"orona",#N/A,FALSE,"summary"}</definedName>
    <definedName name="rewq" localSheetId="2" hidden="1">{"sales growth",#N/A,FALSE,"summary";"oper income",#N/A,FALSE,"summary";"oros rank",#N/A,FALSE,"summary";"net assets",#N/A,FALSE,"summary";"asset turnover",#N/A,FALSE,"summary";"orona",#N/A,FALSE,"summary"}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f">#N/A</definedName>
    <definedName name="rfv" localSheetId="2">[6]Volumes!#REF!</definedName>
    <definedName name="rfv">[6]Volumes!#REF!</definedName>
    <definedName name="rmcAccount">292500</definedName>
    <definedName name="rmcCategory">"BUDGET"</definedName>
    <definedName name="rmcFrequency">"QYT"</definedName>
    <definedName name="rmcName">"EEDCON"</definedName>
    <definedName name="RMCOptions">"*100000000000000"</definedName>
    <definedName name="rmcPeriod">9309</definedName>
    <definedName name="RND" localSheetId="2">#REF!</definedName>
    <definedName name="RND">#REF!</definedName>
    <definedName name="RptgMo" localSheetId="2">#REF!</definedName>
    <definedName name="RptgMo">#REF!</definedName>
    <definedName name="rr" localSheetId="3" hidden="1">{"detail",#N/A,FALSE,"mfg";"summary",#N/A,FALSE,"mfg"}</definedName>
    <definedName name="rr" localSheetId="1" hidden="1">{"detail",#N/A,FALSE,"mfg";"summary",#N/A,FALSE,"mfg"}</definedName>
    <definedName name="rr" localSheetId="2" hidden="1">{"detail",#N/A,FALSE,"mfg";"summary",#N/A,FALSE,"mfg"}</definedName>
    <definedName name="rr" hidden="1">{"detail",#N/A,FALSE,"mfg";"summary",#N/A,FALSE,"mfg"}</definedName>
    <definedName name="rrr" localSheetId="3" hidden="1">{#N/A,"PURCHM",FALSE,"Business Analysis";#N/A,"SPADD",FALSE,"Business Analysis"}</definedName>
    <definedName name="rrr" localSheetId="1" hidden="1">{#N/A,"PURCHM",FALSE,"Business Analysis";#N/A,"SPADD",FALSE,"Business Analysis"}</definedName>
    <definedName name="rrr" localSheetId="2" hidden="1">{#N/A,"PURCHM",FALSE,"Business Analysis";#N/A,"SPADD",FALSE,"Business Analysis"}</definedName>
    <definedName name="rrr" hidden="1">{#N/A,"PURCHM",FALSE,"Business Analysis";#N/A,"SPADD",FALSE,"Business Analysis"}</definedName>
    <definedName name="rrrr" localSheetId="3" hidden="1">{"vol data",#N/A,FALSE,"Datasheet";"vol graph",#N/A,FALSE,"Volume";"price data",#N/A,FALSE,"Datasheet";"price graph",#N/A,FALSE,"Price";"dp data",#N/A,FALSE,"Datasheet";"dp graph",#N/A,FALSE,"DirectProfit"}</definedName>
    <definedName name="rrrr" localSheetId="1" hidden="1">{"vol data",#N/A,FALSE,"Datasheet";"vol graph",#N/A,FALSE,"Volume";"price data",#N/A,FALSE,"Datasheet";"price graph",#N/A,FALSE,"Price";"dp data",#N/A,FALSE,"Datasheet";"dp graph",#N/A,FALSE,"DirectProfit"}</definedName>
    <definedName name="rrrr" localSheetId="2" hidden="1">{"vol data",#N/A,FALSE,"Datasheet";"vol graph",#N/A,FALSE,"Volume";"price data",#N/A,FALSE,"Datasheet";"price graph",#N/A,FALSE,"Price";"dp data",#N/A,FALSE,"Datasheet";"dp graph",#N/A,FALSE,"DirectProfit"}</definedName>
    <definedName name="rrrr" hidden="1">{"vol data",#N/A,FALSE,"Datasheet";"vol graph",#N/A,FALSE,"Volume";"price data",#N/A,FALSE,"Datasheet";"price graph",#N/A,FALSE,"Price";"dp data",#N/A,FALSE,"Datasheet";"dp graph",#N/A,FALSE,"DirectProfit"}</definedName>
    <definedName name="rt" localSheetId="3" hidden="1">{"detail",#N/A,FALSE,"mfg";"summary",#N/A,FALSE,"mfg"}</definedName>
    <definedName name="rt" localSheetId="1" hidden="1">{"detail",#N/A,FALSE,"mfg";"summary",#N/A,FALSE,"mfg"}</definedName>
    <definedName name="rt" localSheetId="2" hidden="1">{"detail",#N/A,FALSE,"mfg";"summary",#N/A,FALSE,"mfg"}</definedName>
    <definedName name="rt" hidden="1">{"detail",#N/A,FALSE,"mfg";"summary",#N/A,FALSE,"mfg"}</definedName>
    <definedName name="rty" localSheetId="3" hidden="1">{"ICD Details",#N/A,FALSE,"Current Yr";"ICD Details",#N/A,FALSE,"Budget";"ICD Details",#N/A,FALSE,"Prior Year"}</definedName>
    <definedName name="rty" localSheetId="1" hidden="1">{"ICD Details",#N/A,FALSE,"Current Yr";"ICD Details",#N/A,FALSE,"Budget";"ICD Details",#N/A,FALSE,"Prior Year"}</definedName>
    <definedName name="rty" localSheetId="2" hidden="1">{"ICD Details",#N/A,FALSE,"Current Yr";"ICD Details",#N/A,FALSE,"Budget";"ICD Details",#N/A,FALSE,"Prior Year"}</definedName>
    <definedName name="rty" hidden="1">{"ICD Details",#N/A,FALSE,"Current Yr";"ICD Details",#N/A,FALSE,"Budget";"ICD Details",#N/A,FALSE,"Prior Year"}</definedName>
    <definedName name="rtyu" localSheetId="3" hidden="1">{"BA detail",#N/A,FALSE,"Q3YTD "}</definedName>
    <definedName name="rtyu" localSheetId="1" hidden="1">{"BA detail",#N/A,FALSE,"Q3YTD "}</definedName>
    <definedName name="rtyu" localSheetId="2" hidden="1">{"BA detail",#N/A,FALSE,"Q3YTD "}</definedName>
    <definedName name="rtyu" hidden="1">{"BA detail",#N/A,FALSE,"Q3YTD "}</definedName>
    <definedName name="RUBIC_DED_CAP" localSheetId="2">'[24]Early CO'!#REF!</definedName>
    <definedName name="RUBIC_DED_CAP">'[24]Early CO'!#REF!</definedName>
    <definedName name="RUBICON_OCT_VOL" localSheetId="2">'[24]Early CO'!#REF!</definedName>
    <definedName name="RUBICON_OCT_VOL">'[24]Early CO'!#REF!</definedName>
    <definedName name="rv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localSheetId="1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localSheetId="2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x" localSheetId="3">[7]!SQL.REQUEST(DNI,,,[0]!_FOR7)/1000</definedName>
    <definedName name="rx" localSheetId="1">[7]!SQL.REQUEST(DNI,,,[0]!_FOR7)/1000</definedName>
    <definedName name="rx" localSheetId="2">[7]!SQL.REQUEST([0]!DNI,,,'SND(창신)작성'!_FOR7)/1000</definedName>
    <definedName name="rx">[7]!SQL.REQUEST(DNI,,,[0]!_FOR7)/1000</definedName>
    <definedName name="s" localSheetId="3">광주본사!s</definedName>
    <definedName name="s" localSheetId="1">화성!s</definedName>
    <definedName name="s" localSheetId="2">'SND(창신)작성'!s</definedName>
    <definedName name="s">[0]!s</definedName>
    <definedName name="sa" localSheetId="3">광주본사!sa</definedName>
    <definedName name="sa" localSheetId="1">화성!sa</definedName>
    <definedName name="sa" localSheetId="2">'SND(창신)작성'!sa</definedName>
    <definedName name="sa">[0]!sa</definedName>
    <definedName name="saf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LES" localSheetId="2">[33]Backlog!#REF!</definedName>
    <definedName name="SALES">[33]Backlog!#REF!</definedName>
    <definedName name="SALES_APCI" localSheetId="2">[13]GEG!#REF!</definedName>
    <definedName name="SALES_APCI">[13]GEG!#REF!</definedName>
    <definedName name="SALES_CDV" localSheetId="2">[13]GEG!#REF!</definedName>
    <definedName name="SALES_CDV">[13]GEG!#REF!</definedName>
    <definedName name="SALES_GEG" localSheetId="2">[13]GEG!#REF!</definedName>
    <definedName name="SALES_GEG">[13]GEG!#REF!</definedName>
    <definedName name="Salespp" localSheetId="3" hidden="1">{"detail",#N/A,FALSE,"mfg";"summary",#N/A,FALSE,"mfg"}</definedName>
    <definedName name="Salespp" localSheetId="1" hidden="1">{"detail",#N/A,FALSE,"mfg";"summary",#N/A,FALSE,"mfg"}</definedName>
    <definedName name="Salespp" localSheetId="2" hidden="1">{"detail",#N/A,FALSE,"mfg";"summary",#N/A,FALSE,"mfg"}</definedName>
    <definedName name="Salespp" hidden="1">{"detail",#N/A,FALSE,"mfg";"summary",#N/A,FALSE,"mfg"}</definedName>
    <definedName name="SANFU" localSheetId="2">#REF!</definedName>
    <definedName name="SANFU">#REF!</definedName>
    <definedName name="SanFuSwitch">'[36]Major Factors'!$A$385:$E$388</definedName>
    <definedName name="SAPBEXdnldView" hidden="1">"5XJEW07JBXGV3AJM22HB5L2EU"</definedName>
    <definedName name="SAPBEXsysID" hidden="1">"BP1"</definedName>
    <definedName name="SARGP" localSheetId="2">'[33]Gross Profit'!#REF!</definedName>
    <definedName name="SARGP">'[33]Gross Profit'!#REF!</definedName>
    <definedName name="sas" localSheetId="3" hidden="1">{"detail",#N/A,FALSE,"mfg";"summary",#N/A,FALSE,"mfg"}</definedName>
    <definedName name="sas" localSheetId="1" hidden="1">{"detail",#N/A,FALSE,"mfg";"summary",#N/A,FALSE,"mfg"}</definedName>
    <definedName name="sas" localSheetId="2" hidden="1">{"detail",#N/A,FALSE,"mfg";"summary",#N/A,FALSE,"mfg"}</definedName>
    <definedName name="sas" hidden="1">{"detail",#N/A,FALSE,"mfg";"summary",#N/A,FALSE,"mfg"}</definedName>
    <definedName name="sasdef" localSheetId="2">'[8]Group Commitments'!#REF!</definedName>
    <definedName name="sasdef">'[8]Group Commitments'!#REF!</definedName>
    <definedName name="schedule" localSheetId="2">#REF!</definedName>
    <definedName name="schedule">#REF!</definedName>
    <definedName name="score" localSheetId="3" hidden="1">{"detail",#N/A,FALSE,"mfg";"summary",#N/A,FALSE,"mfg"}</definedName>
    <definedName name="score" localSheetId="1" hidden="1">{"detail",#N/A,FALSE,"mfg";"summary",#N/A,FALSE,"mfg"}</definedName>
    <definedName name="score" localSheetId="2" hidden="1">{"detail",#N/A,FALSE,"mfg";"summary",#N/A,FALSE,"mfg"}</definedName>
    <definedName name="score" hidden="1">{"detail",#N/A,FALSE,"mfg";"summary",#N/A,FALSE,"mfg"}</definedName>
    <definedName name="scorecardfy00" localSheetId="3" hidden="1">{"Comp_of_Price_Effect",#N/A,FALSE,"QTRDPVAR"}</definedName>
    <definedName name="scorecardfy00" localSheetId="1" hidden="1">{"Comp_of_Price_Effect",#N/A,FALSE,"QTRDPVAR"}</definedName>
    <definedName name="scorecardfy00" localSheetId="2" hidden="1">{"Comp_of_Price_Effect",#N/A,FALSE,"QTRDPVAR"}</definedName>
    <definedName name="scorecardfy00" hidden="1">{"Comp_of_Price_Effect",#N/A,FALSE,"QTRDPVAR"}</definedName>
    <definedName name="sd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sd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sd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s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sdf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sdf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sdf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sd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sdfg">#N/A</definedName>
    <definedName name="segment" localSheetId="3">[76]!segment</definedName>
    <definedName name="segment" localSheetId="1">[76]!segment</definedName>
    <definedName name="segment" localSheetId="0">[76]!segment</definedName>
    <definedName name="segment" localSheetId="2">[76]!segment</definedName>
    <definedName name="segment">[76]!segment</definedName>
    <definedName name="SegmentBudget" localSheetId="3" hidden="1">{"oct_res_comm",#N/A,FALSE,"VarToBud"}</definedName>
    <definedName name="SegmentBudget" localSheetId="1" hidden="1">{"oct_res_comm",#N/A,FALSE,"VarToBud"}</definedName>
    <definedName name="SegmentBudget" localSheetId="2" hidden="1">{"oct_res_comm",#N/A,FALSE,"VarToBud"}</definedName>
    <definedName name="SegmentBudget" hidden="1">{"oct_res_comm",#N/A,FALSE,"VarToBud"}</definedName>
    <definedName name="SEP_UNI_VOL1" localSheetId="2">'[24]Early CO'!#REF!</definedName>
    <definedName name="SEP_UNI_VOL1">'[24]Early CO'!#REF!</definedName>
    <definedName name="SEP_UNI_VOL2" localSheetId="2">'[24]Early CO'!#REF!</definedName>
    <definedName name="SEP_UNI_VOL2">'[24]Early CO'!#REF!</definedName>
    <definedName name="September_Carburos">[29]Carburos!$A$208:$X$218</definedName>
    <definedName name="September_CentralEurope">'[29]Central Europe'!$A$204:$Z$213</definedName>
    <definedName name="September_Equipment">[29]Equipment!$A$165:$Z$172</definedName>
    <definedName name="September_Merchant">[29]Merchant!$A$238:$X$249</definedName>
    <definedName name="September_Tonnage">[29]Tonnage!$A$291:$X$305</definedName>
    <definedName name="SGA_APCI" localSheetId="2">[13]GEG!#REF!</definedName>
    <definedName name="SGA_APCI">[13]GEG!#REF!</definedName>
    <definedName name="SGANDA" localSheetId="2">#REF!</definedName>
    <definedName name="SGANDA">#REF!</definedName>
    <definedName name="SHADED" localSheetId="2">[23]RFME25!$E$112:$H$137,[23]RFME25!$E$140:$H$145,[23]RFME25!#REF!,[23]RFME25!#REF!,[23]RFME25!#REF!,[23]RFME25!$B$104:$N$106,[23]RFME25!$G$140:$G$145,[23]RFME25!$G$151:$G$153,[23]RFME25!$G$159,[23]RFME25!$K$159:$N$159,[23]RFME25!$E$159:$H$159,[23]RFME25!$G$112:$G$136,[23]RFME25!$K$112:$N$137,[23]RFME25!$G$137</definedName>
    <definedName name="SHADED">[23]RFME25!$E$112:$H$137,[23]RFME25!$E$140:$H$145,[23]RFME25!#REF!,[23]RFME25!#REF!,[23]RFME25!#REF!,[23]RFME25!$B$104:$N$106,[23]RFME25!$G$140:$G$145,[23]RFME25!$G$151:$G$153,[23]RFME25!$G$159,[23]RFME25!$K$159:$N$159,[23]RFME25!$E$159:$H$159,[23]RFME25!$G$112:$G$136,[23]RFME25!$K$112:$N$137,[23]RFME25!$G$137</definedName>
    <definedName name="SHEET" localSheetId="3" hidden="1">{#N/A,#N/A,FALSE,"BS";#N/A,#N/A,FALSE,"PL";#N/A,#N/A,FALSE,"처분";#N/A,#N/A,FALSE,"현금";#N/A,#N/A,FALSE,"매출";#N/A,#N/A,FALSE,"원가";#N/A,#N/A,FALSE,"경영"}</definedName>
    <definedName name="SHEET" localSheetId="1" hidden="1">{#N/A,#N/A,FALSE,"BS";#N/A,#N/A,FALSE,"PL";#N/A,#N/A,FALSE,"처분";#N/A,#N/A,FALSE,"현금";#N/A,#N/A,FALSE,"매출";#N/A,#N/A,FALSE,"원가";#N/A,#N/A,FALSE,"경영"}</definedName>
    <definedName name="SHEET" localSheetId="2" hidden="1">{#N/A,#N/A,FALSE,"BS";#N/A,#N/A,FALSE,"PL";#N/A,#N/A,FALSE,"처분";#N/A,#N/A,FALSE,"현금";#N/A,#N/A,FALSE,"매출";#N/A,#N/A,FALSE,"원가";#N/A,#N/A,FALSE,"경영"}</definedName>
    <definedName name="SHEET" hidden="1">{#N/A,#N/A,FALSE,"BS";#N/A,#N/A,FALSE,"PL";#N/A,#N/A,FALSE,"처분";#N/A,#N/A,FALSE,"현금";#N/A,#N/A,FALSE,"매출";#N/A,#N/A,FALSE,"원가";#N/A,#N/A,FALSE,"경영"}</definedName>
    <definedName name="SHEL_OCT_H2MIN" localSheetId="2">'[24]Early CO'!#REF!</definedName>
    <definedName name="SHEL_OCT_H2MIN">'[24]Early CO'!#REF!</definedName>
    <definedName name="SHELL_E_VALUE" localSheetId="2">'[24]Early CO'!#REF!</definedName>
    <definedName name="SHELL_E_VALUE">'[24]Early CO'!#REF!</definedName>
    <definedName name="SHELL_P_VALUE" localSheetId="2">'[24]Early CO'!#REF!</definedName>
    <definedName name="SHELL_P_VALUE">'[24]Early CO'!#REF!</definedName>
    <definedName name="skl" localSheetId="3" hidden="1">{"detail",#N/A,FALSE,"mfg";"summary",#N/A,FALSE,"mfg"}</definedName>
    <definedName name="skl" localSheetId="1" hidden="1">{"detail",#N/A,FALSE,"mfg";"summary",#N/A,FALSE,"mfg"}</definedName>
    <definedName name="skl" localSheetId="2" hidden="1">{"detail",#N/A,FALSE,"mfg";"summary",#N/A,FALSE,"mfg"}</definedName>
    <definedName name="skl" hidden="1">{"detail",#N/A,FALSE,"mfg";"summary",#N/A,FALSE,"mfg"}</definedName>
    <definedName name="southwales" localSheetId="2">[27]oct!#REF!</definedName>
    <definedName name="southwales">[27]oct!#REF!</definedName>
    <definedName name="SPECITEM" localSheetId="2">[13]GEG!#REF!</definedName>
    <definedName name="SPECITEM">[13]GEG!#REF!</definedName>
    <definedName name="ss" localSheetId="3" hidden="1">{"detail",#N/A,FALSE,"mfg";"summary",#N/A,FALSE,"mfg"}</definedName>
    <definedName name="ss" localSheetId="1" hidden="1">{"detail",#N/A,FALSE,"mfg";"summary",#N/A,FALSE,"mfg"}</definedName>
    <definedName name="ss" localSheetId="2" hidden="1">{"detail",#N/A,FALSE,"mfg";"summary",#N/A,FALSE,"mfg"}</definedName>
    <definedName name="ss" hidden="1">{"detail",#N/A,FALSE,"mfg";"summary",#N/A,FALSE,"mfg"}</definedName>
    <definedName name="ssadsa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s" localSheetId="3" hidden="1">{"detail",#N/A,FALSE,"mfg";"summary",#N/A,FALSE,"mfg"}</definedName>
    <definedName name="sss" localSheetId="1" hidden="1">{"detail",#N/A,FALSE,"mfg";"summary",#N/A,FALSE,"mfg"}</definedName>
    <definedName name="sss" localSheetId="2" hidden="1">{"detail",#N/A,FALSE,"mfg";"summary",#N/A,FALSE,"mfg"}</definedName>
    <definedName name="sss" hidden="1">{"detail",#N/A,FALSE,"mfg";"summary",#N/A,FALSE,"mfg"}</definedName>
    <definedName name="ssss" localSheetId="3" hidden="1">{#N/A,"PURCHM",FALSE,"Business Analysis";#N/A,"SPADD",FALSE,"Business Analysis"}</definedName>
    <definedName name="ssss" localSheetId="1" hidden="1">{#N/A,"PURCHM",FALSE,"Business Analysis";#N/A,"SPADD",FALSE,"Business Analysis"}</definedName>
    <definedName name="ssss" localSheetId="2" hidden="1">{#N/A,"PURCHM",FALSE,"Business Analysis";#N/A,"SPADD",FALSE,"Business Analysis"}</definedName>
    <definedName name="ssss" hidden="1">{#N/A,"PURCHM",FALSE,"Business Analysis";#N/A,"SPADD",FALSE,"Business Analysis"}</definedName>
    <definedName name="sssss" localSheetId="3" hidden="1">{"detail",#N/A,FALSE,"mfg";"summary",#N/A,FALSE,"mfg"}</definedName>
    <definedName name="sssss" localSheetId="1" hidden="1">{"detail",#N/A,FALSE,"mfg";"summary",#N/A,FALSE,"mfg"}</definedName>
    <definedName name="sssss" localSheetId="2" hidden="1">{"detail",#N/A,FALSE,"mfg";"summary",#N/A,FALSE,"mfg"}</definedName>
    <definedName name="sssss" hidden="1">{"detail",#N/A,FALSE,"mfg";"summary",#N/A,FALSE,"mfg"}</definedName>
    <definedName name="ssssssssssssssss" localSheetId="2">#REF!</definedName>
    <definedName name="ssssssssssssssss">#REF!</definedName>
    <definedName name="sssssssssssssssss" localSheetId="3" hidden="1">{"detail",#N/A,FALSE,"mfg";"summary",#N/A,FALSE,"mfg"}</definedName>
    <definedName name="sssssssssssssssss" localSheetId="1" hidden="1">{"detail",#N/A,FALSE,"mfg";"summary",#N/A,FALSE,"mfg"}</definedName>
    <definedName name="sssssssssssssssss" localSheetId="2" hidden="1">{"detail",#N/A,FALSE,"mfg";"summary",#N/A,FALSE,"mfg"}</definedName>
    <definedName name="sssssssssssssssss" hidden="1">{"detail",#N/A,FALSE,"mfg";"summary",#N/A,FALSE,"mfg"}</definedName>
    <definedName name="sssssssssssssssssss" localSheetId="2">#REF!</definedName>
    <definedName name="sssssssssssssssssss">#REF!</definedName>
    <definedName name="sssswwww" localSheetId="3" hidden="1">{#N/A,"PURCHM",FALSE,"Business Analysis";#N/A,"SPADD",FALSE,"Business Analysis"}</definedName>
    <definedName name="sssswwww" localSheetId="1" hidden="1">{#N/A,"PURCHM",FALSE,"Business Analysis";#N/A,"SPADD",FALSE,"Business Analysis"}</definedName>
    <definedName name="sssswwww" localSheetId="2" hidden="1">{#N/A,"PURCHM",FALSE,"Business Analysis";#N/A,"SPADD",FALSE,"Business Analysis"}</definedName>
    <definedName name="sssswwww" hidden="1">{#N/A,"PURCHM",FALSE,"Business Analysis";#N/A,"SPADD",FALSE,"Business Analysis"}</definedName>
    <definedName name="STAR_DED_CAP" localSheetId="2">'[24]Early CO'!#REF!</definedName>
    <definedName name="STAR_DED_CAP">'[24]Early CO'!#REF!</definedName>
    <definedName name="STAR_OCT_VOL" localSheetId="2">'[24]Early CO'!#REF!</definedName>
    <definedName name="STAR_OCT_VOL">'[24]Early CO'!#REF!</definedName>
    <definedName name="STIG" localSheetId="2">#REF!</definedName>
    <definedName name="STIG">#REF!</definedName>
    <definedName name="SUM" localSheetId="2">#REF!</definedName>
    <definedName name="SUM">#REF!</definedName>
    <definedName name="SUMM" localSheetId="2">#REF!</definedName>
    <definedName name="SUMM">#REF!</definedName>
    <definedName name="SUSUT_BLN">#N/A</definedName>
    <definedName name="sw" localSheetId="3" hidden="1">{#N/A,"PURCHM",FALSE,"Business Analysis";#N/A,"SPADD",FALSE,"Business Analysis"}</definedName>
    <definedName name="sw" localSheetId="1" hidden="1">{#N/A,"PURCHM",FALSE,"Business Analysis";#N/A,"SPADD",FALSE,"Business Analysis"}</definedName>
    <definedName name="sw" localSheetId="2" hidden="1">{#N/A,"PURCHM",FALSE,"Business Analysis";#N/A,"SPADD",FALSE,"Business Analysis"}</definedName>
    <definedName name="sw" hidden="1">{#N/A,"PURCHM",FALSE,"Business Analysis";#N/A,"SPADD",FALSE,"Business Analysis"}</definedName>
    <definedName name="swqa" localSheetId="3">광주본사!swqa</definedName>
    <definedName name="swqa" localSheetId="1">화성!swqa</definedName>
    <definedName name="swqa" localSheetId="2">'SND(창신)작성'!swqa</definedName>
    <definedName name="swqa">[0]!swqa</definedName>
    <definedName name="sz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t" localSheetId="3">[7]!SQL.REQUEST(DNI,,,FORH&amp;#REF!)/1000</definedName>
    <definedName name="t" localSheetId="1">[7]!SQL.REQUEST(DNI,,,FORH&amp;#REF!)/1000</definedName>
    <definedName name="t" localSheetId="2">[7]!SQL.REQUEST([0]!DNI,,,[0]!FORH&amp;#REF!)/1000</definedName>
    <definedName name="t">[7]!SQL.REQUEST(DNI,,,FORH&amp;#REF!)/1000</definedName>
    <definedName name="ta" localSheetId="3" hidden="1">{"BA detail",#N/A,FALSE,"Q3YTD "}</definedName>
    <definedName name="ta" localSheetId="1" hidden="1">{"BA detail",#N/A,FALSE,"Q3YTD "}</definedName>
    <definedName name="ta" localSheetId="2" hidden="1">{"BA detail",#N/A,FALSE,"Q3YTD "}</definedName>
    <definedName name="ta" hidden="1">{"BA detail",#N/A,FALSE,"Q3YTD "}</definedName>
    <definedName name="table2" localSheetId="2">[72]Summary!#REF!</definedName>
    <definedName name="table2">[72]Summary!#REF!</definedName>
    <definedName name="table4" localSheetId="2">[72]Summary!#REF!</definedName>
    <definedName name="table4">[72]Summary!#REF!</definedName>
    <definedName name="table5" localSheetId="2">[72]Summary!#REF!</definedName>
    <definedName name="table5">[72]Summary!#REF!</definedName>
    <definedName name="table6" localSheetId="2">[72]Summary!#REF!</definedName>
    <definedName name="table6">[72]Summary!#REF!</definedName>
    <definedName name="table8" localSheetId="2">[72]Summary!#REF!</definedName>
    <definedName name="table8">[72]Summary!#REF!</definedName>
    <definedName name="table9" localSheetId="2">[72]Summary!#REF!</definedName>
    <definedName name="table9">[72]Summary!#REF!</definedName>
    <definedName name="Tapres">'[20]Apres RetrieveT'!$A$1:$H$22</definedName>
    <definedName name="TAXLIAB" localSheetId="2">'[69]Book Basis'!#REF!</definedName>
    <definedName name="TAXLIAB">'[69]Book Basis'!#REF!</definedName>
    <definedName name="tb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c" localSheetId="3">[7]!SQL.REQUEST(DNI,,,[0]!_FOR6)</definedName>
    <definedName name="tc" localSheetId="1">[7]!SQL.REQUEST(DNI,,,[0]!_FOR6)</definedName>
    <definedName name="tc" localSheetId="2">[7]!SQL.REQUEST([0]!DNI,,,'SND(창신)작성'!_FOR6)</definedName>
    <definedName name="tc">[7]!SQL.REQUEST(DNI,,,[0]!_FOR6)</definedName>
    <definedName name="td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localSheetId="3" hidden="1">{"pro_view",#N/A,FALSE,"EEFSNAP2";"rep_view",#N/A,FALSE,"EEFSNAP2"}</definedName>
    <definedName name="te" localSheetId="1" hidden="1">{"pro_view",#N/A,FALSE,"EEFSNAP2";"rep_view",#N/A,FALSE,"EEFSNAP2"}</definedName>
    <definedName name="te" localSheetId="2" hidden="1">{"pro_view",#N/A,FALSE,"EEFSNAP2";"rep_view",#N/A,FALSE,"EEFSNAP2"}</definedName>
    <definedName name="te" hidden="1">{"pro_view",#N/A,FALSE,"EEFSNAP2";"rep_view",#N/A,FALSE,"EEFSNAP2"}</definedName>
    <definedName name="teesside" localSheetId="2">[27]oct!#REF!</definedName>
    <definedName name="teesside">[27]oct!#REF!</definedName>
    <definedName name="TextRefCopyRangeCount" hidden="1">1</definedName>
    <definedName name="tf" localSheetId="3" hidden="1">{"Performance Details",#N/A,FALSE,"Current Yr";"Performance Details",#N/A,FALSE,"Budget";"Performance Details",#N/A,FALSE,"Prior Year"}</definedName>
    <definedName name="tf" localSheetId="1" hidden="1">{"Performance Details",#N/A,FALSE,"Current Yr";"Performance Details",#N/A,FALSE,"Budget";"Performance Details",#N/A,FALSE,"Prior Year"}</definedName>
    <definedName name="tf" localSheetId="2" hidden="1">{"Performance Details",#N/A,FALSE,"Current Yr";"Performance Details",#N/A,FALSE,"Budget";"Performance Details",#N/A,FALSE,"Prior Year"}</definedName>
    <definedName name="tf" hidden="1">{"Performance Details",#N/A,FALSE,"Current Yr";"Performance Details",#N/A,FALSE,"Budget";"Performance Details",#N/A,FALSE,"Prior Year"}</definedName>
    <definedName name="tfc" localSheetId="2">[6]GEG!#REF!</definedName>
    <definedName name="tfc">[6]GEG!#REF!</definedName>
    <definedName name="tg">#N/A</definedName>
    <definedName name="TG_A_SUSUT">#N/A</definedName>
    <definedName name="TG_M_SUSUT">#N/A</definedName>
    <definedName name="tgb" localSheetId="2">[6]GEG!#REF!</definedName>
    <definedName name="tgb">[6]GEG!#REF!</definedName>
    <definedName name="TITULO" localSheetId="2">#REF!</definedName>
    <definedName name="TITULO">#REF!</definedName>
    <definedName name="tl" localSheetId="3" hidden="1">{"Commentary",#N/A,FALSE,"May"}</definedName>
    <definedName name="tl" localSheetId="1" hidden="1">{"Commentary",#N/A,FALSE,"May"}</definedName>
    <definedName name="tl" localSheetId="2" hidden="1">{"Commentary",#N/A,FALSE,"May"}</definedName>
    <definedName name="tl" hidden="1">{"Commentary",#N/A,FALSE,"May"}</definedName>
    <definedName name="tls" localSheetId="3" hidden="1">{#N/A,"PURCHM",FALSE,"Business Analysis";#N/A,"SPADD",FALSE,"Business Analysis"}</definedName>
    <definedName name="tls" localSheetId="1" hidden="1">{#N/A,"PURCHM",FALSE,"Business Analysis";#N/A,"SPADD",FALSE,"Business Analysis"}</definedName>
    <definedName name="tls" localSheetId="2" hidden="1">{#N/A,"PURCHM",FALSE,"Business Analysis";#N/A,"SPADD",FALSE,"Business Analysis"}</definedName>
    <definedName name="tls" hidden="1">{#N/A,"PURCHM",FALSE,"Business Analysis";#N/A,"SPADD",FALSE,"Business Analysis"}</definedName>
    <definedName name="tm" localSheetId="3" hidden="1">{"ICD Details",#N/A,FALSE,"Current Yr";"ICD Details",#N/A,FALSE,"Budget";"ICD Details",#N/A,FALSE,"Prior Year"}</definedName>
    <definedName name="tm" localSheetId="1" hidden="1">{"ICD Details",#N/A,FALSE,"Current Yr";"ICD Details",#N/A,FALSE,"Budget";"ICD Details",#N/A,FALSE,"Prior Year"}</definedName>
    <definedName name="tm" localSheetId="2" hidden="1">{"ICD Details",#N/A,FALSE,"Current Yr";"ICD Details",#N/A,FALSE,"Budget";"ICD Details",#N/A,FALSE,"Prior Year"}</definedName>
    <definedName name="tm" hidden="1">{"ICD Details",#N/A,FALSE,"Current Yr";"ICD Details",#N/A,FALSE,"Budget";"ICD Details",#N/A,FALSE,"Prior Year"}</definedName>
    <definedName name="tn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KYO" localSheetId="2">[77]computer!#REF!</definedName>
    <definedName name="TOKYO">[77]computer!#REF!</definedName>
    <definedName name="total" localSheetId="2">#REF!</definedName>
    <definedName name="total">#REF!</definedName>
    <definedName name="Total_Assets___W_C" localSheetId="2">[42]BS!#REF!</definedName>
    <definedName name="Total_Assets___W_C">[42]BS!#REF!</definedName>
    <definedName name="Total_Liab.___Equity" localSheetId="2">[42]BS!#REF!</definedName>
    <definedName name="Total_Liab.___Equity">[42]BS!#REF!</definedName>
    <definedName name="TotalCheckArea" localSheetId="2">'[45]Hyperion load FY03 P&amp;L'!#REF!</definedName>
    <definedName name="TotalCheckArea">'[45]Hyperion load FY03 P&amp;L'!#REF!</definedName>
    <definedName name="TOTALYR" localSheetId="2">[13]GEG!#REF!</definedName>
    <definedName name="TOTALYR">[13]GEG!#REF!</definedName>
    <definedName name="TOTGP" localSheetId="2">[33]Backlog!#REF!</definedName>
    <definedName name="TOTGP">[33]Backlog!#REF!</definedName>
    <definedName name="TOTSALES" localSheetId="2">[33]Backlog!#REF!</definedName>
    <definedName name="TOTSALES">[33]Backlog!#REF!</definedName>
    <definedName name="tq" localSheetId="3">[7]!SQL.REQUEST(DNI,,,FORH&amp;#REF!)/1000</definedName>
    <definedName name="tq" localSheetId="1">[7]!SQL.REQUEST(DNI,,,FORH&amp;#REF!)/1000</definedName>
    <definedName name="tq" localSheetId="2">[7]!SQL.REQUEST([0]!DNI,,,[0]!FORH&amp;#REF!)/1000</definedName>
    <definedName name="tq">[7]!SQL.REQUEST(DNI,,,FORH&amp;#REF!)/1000</definedName>
    <definedName name="tre" localSheetId="3" hidden="1">{"pro_view",#N/A,FALSE,"EEFSNAP2";"rep_view",#N/A,FALSE,"EEFSNAP2"}</definedName>
    <definedName name="tre" localSheetId="1" hidden="1">{"pro_view",#N/A,FALSE,"EEFSNAP2";"rep_view",#N/A,FALSE,"EEFSNAP2"}</definedName>
    <definedName name="tre" localSheetId="2" hidden="1">{"pro_view",#N/A,FALSE,"EEFSNAP2";"rep_view",#N/A,FALSE,"EEFSNAP2"}</definedName>
    <definedName name="tre" hidden="1">{"pro_view",#N/A,FALSE,"EEFSNAP2";"rep_view",#N/A,FALSE,"EEFSNAP2"}</definedName>
    <definedName name="Trend_Cost_Domestic" localSheetId="2">'[78]Trend-Cost'!#REF!</definedName>
    <definedName name="Trend_Cost_Domestic">'[78]Trend-Cost'!#REF!</definedName>
    <definedName name="Trend_Cost_Foreign" localSheetId="2">'[78]Trend-Cost'!#REF!</definedName>
    <definedName name="Trend_Cost_Foreign">'[78]Trend-Cost'!#REF!</definedName>
    <definedName name="Trend_Headcount" localSheetId="2">'[78]Trend-Cost'!#REF!</definedName>
    <definedName name="Trend_Headcount">'[78]Trend-Cost'!#REF!</definedName>
    <definedName name="Trend_Headcount_Foreign" localSheetId="2">'[78]Trend-Cost'!#REF!</definedName>
    <definedName name="Trend_Headcount_Foreign">'[78]Trend-Cost'!#REF!</definedName>
    <definedName name="Trend_WW_Cost" localSheetId="2">'[78]Trend-Cost'!#REF!</definedName>
    <definedName name="Trend_WW_Cost">'[78]Trend-Cost'!#REF!</definedName>
    <definedName name="Trend_WW_Headcount" localSheetId="2">'[78]Trend-Cost'!#REF!</definedName>
    <definedName name="Trend_WW_Headcount">'[78]Trend-Cost'!#REF!</definedName>
    <definedName name="Trend_WW_Headcount_Detail" localSheetId="2">'[78]Trend-Cost'!#REF!</definedName>
    <definedName name="Trend_WW_Headcount_Detail">'[78]Trend-Cost'!#REF!</definedName>
    <definedName name="TrendDivisions">[15]Menus!$B$4:$F$37</definedName>
    <definedName name="ts" localSheetId="3" hidden="1">{"oct_res_comm",#N/A,FALSE,"VarToBud"}</definedName>
    <definedName name="ts" localSheetId="1" hidden="1">{"oct_res_comm",#N/A,FALSE,"VarToBud"}</definedName>
    <definedName name="ts" localSheetId="2" hidden="1">{"oct_res_comm",#N/A,FALSE,"VarToBud"}</definedName>
    <definedName name="ts" hidden="1">{"oct_res_comm",#N/A,FALSE,"VarToBud"}</definedName>
    <definedName name="TSALES" localSheetId="2">#REF!</definedName>
    <definedName name="TSALES">#REF!</definedName>
    <definedName name="ttt" localSheetId="3" hidden="1">{#N/A,"PURCHM",FALSE,"Business Analysis";#N/A,"SPADD",FALSE,"Business Analysis"}</definedName>
    <definedName name="ttt" localSheetId="1" hidden="1">{#N/A,"PURCHM",FALSE,"Business Analysis";#N/A,"SPADD",FALSE,"Business Analysis"}</definedName>
    <definedName name="ttt" localSheetId="2" hidden="1">{#N/A,"PURCHM",FALSE,"Business Analysis";#N/A,"SPADD",FALSE,"Business Analysis"}</definedName>
    <definedName name="ttt" hidden="1">{#N/A,"PURCHM",FALSE,"Business Analysis";#N/A,"SPADD",FALSE,"Business Analysis"}</definedName>
    <definedName name="turd" localSheetId="3" hidden="1">{"detail",#N/A,FALSE,"mfg";"summary",#N/A,FALSE,"mfg"}</definedName>
    <definedName name="turd" localSheetId="1" hidden="1">{"detail",#N/A,FALSE,"mfg";"summary",#N/A,FALSE,"mfg"}</definedName>
    <definedName name="turd" localSheetId="2" hidden="1">{"detail",#N/A,FALSE,"mfg";"summary",#N/A,FALSE,"mfg"}</definedName>
    <definedName name="turd" hidden="1">{"detail",#N/A,FALSE,"mfg";"summary",#N/A,FALSE,"mfg"}</definedName>
    <definedName name="t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yu" localSheetId="3" hidden="1">{"oct_res_comm",#N/A,FALSE,"VarToBud"}</definedName>
    <definedName name="tyu" localSheetId="1" hidden="1">{"oct_res_comm",#N/A,FALSE,"VarToBud"}</definedName>
    <definedName name="tyu" localSheetId="2" hidden="1">{"oct_res_comm",#N/A,FALSE,"VarToBud"}</definedName>
    <definedName name="tyu" hidden="1">{"oct_res_comm",#N/A,FALSE,"VarToBud"}</definedName>
    <definedName name="tyui" localSheetId="3" hidden="1">{"ICD Details",#N/A,FALSE,"Current Yr";"ICD Details",#N/A,FALSE,"Budget";"ICD Details",#N/A,FALSE,"Prior Year"}</definedName>
    <definedName name="tyui" localSheetId="1" hidden="1">{"ICD Details",#N/A,FALSE,"Current Yr";"ICD Details",#N/A,FALSE,"Budget";"ICD Details",#N/A,FALSE,"Prior Year"}</definedName>
    <definedName name="tyui" localSheetId="2" hidden="1">{"ICD Details",#N/A,FALSE,"Current Yr";"ICD Details",#N/A,FALSE,"Budget";"ICD Details",#N/A,FALSE,"Prior Year"}</definedName>
    <definedName name="tyui" hidden="1">{"ICD Details",#N/A,FALSE,"Current Yr";"ICD Details",#N/A,FALSE,"Budget";"ICD Details",#N/A,FALSE,"Prior Year"}</definedName>
    <definedName name="u">#N/A</definedName>
    <definedName name="UAPI" localSheetId="2">#REF!</definedName>
    <definedName name="UAPI">#REF!</definedName>
    <definedName name="ub" localSheetId="3">[7]!SQL.REQUEST(DNI,,,[0]!_FOR5)</definedName>
    <definedName name="ub" localSheetId="1">[7]!SQL.REQUEST(DNI,,,[0]!_FOR5)</definedName>
    <definedName name="ub" localSheetId="2">[7]!SQL.REQUEST([0]!DNI,,,'SND(창신)작성'!_FOR5)</definedName>
    <definedName name="ub">[7]!SQL.REQUEST(DNI,,,[0]!_FOR5)</definedName>
    <definedName name="uh" localSheetId="3" hidden="1">{"detail",#N/A,FALSE,"mfg";"summary",#N/A,FALSE,"mfg"}</definedName>
    <definedName name="uh" localSheetId="1" hidden="1">{"detail",#N/A,FALSE,"mfg";"summary",#N/A,FALSE,"mfg"}</definedName>
    <definedName name="uh" localSheetId="2" hidden="1">{"detail",#N/A,FALSE,"mfg";"summary",#N/A,FALSE,"mfg"}</definedName>
    <definedName name="uh" hidden="1">{"detail",#N/A,FALSE,"mfg";"summary",#N/A,FALSE,"mfg"}</definedName>
    <definedName name="uhb" localSheetId="2">[6]GEG!#REF!</definedName>
    <definedName name="uhb">[6]GEG!#REF!</definedName>
    <definedName name="ui" localSheetId="3">[7]!SQL.REQUEST(DNI,,,FORQ&amp;[0]!_FOR2)/1000</definedName>
    <definedName name="ui" localSheetId="1">[7]!SQL.REQUEST(DNI,,,FORQ&amp;[0]!_FOR2)/1000</definedName>
    <definedName name="ui" localSheetId="2">[7]!SQL.REQUEST([0]!DNI,,,[0]!FORQ&amp;'SND(창신)작성'!_FOR2)/1000</definedName>
    <definedName name="ui">[7]!SQL.REQUEST(DNI,,,FORQ&amp;[0]!_FOR2)/1000</definedName>
    <definedName name="uio">#N/A</definedName>
    <definedName name="ujm" localSheetId="2">[6]GEG!#REF!</definedName>
    <definedName name="ujm">[6]GEG!#REF!</definedName>
    <definedName name="UK" localSheetId="2">[23]RFME25!#REF!</definedName>
    <definedName name="UK">[23]RFME25!#REF!</definedName>
    <definedName name="UK_INFLATION_EST" localSheetId="2">[23]RFME25!#REF!</definedName>
    <definedName name="UK_INFLATION_EST">[23]RFME25!#REF!</definedName>
    <definedName name="UKINF" localSheetId="2">[23]RFME25!#REF!</definedName>
    <definedName name="UKINF">[23]RFME25!#REF!</definedName>
    <definedName name="um" localSheetId="3">[7]!SQL.REQUEST(DNI,,,FORF&amp;#REF!)</definedName>
    <definedName name="um" localSheetId="1">[7]!SQL.REQUEST(DNI,,,FORF&amp;#REF!)</definedName>
    <definedName name="um" localSheetId="2">[7]!SQL.REQUEST([0]!DNI,,,[0]!FORF&amp;#REF!)</definedName>
    <definedName name="um">[7]!SQL.REQUEST(DNI,,,FORF&amp;#REF!)</definedName>
    <definedName name="un" localSheetId="3">[7]!SQL.REQUEST(DNI,,,FORQ&amp;[0]!_FOR2)/1000</definedName>
    <definedName name="un" localSheetId="1">[7]!SQL.REQUEST(DNI,,,FORQ&amp;[0]!_FOR2)/1000</definedName>
    <definedName name="un" localSheetId="2">[7]!SQL.REQUEST([0]!DNI,,,[0]!FORQ&amp;'SND(창신)작성'!_FOR2)/1000</definedName>
    <definedName name="un">[7]!SQL.REQUEST(DNI,,,FORQ&amp;[0]!_FOR2)/1000</definedName>
    <definedName name="UNI_APR_TOTVOL" localSheetId="2">'[24]Early CO'!#REF!</definedName>
    <definedName name="UNI_APR_TOTVOL">'[24]Early CO'!#REF!</definedName>
    <definedName name="UNI_AUG_TOTVOL" localSheetId="2">'[24]Early CO'!#REF!</definedName>
    <definedName name="UNI_AUG_TOTVOL">'[24]Early CO'!#REF!</definedName>
    <definedName name="UNI_DEC_TOTVOL" localSheetId="2">'[24]Early CO'!#REF!</definedName>
    <definedName name="UNI_DEC_TOTVOL">'[24]Early CO'!#REF!</definedName>
    <definedName name="UNI_FEB_TOTVOL" localSheetId="2">'[24]Early CO'!#REF!</definedName>
    <definedName name="UNI_FEB_TOTVOL">'[24]Early CO'!#REF!</definedName>
    <definedName name="UNI_JAN_TOTVOL" localSheetId="2">'[24]Early CO'!#REF!</definedName>
    <definedName name="UNI_JAN_TOTVOL">'[24]Early CO'!#REF!</definedName>
    <definedName name="UNI_JUL_TOTVOL" localSheetId="2">'[24]Early CO'!#REF!</definedName>
    <definedName name="UNI_JUL_TOTVOL">'[24]Early CO'!#REF!</definedName>
    <definedName name="UNI_JUN_TOTVOL" localSheetId="2">'[24]Early CO'!#REF!</definedName>
    <definedName name="UNI_JUN_TOTVOL">'[24]Early CO'!#REF!</definedName>
    <definedName name="UNI_MAR_TOTVOL" localSheetId="2">'[24]Early CO'!#REF!</definedName>
    <definedName name="UNI_MAR_TOTVOL">'[24]Early CO'!#REF!</definedName>
    <definedName name="UNI_MAY_TOTVOL" localSheetId="2">'[24]Early CO'!#REF!</definedName>
    <definedName name="UNI_MAY_TOTVOL">'[24]Early CO'!#REF!</definedName>
    <definedName name="UNI_NOV_TOTVOL" localSheetId="2">'[24]Early CO'!#REF!</definedName>
    <definedName name="UNI_NOV_TOTVOL">'[24]Early CO'!#REF!</definedName>
    <definedName name="UNI_OCT_TOTVOL" localSheetId="2">'[24]Early CO'!#REF!</definedName>
    <definedName name="UNI_OCT_TOTVOL">'[24]Early CO'!#REF!</definedName>
    <definedName name="UNI_SEP_TOTVOL" localSheetId="2">'[24]Early CO'!#REF!</definedName>
    <definedName name="UNI_SEP_TOTVOL">'[24]Early CO'!#REF!</definedName>
    <definedName name="UNIROY_DED_CAP" localSheetId="2">'[24]Early CO'!#REF!</definedName>
    <definedName name="UNIROY_DED_CAP">'[24]Early CO'!#REF!</definedName>
    <definedName name="UNIROY_OCT_VOL" localSheetId="2">'[24]Early CO'!#REF!</definedName>
    <definedName name="UNIROY_OCT_VOL">'[24]Early CO'!#REF!</definedName>
    <definedName name="UnitCosts">'[36]Nat Spending Drilldown'!$W$6:$AN$678</definedName>
    <definedName name="uq" localSheetId="3" hidden="1">{"detail",#N/A,FALSE,"mfg";"summary",#N/A,FALSE,"mfg"}</definedName>
    <definedName name="uq" localSheetId="1" hidden="1">{"detail",#N/A,FALSE,"mfg";"summary",#N/A,FALSE,"mfg"}</definedName>
    <definedName name="uq" localSheetId="2" hidden="1">{"detail",#N/A,FALSE,"mfg";"summary",#N/A,FALSE,"mfg"}</definedName>
    <definedName name="uq" hidden="1">{"detail",#N/A,FALSE,"mfg";"summary",#N/A,FALSE,"mfg"}</definedName>
    <definedName name="US_" localSheetId="2">[79]BS!#REF!</definedName>
    <definedName name="US_">[79]BS!#REF!</definedName>
    <definedName name="US_VPM" localSheetId="2">[13]Volumes!#REF!</definedName>
    <definedName name="US_VPM">[13]Volumes!#REF!</definedName>
    <definedName name="US_YTD_VPM" localSheetId="2">[13]Volumes!#REF!</definedName>
    <definedName name="US_YTD_VPM">[13]Volumes!#REF!</definedName>
    <definedName name="USD">'[50]Qtr 1 98'!$B$36</definedName>
    <definedName name="ut" localSheetId="3" hidden="1">{#N/A,"PURCHM",FALSE,"Business Analysis";#N/A,"SPADD",FALSE,"Business Analysis"}</definedName>
    <definedName name="ut" localSheetId="1" hidden="1">{#N/A,"PURCHM",FALSE,"Business Analysis";#N/A,"SPADD",FALSE,"Business Analysis"}</definedName>
    <definedName name="ut" localSheetId="2" hidden="1">{#N/A,"PURCHM",FALSE,"Business Analysis";#N/A,"SPADD",FALSE,"Business Analysis"}</definedName>
    <definedName name="ut" hidden="1">{#N/A,"PURCHM",FALSE,"Business Analysis";#N/A,"SPADD",FALSE,"Business Analysis"}</definedName>
    <definedName name="utilities" localSheetId="2">#REF!</definedName>
    <definedName name="utilities">#REF!</definedName>
    <definedName name="uy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localSheetId="3" hidden="1">{#N/A,"PURCHM",FALSE,"Business Analysis";#N/A,"SPADD",FALSE,"Business Analysis"}</definedName>
    <definedName name="uytr" localSheetId="1" hidden="1">{#N/A,"PURCHM",FALSE,"Business Analysis";#N/A,"SPADD",FALSE,"Business Analysis"}</definedName>
    <definedName name="uytr" localSheetId="2" hidden="1">{#N/A,"PURCHM",FALSE,"Business Analysis";#N/A,"SPADD",FALSE,"Business Analysis"}</definedName>
    <definedName name="uytr" hidden="1">{#N/A,"PURCHM",FALSE,"Business Analysis";#N/A,"SPADD",FALSE,"Business Analysis"}</definedName>
    <definedName name="v">#N/A</definedName>
    <definedName name="vbn" localSheetId="3">광주본사!vbn</definedName>
    <definedName name="vbn" localSheetId="1">화성!vbn</definedName>
    <definedName name="vbn" localSheetId="2">'SND(창신)작성'!vbn</definedName>
    <definedName name="vbn">[0]!vbn</definedName>
    <definedName name="vbnm" localSheetId="3" hidden="1">{"net assets",#N/A,FALSE,"summary";"asset turnover",#N/A,FALSE,"summary";"orona",#N/A,FALSE,"summary"}</definedName>
    <definedName name="vbnm" localSheetId="1" hidden="1">{"net assets",#N/A,FALSE,"summary";"asset turnover",#N/A,FALSE,"summary";"orona",#N/A,FALSE,"summary"}</definedName>
    <definedName name="vbnm" localSheetId="2" hidden="1">{"net assets",#N/A,FALSE,"summary";"asset turnover",#N/A,FALSE,"summary";"orona",#N/A,FALSE,"summary"}</definedName>
    <definedName name="vbnm" hidden="1">{"net assets",#N/A,FALSE,"summary";"asset turnover",#N/A,FALSE,"summary";"orona",#N/A,FALSE,"summary"}</definedName>
    <definedName name="vbvb">#N/A</definedName>
    <definedName name="vc">#N/A</definedName>
    <definedName name="vcvc" localSheetId="3" hidden="1">{"Polymers Details",#N/A,FALSE,"Current Yr";"Polymer Details",#N/A,FALSE,"Budget";"Polymer Details",#N/A,FALSE,"Prior Year"}</definedName>
    <definedName name="vcvc" localSheetId="1" hidden="1">{"Polymers Details",#N/A,FALSE,"Current Yr";"Polymer Details",#N/A,FALSE,"Budget";"Polymer Details",#N/A,FALSE,"Prior Year"}</definedName>
    <definedName name="vcvc" localSheetId="2" hidden="1">{"Polymers Details",#N/A,FALSE,"Current Yr";"Polymer Details",#N/A,FALSE,"Budget";"Polymer Details",#N/A,FALSE,"Prior Year"}</definedName>
    <definedName name="vcvc" hidden="1">{"Polymers Details",#N/A,FALSE,"Current Yr";"Polymer Details",#N/A,FALSE,"Budget";"Polymer Details",#N/A,FALSE,"Prior Year"}</definedName>
    <definedName name="vcxz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olumeEsc" localSheetId="2">[32]MICMULT!#REF!</definedName>
    <definedName name="VolumeEsc">[32]MICMULT!#REF!</definedName>
    <definedName name="vr" localSheetId="3">[7]!SQL.REQUEST(DNI,,,[0]!FORD)/1000</definedName>
    <definedName name="vr" localSheetId="1">[7]!SQL.REQUEST(DNI,,,[0]!FORD)/1000</definedName>
    <definedName name="vr" localSheetId="2">[7]!SQL.REQUEST([0]!DNI,,,'SND(창신)작성'!FORD)/1000</definedName>
    <definedName name="vr">[7]!SQL.REQUEST(DNI,,,[0]!FORD)/1000</definedName>
    <definedName name="vt" localSheetId="3">[7]!SQL.REQUEST(DNI,,,[0]!FORS)/1000</definedName>
    <definedName name="vt" localSheetId="1">[7]!SQL.REQUEST(DNI,,,[0]!FORS)/1000</definedName>
    <definedName name="vt" localSheetId="2">[7]!SQL.REQUEST([0]!DNI,,,'SND(창신)작성'!FORS)/1000</definedName>
    <definedName name="vt">[7]!SQL.REQUEST(DNI,,,[0]!FORS)/1000</definedName>
    <definedName name="vv" localSheetId="3" hidden="1">{#N/A,#N/A,FALSE,"IS US";#N/A,#N/A,FALSE,"BS US";#N/A,#N/A,FALSE,"IS LOCAL";#N/A,#N/A,FALSE,"BS INPUT";#N/A,#N/A,FALSE,"EQUITY";#N/A,#N/A,FALSE,"LOCAL ADJ";#N/A,#N/A,FALSE,"GAAP ADJ"}</definedName>
    <definedName name="vv" localSheetId="1" hidden="1">{#N/A,#N/A,FALSE,"IS US";#N/A,#N/A,FALSE,"BS US";#N/A,#N/A,FALSE,"IS LOCAL";#N/A,#N/A,FALSE,"BS INPUT";#N/A,#N/A,FALSE,"EQUITY";#N/A,#N/A,FALSE,"LOCAL ADJ";#N/A,#N/A,FALSE,"GAAP ADJ"}</definedName>
    <definedName name="vv" localSheetId="2" hidden="1">{#N/A,#N/A,FALSE,"IS US";#N/A,#N/A,FALSE,"BS US";#N/A,#N/A,FALSE,"IS LOCAL";#N/A,#N/A,FALSE,"BS INPUT";#N/A,#N/A,FALSE,"EQUITY";#N/A,#N/A,FALSE,"LOCAL ADJ";#N/A,#N/A,FALSE,"GAAP ADJ"}</definedName>
    <definedName name="vv" hidden="1">{#N/A,#N/A,FALSE,"IS US";#N/A,#N/A,FALSE,"BS US";#N/A,#N/A,FALSE,"IS LOCAL";#N/A,#N/A,FALSE,"BS INPUT";#N/A,#N/A,FALSE,"EQUITY";#N/A,#N/A,FALSE,"LOCAL ADJ";#N/A,#N/A,FALSE,"GAAP ADJ"}</definedName>
    <definedName name="vvvvv" localSheetId="3" hidden="1">{#N/A,#N/A,FALSE,"IS US";#N/A,#N/A,FALSE,"BS US";#N/A,#N/A,FALSE,"IS LOCAL";#N/A,#N/A,FALSE,"BS INPUT";#N/A,#N/A,FALSE,"EQUITY";#N/A,#N/A,FALSE,"LOCAL ADJ";#N/A,#N/A,FALSE,"GAAP ADJ"}</definedName>
    <definedName name="vvvvv" localSheetId="1" hidden="1">{#N/A,#N/A,FALSE,"IS US";#N/A,#N/A,FALSE,"BS US";#N/A,#N/A,FALSE,"IS LOCAL";#N/A,#N/A,FALSE,"BS INPUT";#N/A,#N/A,FALSE,"EQUITY";#N/A,#N/A,FALSE,"LOCAL ADJ";#N/A,#N/A,FALSE,"GAAP ADJ"}</definedName>
    <definedName name="vvvvv" localSheetId="2" hidden="1">{#N/A,#N/A,FALSE,"IS US";#N/A,#N/A,FALSE,"BS US";#N/A,#N/A,FALSE,"IS LOCAL";#N/A,#N/A,FALSE,"BS INPUT";#N/A,#N/A,FALSE,"EQUITY";#N/A,#N/A,FALSE,"LOCAL ADJ";#N/A,#N/A,FALSE,"GAAP ADJ"}</definedName>
    <definedName name="vvvvv" hidden="1">{#N/A,#N/A,FALSE,"IS US";#N/A,#N/A,FALSE,"BS US";#N/A,#N/A,FALSE,"IS LOCAL";#N/A,#N/A,FALSE,"BS INPUT";#N/A,#N/A,FALSE,"EQUITY";#N/A,#N/A,FALSE,"LOCAL ADJ";#N/A,#N/A,FALSE,"GAAP ADJ"}</definedName>
    <definedName name="vvvvvvvvvv" localSheetId="3" hidden="1">{"net assets",#N/A,FALSE,"summary";"asset turnover",#N/A,FALSE,"summary";"orona",#N/A,FALSE,"summary"}</definedName>
    <definedName name="vvvvvvvvvv" localSheetId="1" hidden="1">{"net assets",#N/A,FALSE,"summary";"asset turnover",#N/A,FALSE,"summary";"orona",#N/A,FALSE,"summary"}</definedName>
    <definedName name="vvvvvvvvvv" localSheetId="2" hidden="1">{"net assets",#N/A,FALSE,"summary";"asset turnover",#N/A,FALSE,"summary";"orona",#N/A,FALSE,"summary"}</definedName>
    <definedName name="vvvvvvvvvv" hidden="1">{"net assets",#N/A,FALSE,"summary";"asset turnover",#N/A,FALSE,"summary";"orona",#N/A,FALSE,"summary"}</definedName>
    <definedName name="vz" localSheetId="3" hidden="1">{"detail",#N/A,FALSE,"mfg";"summary",#N/A,FALSE,"mfg"}</definedName>
    <definedName name="vz" localSheetId="1" hidden="1">{"detail",#N/A,FALSE,"mfg";"summary",#N/A,FALSE,"mfg"}</definedName>
    <definedName name="vz" localSheetId="2" hidden="1">{"detail",#N/A,FALSE,"mfg";"summary",#N/A,FALSE,"mfg"}</definedName>
    <definedName name="vz" hidden="1">{"detail",#N/A,FALSE,"mfg";"summary",#N/A,FALSE,"mfg"}</definedName>
    <definedName name="w" localSheetId="3" hidden="1">{#N/A,"PURCHM",FALSE,"Business Analysis";#N/A,"SPADD",FALSE,"Business Analysis"}</definedName>
    <definedName name="w" localSheetId="1" hidden="1">{#N/A,"PURCHM",FALSE,"Business Analysis";#N/A,"SPADD",FALSE,"Business Analysis"}</definedName>
    <definedName name="w" localSheetId="2" hidden="1">{#N/A,"PURCHM",FALSE,"Business Analysis";#N/A,"SPADD",FALSE,"Business Analysis"}</definedName>
    <definedName name="w" hidden="1">{#N/A,"PURCHM",FALSE,"Business Analysis";#N/A,"SPADD",FALSE,"Business Analysis"}</definedName>
    <definedName name="w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localSheetId="1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localSheetId="2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dew" localSheetId="2">'[8]Group Commitments'!#REF!</definedName>
    <definedName name="wdew">'[8]Group Commitments'!#REF!</definedName>
    <definedName name="we">#N/A</definedName>
    <definedName name="wer">#N/A</definedName>
    <definedName name="wer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t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t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F6PriceVar">'[62]NF3&amp;WF6 Pricing Analysis'!$C$55:$U$98</definedName>
    <definedName name="winsalescost">[35]INPUT!$B$28:$Q$28</definedName>
    <definedName name="winsalesvol">[35]INPUT!$B$15:$Q$15</definedName>
    <definedName name="winvarcost">[35]INPUT!$B$29:$Q$29</definedName>
    <definedName name="winvarvol">[35]INPUT!$B$16:$Q$16</definedName>
    <definedName name="Working_Capital" localSheetId="2">[42]BS!#REF!</definedName>
    <definedName name="Working_Capital">[42]BS!#REF!</definedName>
    <definedName name="WRDP" localSheetId="2">#REF!</definedName>
    <definedName name="WRDP">#REF!</definedName>
    <definedName name="wrewrw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all." localSheetId="3" hidden="1">{#N/A,#N/A,FALSE,"Main Spending Input";#N/A,#N/A,FALSE,"Committed";#N/A,#N/A,FALSE,"Support";#N/A,#N/A,FALSE,"Project detail";#N/A,#N/A,FALSE,"Acquisition detail"}</definedName>
    <definedName name="wrn.all." localSheetId="1" hidden="1">{#N/A,#N/A,FALSE,"Main Spending Input";#N/A,#N/A,FALSE,"Committed";#N/A,#N/A,FALSE,"Support";#N/A,#N/A,FALSE,"Project detail";#N/A,#N/A,FALSE,"Acquisition detail"}</definedName>
    <definedName name="wrn.all." localSheetId="2" hidden="1">{#N/A,#N/A,FALSE,"Main Spending Input";#N/A,#N/A,FALSE,"Committed";#N/A,#N/A,FALSE,"Support";#N/A,#N/A,FALSE,"Project detail";#N/A,#N/A,FALSE,"Acquisition detail"}</definedName>
    <definedName name="wrn.all." hidden="1">{#N/A,#N/A,FALSE,"Main Spending Input";#N/A,#N/A,FALSE,"Committed";#N/A,#N/A,FALSE,"Support";#N/A,#N/A,FALSE,"Project detail";#N/A,#N/A,FALSE,"Acquisition detail"}</definedName>
    <definedName name="wrn.all._.3._.years." localSheetId="3" hidden="1">{#N/A,#N/A,FALSE,"Worldwide FY00";#N/A,#N/A,FALSE,"Worldwide FY01";#N/A,#N/A,FALSE,"Worldwide FY02"}</definedName>
    <definedName name="wrn.all._.3._.years." localSheetId="1" hidden="1">{#N/A,#N/A,FALSE,"Worldwide FY00";#N/A,#N/A,FALSE,"Worldwide FY01";#N/A,#N/A,FALSE,"Worldwide FY02"}</definedName>
    <definedName name="wrn.all._.3._.years." localSheetId="2" hidden="1">{#N/A,#N/A,FALSE,"Worldwide FY00";#N/A,#N/A,FALSE,"Worldwide FY01";#N/A,#N/A,FALSE,"Worldwide FY02"}</definedName>
    <definedName name="wrn.all._.3._.years." hidden="1">{#N/A,#N/A,FALSE,"Worldwide FY00";#N/A,#N/A,FALSE,"Worldwide FY01";#N/A,#N/A,FALSE,"Worldwide FY02"}</definedName>
    <definedName name="wrn.all._.slides." localSheetId="3" hidden="1">{#N/A,#N/A,FALSE,"Trends";#N/A,#N/A,FALSE,"As Reported";#N/A,#N/A,FALSE,"(un) Commited"}</definedName>
    <definedName name="wrn.all._.slides." localSheetId="1" hidden="1">{#N/A,#N/A,FALSE,"Trends";#N/A,#N/A,FALSE,"As Reported";#N/A,#N/A,FALSE,"(un) Commited"}</definedName>
    <definedName name="wrn.all._.slides." localSheetId="2" hidden="1">{#N/A,#N/A,FALSE,"Trends";#N/A,#N/A,FALSE,"As Reported";#N/A,#N/A,FALSE,"(un) Commited"}</definedName>
    <definedName name="wrn.all._.slides." hidden="1">{#N/A,#N/A,FALSE,"Trends";#N/A,#N/A,FALSE,"As Reported";#N/A,#N/A,FALSE,"(un) Commited"}</definedName>
    <definedName name="wrn.all._.views." localSheetId="3" hidden="1">{"vol data",#N/A,FALSE,"Datasheet";"vol graph",#N/A,FALSE,"Volume";"price data",#N/A,FALSE,"Datasheet";"price graph",#N/A,FALSE,"Price";"dp data",#N/A,FALSE,"Datasheet";"dp graph",#N/A,FALSE,"DirectProfit"}</definedName>
    <definedName name="wrn.all._.views." localSheetId="1" hidden="1">{"vol data",#N/A,FALSE,"Datasheet";"vol graph",#N/A,FALSE,"Volume";"price data",#N/A,FALSE,"Datasheet";"price graph",#N/A,FALSE,"Price";"dp data",#N/A,FALSE,"Datasheet";"dp graph",#N/A,FALSE,"DirectProfit"}</definedName>
    <definedName name="wrn.all._.views." localSheetId="2" hidden="1">{"vol data",#N/A,FALSE,"Datasheet";"vol graph",#N/A,FALSE,"Volume";"price data",#N/A,FALSE,"Datasheet";"price graph",#N/A,FALSE,"Price";"dp data",#N/A,FALSE,"Datasheet";"dp graph",#N/A,FALSE,"DirectProfit"}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PCT." localSheetId="3" hidden="1">{"Page1",#N/A,FALSE,"APCT";"Page2",#N/A,FALSE,"APCT"}</definedName>
    <definedName name="wrn.APCT." localSheetId="1" hidden="1">{"Page1",#N/A,FALSE,"APCT";"Page2",#N/A,FALSE,"APCT"}</definedName>
    <definedName name="wrn.APCT." localSheetId="2" hidden="1">{"Page1",#N/A,FALSE,"APCT";"Page2",#N/A,FALSE,"APCT"}</definedName>
    <definedName name="wrn.APCT." hidden="1">{"Page1",#N/A,FALSE,"APCT";"Page2",#N/A,FALSE,"APCT"}</definedName>
    <definedName name="wrn.APL." localSheetId="3" hidden="1">{"Page1",#N/A,FALSE,"APL";"Page2",#N/A,FALSE,"APL"}</definedName>
    <definedName name="wrn.APL." localSheetId="1" hidden="1">{"Page1",#N/A,FALSE,"APL";"Page2",#N/A,FALSE,"APL"}</definedName>
    <definedName name="wrn.APL." localSheetId="2" hidden="1">{"Page1",#N/A,FALSE,"APL";"Page2",#N/A,FALSE,"APL"}</definedName>
    <definedName name="wrn.APL." hidden="1">{"Page1",#N/A,FALSE,"APL";"Page2",#N/A,FALSE,"APL"}</definedName>
    <definedName name="wrn.betz." localSheetId="3" hidden="1">{"net assets",#N/A,FALSE,"summary";"asset turnover",#N/A,FALSE,"summary";"orona",#N/A,FALSE,"summary"}</definedName>
    <definedName name="wrn.betz." localSheetId="1" hidden="1">{"net assets",#N/A,FALSE,"summary";"asset turnover",#N/A,FALSE,"summary";"orona",#N/A,FALSE,"summary"}</definedName>
    <definedName name="wrn.betz." localSheetId="2" hidden="1">{"net assets",#N/A,FALSE,"summary";"asset turnover",#N/A,FALSE,"summary";"orona",#N/A,FALSE,"summary"}</definedName>
    <definedName name="wrn.betz." hidden="1">{"net assets",#N/A,FALSE,"summary";"asset turnover",#N/A,FALSE,"summary";"orona",#N/A,FALSE,"summary"}</definedName>
    <definedName name="wrn.Both." localSheetId="3" hidden="1">{"detail",#N/A,FALSE,"mfg";"summary",#N/A,FALSE,"mfg"}</definedName>
    <definedName name="wrn.Both." localSheetId="1" hidden="1">{"detail",#N/A,FALSE,"mfg";"summary",#N/A,FALSE,"mfg"}</definedName>
    <definedName name="wrn.Both." localSheetId="2" hidden="1">{"detail",#N/A,FALSE,"mfg";"summary",#N/A,FALSE,"mfg"}</definedName>
    <definedName name="wrn.Both." hidden="1">{"detail",#N/A,FALSE,"mfg";"summary",#N/A,FALSE,"mfg"}</definedName>
    <definedName name="wrn.both1" localSheetId="3" hidden="1">{"detail",#N/A,FALSE,"mfg";"summary",#N/A,FALSE,"mfg"}</definedName>
    <definedName name="wrn.both1" localSheetId="1" hidden="1">{"detail",#N/A,FALSE,"mfg";"summary",#N/A,FALSE,"mfg"}</definedName>
    <definedName name="wrn.both1" localSheetId="2" hidden="1">{"detail",#N/A,FALSE,"mfg";"summary",#N/A,FALSE,"mfg"}</definedName>
    <definedName name="wrn.both1" hidden="1">{"detail",#N/A,FALSE,"mfg";"summary",#N/A,FALSE,"mfg"}</definedName>
    <definedName name="wrn.BROCHURE." localSheetId="3" hidden="1">{"ACT",#N/A,FALSE,"Q3Elec P&amp;L fy 99  ";"BUD",#N/A,FALSE,"Q3Elec P&amp;L fy 99  ";"PRIOR",#N/A,FALSE,"Q3Elec P&amp;L fy 99  "}</definedName>
    <definedName name="wrn.BROCHURE." localSheetId="1" hidden="1">{"ACT",#N/A,FALSE,"Q3Elec P&amp;L fy 99  ";"BUD",#N/A,FALSE,"Q3Elec P&amp;L fy 99  ";"PRIOR",#N/A,FALSE,"Q3Elec P&amp;L fy 99  "}</definedName>
    <definedName name="wrn.BROCHURE." localSheetId="2" hidden="1">{"ACT",#N/A,FALSE,"Q3Elec P&amp;L fy 99  ";"BUD",#N/A,FALSE,"Q3Elec P&amp;L fy 99  ";"PRIOR",#N/A,FALSE,"Q3Elec P&amp;L fy 99  "}</definedName>
    <definedName name="wrn.BROCHURE." hidden="1">{"ACT",#N/A,FALSE,"Q3Elec P&amp;L fy 99  ";"BUD",#N/A,FALSE,"Q3Elec P&amp;L fy 99  ";"PRIOR",#N/A,FALSE,"Q3Elec P&amp;L fy 99  "}</definedName>
    <definedName name="wrn.BROCHYTD." localSheetId="3" hidden="1">{"YTDACT",#N/A,FALSE,"YTD Cum";"YTDBUD",#N/A,FALSE,"YTD Cum";"YTDPRIOR",#N/A,FALSE,"YTD Cum"}</definedName>
    <definedName name="wrn.BROCHYTD." localSheetId="1" hidden="1">{"YTDACT",#N/A,FALSE,"YTD Cum";"YTDBUD",#N/A,FALSE,"YTD Cum";"YTDPRIOR",#N/A,FALSE,"YTD Cum"}</definedName>
    <definedName name="wrn.BROCHYTD." localSheetId="2" hidden="1">{"YTDACT",#N/A,FALSE,"YTD Cum";"YTDBUD",#N/A,FALSE,"YTD Cum";"YTDPRIOR",#N/A,FALSE,"YTD Cum"}</definedName>
    <definedName name="wrn.BROCHYTD." hidden="1">{"YTDACT",#N/A,FALSE,"YTD Cum";"YTDBUD",#N/A,FALSE,"YTD Cum";"YTDPRIOR",#N/A,FALSE,"YTD Cum"}</definedName>
    <definedName name="wrn.CEC._.slides." localSheetId="3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localSheetId="1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localSheetId="2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M_ALL." localSheetId="3" hidden="1">{"LAPO2N2",#N/A,FALSE,"CM";"TOTTEXAS",#N/A,FALSE,"CM";"LOUISIANA",#N/A,FALSE,"CM";"GENERALH2",#N/A,FALSE,"CM";"PRS",#N/A,FALSE,"CM";"PACKAGE",#N/A,FALSE,"CM";"OTHER",#N/A,FALSE,"CM"}</definedName>
    <definedName name="wrn.CM_ALL." localSheetId="1" hidden="1">{"LAPO2N2",#N/A,FALSE,"CM";"TOTTEXAS",#N/A,FALSE,"CM";"LOUISIANA",#N/A,FALSE,"CM";"GENERALH2",#N/A,FALSE,"CM";"PRS",#N/A,FALSE,"CM";"PACKAGE",#N/A,FALSE,"CM";"OTHER",#N/A,FALSE,"CM"}</definedName>
    <definedName name="wrn.CM_ALL." localSheetId="2" hidden="1">{"LAPO2N2",#N/A,FALSE,"CM";"TOTTEXAS",#N/A,FALSE,"CM";"LOUISIANA",#N/A,FALSE,"CM";"GENERALH2",#N/A,FALSE,"CM";"PRS",#N/A,FALSE,"CM";"PACKAGE",#N/A,FALSE,"CM";"OTHER",#N/A,FALSE,"CM"}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localSheetId="3" hidden="1">{"GENERALH2",#N/A,FALSE,"CM"}</definedName>
    <definedName name="wrn.CM_GENERALH2." localSheetId="1" hidden="1">{"GENERALH2",#N/A,FALSE,"CM"}</definedName>
    <definedName name="wrn.CM_GENERALH2." localSheetId="2" hidden="1">{"GENERALH2",#N/A,FALSE,"CM"}</definedName>
    <definedName name="wrn.CM_GENERALH2." hidden="1">{"GENERALH2",#N/A,FALSE,"CM"}</definedName>
    <definedName name="wrn.CM_LAPORTE_O2N2." localSheetId="3" hidden="1">{"LAPO2N2",#N/A,FALSE,"CM"}</definedName>
    <definedName name="wrn.CM_LAPORTE_O2N2." localSheetId="1" hidden="1">{"LAPO2N2",#N/A,FALSE,"CM"}</definedName>
    <definedName name="wrn.CM_LAPORTE_O2N2." localSheetId="2" hidden="1">{"LAPO2N2",#N/A,FALSE,"CM"}</definedName>
    <definedName name="wrn.CM_LAPORTE_O2N2." hidden="1">{"LAPO2N2",#N/A,FALSE,"CM"}</definedName>
    <definedName name="wrn.CM_LOUISIANA." localSheetId="3" hidden="1">{"LOUISIANA",#N/A,FALSE,"CM"}</definedName>
    <definedName name="wrn.CM_LOUISIANA." localSheetId="1" hidden="1">{"LOUISIANA",#N/A,FALSE,"CM"}</definedName>
    <definedName name="wrn.CM_LOUISIANA." localSheetId="2" hidden="1">{"LOUISIANA",#N/A,FALSE,"CM"}</definedName>
    <definedName name="wrn.CM_LOUISIANA." hidden="1">{"LOUISIANA",#N/A,FALSE,"CM"}</definedName>
    <definedName name="wrn.CM_OTHER." localSheetId="3" hidden="1">{"OTHER",#N/A,FALSE,"CM"}</definedName>
    <definedName name="wrn.CM_OTHER." localSheetId="1" hidden="1">{"OTHER",#N/A,FALSE,"CM"}</definedName>
    <definedName name="wrn.CM_OTHER." localSheetId="2" hidden="1">{"OTHER",#N/A,FALSE,"CM"}</definedName>
    <definedName name="wrn.CM_OTHER." hidden="1">{"OTHER",#N/A,FALSE,"CM"}</definedName>
    <definedName name="wrn.CM_PACKAGE." localSheetId="3" hidden="1">{"PACKAGE",#N/A,FALSE,"CM"}</definedName>
    <definedName name="wrn.CM_PACKAGE." localSheetId="1" hidden="1">{"PACKAGE",#N/A,FALSE,"CM"}</definedName>
    <definedName name="wrn.CM_PACKAGE." localSheetId="2" hidden="1">{"PACKAGE",#N/A,FALSE,"CM"}</definedName>
    <definedName name="wrn.CM_PACKAGE." hidden="1">{"PACKAGE",#N/A,FALSE,"CM"}</definedName>
    <definedName name="wrn.CM_PRS." localSheetId="3" hidden="1">{"PRS",#N/A,FALSE,"CM"}</definedName>
    <definedName name="wrn.CM_PRS." localSheetId="1" hidden="1">{"PRS",#N/A,FALSE,"CM"}</definedName>
    <definedName name="wrn.CM_PRS." localSheetId="2" hidden="1">{"PRS",#N/A,FALSE,"CM"}</definedName>
    <definedName name="wrn.CM_PRS." hidden="1">{"PRS",#N/A,FALSE,"CM"}</definedName>
    <definedName name="wrn.CM_TEXAS._.HYCO." localSheetId="3" hidden="1">{"TOTTEXAS",#N/A,FALSE,"CM"}</definedName>
    <definedName name="wrn.CM_TEXAS._.HYCO." localSheetId="1" hidden="1">{"TOTTEXAS",#N/A,FALSE,"CM"}</definedName>
    <definedName name="wrn.CM_TEXAS._.HYCO." localSheetId="2" hidden="1">{"TOTTEXAS",#N/A,FALSE,"CM"}</definedName>
    <definedName name="wrn.CM_TEXAS._.HYCO." hidden="1">{"TOTTEXAS",#N/A,FALSE,"CM"}</definedName>
    <definedName name="wrn.CMVsBud." localSheetId="3" hidden="1">{"Page1",#N/A,FALSE,"OpExJanvsBud";"Page2",#N/A,FALSE,"OpExJanvsBud"}</definedName>
    <definedName name="wrn.CMVsBud." localSheetId="1" hidden="1">{"Page1",#N/A,FALSE,"OpExJanvsBud";"Page2",#N/A,FALSE,"OpExJanvsBud"}</definedName>
    <definedName name="wrn.CMVsBud." localSheetId="2" hidden="1">{"Page1",#N/A,FALSE,"OpExJanvsBud";"Page2",#N/A,FALSE,"OpExJanvsBud"}</definedName>
    <definedName name="wrn.CMVsBud." hidden="1">{"Page1",#N/A,FALSE,"OpExJanvsBud";"Page2",#N/A,FALSE,"OpExJanvsBud"}</definedName>
    <definedName name="wrn.CMVsPY." localSheetId="3" hidden="1">{"Page 1",#N/A,FALSE,"OpExJanVsPY";"Page 2",#N/A,FALSE,"OpExJanVsPY"}</definedName>
    <definedName name="wrn.CMVsPY." localSheetId="1" hidden="1">{"Page 1",#N/A,FALSE,"OpExJanVsPY";"Page 2",#N/A,FALSE,"OpExJanVsPY"}</definedName>
    <definedName name="wrn.CMVsPY." localSheetId="2" hidden="1">{"Page 1",#N/A,FALSE,"OpExJanVsPY";"Page 2",#N/A,FALSE,"OpExJanVsPY"}</definedName>
    <definedName name="wrn.CMVsPY." hidden="1">{"Page 1",#N/A,FALSE,"OpExJanVsPY";"Page 2",#N/A,FALSE,"OpExJanVsPY"}</definedName>
    <definedName name="wrn.competitor._.analysis.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localSheetId="1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localSheetId="2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S." localSheetId="3" hidden="1">{"PAGE 1",#N/A,FALSE,"COS";"PAGE 2",#N/A,FALSE,"COS";"PAGE 3",#N/A,FALSE,"COS"}</definedName>
    <definedName name="wrn.COS." localSheetId="1" hidden="1">{"PAGE 1",#N/A,FALSE,"COS";"PAGE 2",#N/A,FALSE,"COS";"PAGE 3",#N/A,FALSE,"COS"}</definedName>
    <definedName name="wrn.COS." localSheetId="2" hidden="1">{"PAGE 1",#N/A,FALSE,"COS";"PAGE 2",#N/A,FALSE,"COS";"PAGE 3",#N/A,FALSE,"COS"}</definedName>
    <definedName name="wrn.COS." hidden="1">{"PAGE 1",#N/A,FALSE,"COS";"PAGE 2",#N/A,FALSE,"COS";"PAGE 3",#N/A,FALSE,"COS"}</definedName>
    <definedName name="wrn.COS._.EX._.GEISMAR." localSheetId="3" hidden="1">{"PAGE 1",#N/A,FALSE,"COS Excluding Geismar";"PAGE 2",#N/A,FALSE,"COS Excluding Geismar";"PAGE 3",#N/A,FALSE,"COS Excluding Geismar"}</definedName>
    <definedName name="wrn.COS._.EX._.GEISMAR." localSheetId="1" hidden="1">{"PAGE 1",#N/A,FALSE,"COS Excluding Geismar";"PAGE 2",#N/A,FALSE,"COS Excluding Geismar";"PAGE 3",#N/A,FALSE,"COS Excluding Geismar"}</definedName>
    <definedName name="wrn.COS._.EX._.GEISMAR." localSheetId="2" hidden="1">{"PAGE 1",#N/A,FALSE,"COS Excluding Geismar";"PAGE 2",#N/A,FALSE,"COS Excluding Geismar";"PAGE 3",#N/A,FALSE,"COS Excluding Geismar"}</definedName>
    <definedName name="wrn.COS._.EX._.GEISMAR." hidden="1">{"PAGE 1",#N/A,FALSE,"COS Excluding Geismar";"PAGE 2",#N/A,FALSE,"COS Excluding Geismar";"PAGE 3",#N/A,FALSE,"COS Excluding Geismar"}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urrent._.Month._.Current._.Yr._.Only." localSheetId="3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localSheetId="1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localSheetId="2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data.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" localSheetId="1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" localSheetId="2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EES_BUD_ACT_PY.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localSheetId="1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localSheetId="2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localSheetId="1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localSheetId="2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localSheetId="1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localSheetId="2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ntitiesWithReclasses." localSheetId="3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localSheetId="1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localSheetId="2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ICD." localSheetId="3" hidden="1">{"ICD Details",#N/A,FALSE,"Current Yr";"ICD Details",#N/A,FALSE,"Budget";"ICD Details",#N/A,FALSE,"Prior Year"}</definedName>
    <definedName name="wrn.ICD." localSheetId="1" hidden="1">{"ICD Details",#N/A,FALSE,"Current Yr";"ICD Details",#N/A,FALSE,"Budget";"ICD Details",#N/A,FALSE,"Prior Year"}</definedName>
    <definedName name="wrn.ICD." localSheetId="2" hidden="1">{"ICD Details",#N/A,FALSE,"Current Yr";"ICD Details",#N/A,FALSE,"Budget";"ICD Details",#N/A,FALSE,"Prior Year"}</definedName>
    <definedName name="wrn.ICD." hidden="1">{"ICD Details",#N/A,FALSE,"Current Yr";"ICD Details",#N/A,FALSE,"Budget";"ICD Details",#N/A,FALSE,"Prior Year"}</definedName>
    <definedName name="wrn.incomestmt." localSheetId="3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localSheetId="1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localSheetId="2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SRAEL." localSheetId="3" hidden="1">{#N/A,#N/A,FALSE,"TECH CENTRE RXDU66";#N/A,#N/A,FALSE,"ASU VAAX66";#N/A,#N/A,FALSE,"TCM VAKX66"}</definedName>
    <definedName name="wrn.ISRAEL." localSheetId="1" hidden="1">{#N/A,#N/A,FALSE,"TECH CENTRE RXDU66";#N/A,#N/A,FALSE,"ASU VAAX66";#N/A,#N/A,FALSE,"TCM VAKX66"}</definedName>
    <definedName name="wrn.ISRAEL." localSheetId="2" hidden="1">{#N/A,#N/A,FALSE,"TECH CENTRE RXDU66";#N/A,#N/A,FALSE,"ASU VAAX66";#N/A,#N/A,FALSE,"TCM VAKX66"}</definedName>
    <definedName name="wrn.ISRAEL." hidden="1">{#N/A,#N/A,FALSE,"TECH CENTRE RXDU66";#N/A,#N/A,FALSE,"ASU VAAX66";#N/A,#N/A,FALSE,"TCM VAKX66"}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PNL." localSheetId="3" hidden="1">{"LPNL1",#N/A,FALSE,"EntitiesWithReclasses";"LPNL2",#N/A,FALSE,"EntitiesWithReclasses";"LPNL3",#N/A,FALSE,"EntitiesWithReclasses"}</definedName>
    <definedName name="wrn.LPNL." localSheetId="1" hidden="1">{"LPNL1",#N/A,FALSE,"EntitiesWithReclasses";"LPNL2",#N/A,FALSE,"EntitiesWithReclasses";"LPNL3",#N/A,FALSE,"EntitiesWithReclasses"}</definedName>
    <definedName name="wrn.LPNL." localSheetId="2" hidden="1">{"LPNL1",#N/A,FALSE,"EntitiesWithReclasses";"LPNL2",#N/A,FALSE,"EntitiesWithReclasses";"LPNL3",#N/A,FALSE,"EntitiesWithReclasses"}</definedName>
    <definedName name="wrn.LPNL." hidden="1">{"LPNL1",#N/A,FALSE,"EntitiesWithReclasses";"LPNL2",#N/A,FALSE,"EntitiesWithReclasses";"LPNL3",#N/A,FALSE,"EntitiesWithReclasses"}</definedName>
    <definedName name="wrn.MF._.commentary._.on._.variance." localSheetId="3" hidden="1">{"Commentary",#N/A,FALSE,"May"}</definedName>
    <definedName name="wrn.MF._.commentary._.on._.variance." localSheetId="1" hidden="1">{"Commentary",#N/A,FALSE,"May"}</definedName>
    <definedName name="wrn.MF._.commentary._.on._.variance." localSheetId="2" hidden="1">{"Commentary",#N/A,FALSE,"May"}</definedName>
    <definedName name="wrn.MF._.commentary._.on._.variance." hidden="1">{"Commentary",#N/A,FALSE,"May"}</definedName>
    <definedName name="wrn.MF._.with._.BA._.detail." localSheetId="3" hidden="1">{"BA detail",#N/A,FALSE,"Q3YTD "}</definedName>
    <definedName name="wrn.MF._.with._.BA._.detail." localSheetId="1" hidden="1">{"BA detail",#N/A,FALSE,"Q3YTD "}</definedName>
    <definedName name="wrn.MF._.with._.BA._.detail." localSheetId="2" hidden="1">{"BA detail",#N/A,FALSE,"Q3YTD "}</definedName>
    <definedName name="wrn.MF._.with._.BA._.detail." hidden="1">{"BA detail",#N/A,FALSE,"Q3YTD "}</definedName>
    <definedName name="wrn.MTHLYGP.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localSheetId="1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localSheetId="2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localSheetId="3" hidden="1">{"TXO2N2_SLS",#N/A,FALSE,"MTHLYSLES";"TXH2_SLS",#N/A,FALSE,"MTHLYSLES";"LOUIS_SLS",#N/A,FALSE,"MTHLYSLES";"H2_SLS",#N/A,FALSE,"MTHLYSLES";"O2N2_SLS",#N/A,FALSE,"MTHLYSLES";"PACKAGE_SLS",#N/A,FALSE,"MTHLYSLES"}</definedName>
    <definedName name="wrn.MTHLYSLES." localSheetId="1" hidden="1">{"TXO2N2_SLS",#N/A,FALSE,"MTHLYSLES";"TXH2_SLS",#N/A,FALSE,"MTHLYSLES";"LOUIS_SLS",#N/A,FALSE,"MTHLYSLES";"H2_SLS",#N/A,FALSE,"MTHLYSLES";"O2N2_SLS",#N/A,FALSE,"MTHLYSLES";"PACKAGE_SLS",#N/A,FALSE,"MTHLYSLES"}</definedName>
    <definedName name="wrn.MTHLYSLES." localSheetId="2" hidden="1">{"TXO2N2_SLS",#N/A,FALSE,"MTHLYSLES";"TXH2_SLS",#N/A,FALSE,"MTHLYSLES";"LOUIS_SLS",#N/A,FALSE,"MTHLYSLES";"H2_SLS",#N/A,FALSE,"MTHLYSLES";"O2N2_SLS",#N/A,FALSE,"MTHLYSLES";"PACKAGE_SLS",#N/A,FALSE,"MTHLYSLES"}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localSheetId="3" hidden="1">{"TEXO2N2_VOL",#N/A,FALSE,"MTHLYVOL";"TEXH2_VOL",#N/A,FALSE,"MTHLYVOL";"LOUIS_VOL",#N/A,FALSE,"MTHLYVOL";"H2_VOL",#N/A,FALSE,"MTHLYVOL";"O2N2_VOL",#N/A,FALSE,"MTHLYVOL";"PACKAGE_VOL",#N/A,FALSE,"MTHLYVOL"}</definedName>
    <definedName name="wrn.MTHYLYVOL." localSheetId="1" hidden="1">{"TEXO2N2_VOL",#N/A,FALSE,"MTHLYVOL";"TEXH2_VOL",#N/A,FALSE,"MTHLYVOL";"LOUIS_VOL",#N/A,FALSE,"MTHLYVOL";"H2_VOL",#N/A,FALSE,"MTHLYVOL";"O2N2_VOL",#N/A,FALSE,"MTHLYVOL";"PACKAGE_VOL",#N/A,FALSE,"MTHLYVOL"}</definedName>
    <definedName name="wrn.MTHYLYVOL." localSheetId="2" hidden="1">{"TEXO2N2_VOL",#N/A,FALSE,"MTHLYVOL";"TEXH2_VOL",#N/A,FALSE,"MTHLYVOL";"LOUIS_VOL",#N/A,FALSE,"MTHLYVOL";"H2_VOL",#N/A,FALSE,"MTHLYVOL";"O2N2_VOL",#N/A,FALSE,"MTHLYVOL";"PACKAGE_VOL",#N/A,FALSE,"MTHLYVOL"}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NewRept.xls." localSheetId="3" hidden="1">{#N/A,#N/A,TRUE,"Sheet1";#N/A,#N/A,TRUE,"Sheet2";#N/A,#N/A,TRUE,"Sheet3";#N/A,#N/A,TRUE,"Sheet4";#N/A,#N/A,TRUE,"Sheet5";#N/A,#N/A,TRUE,"Sheet6";#N/A,#N/A,TRUE,"Sheet7"}</definedName>
    <definedName name="wrn.NewRept.xls." localSheetId="1" hidden="1">{#N/A,#N/A,TRUE,"Sheet1";#N/A,#N/A,TRUE,"Sheet2";#N/A,#N/A,TRUE,"Sheet3";#N/A,#N/A,TRUE,"Sheet4";#N/A,#N/A,TRUE,"Sheet5";#N/A,#N/A,TRUE,"Sheet6";#N/A,#N/A,TRUE,"Sheet7"}</definedName>
    <definedName name="wrn.NewRept.xls." localSheetId="2" hidden="1">{#N/A,#N/A,TRUE,"Sheet1";#N/A,#N/A,TRUE,"Sheet2";#N/A,#N/A,TRUE,"Sheet3";#N/A,#N/A,TRUE,"Sheet4";#N/A,#N/A,TRUE,"Sheet5";#N/A,#N/A,TRUE,"Sheet6";#N/A,#N/A,TRUE,"Sheet7"}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oct_res_comm." localSheetId="3" hidden="1">{"oct_res_comm",#N/A,FALSE,"VarToBud"}</definedName>
    <definedName name="wrn.oct_res_comm." localSheetId="1" hidden="1">{"oct_res_comm",#N/A,FALSE,"VarToBud"}</definedName>
    <definedName name="wrn.oct_res_comm." localSheetId="2" hidden="1">{"oct_res_comm",#N/A,FALSE,"VarToBud"}</definedName>
    <definedName name="wrn.oct_res_comm." hidden="1">{"oct_res_comm",#N/A,FALSE,"VarToBud"}</definedName>
    <definedName name="wrn.PandLs." localSheetId="3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localSheetId="1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localSheetId="2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BIT_DEV.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localSheetId="3" hidden="1">{"Performance Details",#N/A,FALSE,"Current Yr";"Performance Details",#N/A,FALSE,"Budget";"Performance Details",#N/A,FALSE,"Prior Year"}</definedName>
    <definedName name="wrn.Performance." localSheetId="1" hidden="1">{"Performance Details",#N/A,FALSE,"Current Yr";"Performance Details",#N/A,FALSE,"Budget";"Performance Details",#N/A,FALSE,"Prior Year"}</definedName>
    <definedName name="wrn.Performance." localSheetId="2" hidden="1">{"Performance Details",#N/A,FALSE,"Current Yr";"Performance Details",#N/A,FALSE,"Budget";"Performance Details",#N/A,FALSE,"Prior Year"}</definedName>
    <definedName name="wrn.Performance." hidden="1">{"Performance Details",#N/A,FALSE,"Current Yr";"Performance Details",#N/A,FALSE,"Budget";"Performance Details",#N/A,FALSE,"Prior Year"}</definedName>
    <definedName name="wrn.Polymers." localSheetId="3" hidden="1">{"Polymers Details",#N/A,FALSE,"Current Yr";"Polymer Details",#N/A,FALSE,"Budget";"Polymer Details",#N/A,FALSE,"Prior Year"}</definedName>
    <definedName name="wrn.Polymers." localSheetId="1" hidden="1">{"Polymers Details",#N/A,FALSE,"Current Yr";"Polymer Details",#N/A,FALSE,"Budget";"Polymer Details",#N/A,FALSE,"Prior Year"}</definedName>
    <definedName name="wrn.Polymers." localSheetId="2" hidden="1">{"Polymers Details",#N/A,FALSE,"Current Yr";"Polymer Details",#N/A,FALSE,"Budget";"Polymer Details",#N/A,FALSE,"Prior Year"}</definedName>
    <definedName name="wrn.Polymers." hidden="1">{"Polymers Details",#N/A,FALSE,"Current Yr";"Polymer Details",#N/A,FALSE,"Budget";"Polymer Details",#N/A,FALSE,"Prior Year"}</definedName>
    <definedName name="wrn.Presentation.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" localSheetId="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" localSheetId="2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localSheetId="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localSheetId="2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ce_Effect." localSheetId="3" hidden="1">{"Comp_of_Price_Effect",#N/A,FALSE,"QTRDPVAR"}</definedName>
    <definedName name="wrn.Price_Effect." localSheetId="1" hidden="1">{"Comp_of_Price_Effect",#N/A,FALSE,"QTRDPVAR"}</definedName>
    <definedName name="wrn.Price_Effect." localSheetId="2" hidden="1">{"Comp_of_Price_Effect",#N/A,FALSE,"QTRDPVAR"}</definedName>
    <definedName name="wrn.Price_Effect." hidden="1">{"Comp_of_Price_Effect",#N/A,FALSE,"QTRDPVAR"}</definedName>
    <definedName name="wrn.PRINT." localSheetId="3" hidden="1">{"AS REP",#N/A,FALSE,"EEFSNAP2";"PROP",#N/A,FALSE,"EEFSNAP2";"RISKS",#N/A,FALSE,"EEFSNAP2";"VIEW ALL",#N/A,FALSE,"EEFSNAP2"}</definedName>
    <definedName name="wrn.PRINT." localSheetId="1" hidden="1">{"AS REP",#N/A,FALSE,"EEFSNAP2";"PROP",#N/A,FALSE,"EEFSNAP2";"RISKS",#N/A,FALSE,"EEFSNAP2";"VIEW ALL",#N/A,FALSE,"EEFSNAP2"}</definedName>
    <definedName name="wrn.PRINT." localSheetId="2" hidden="1">{"AS REP",#N/A,FALSE,"EEFSNAP2";"PROP",#N/A,FALSE,"EEFSNAP2";"RISKS",#N/A,FALSE,"EEFSNAP2";"VIEW ALL",#N/A,FALSE,"EEFSNAP2"}</definedName>
    <definedName name="wrn.PRINT." hidden="1">{"AS REP",#N/A,FALSE,"EEFSNAP2";"PROP",#N/A,FALSE,"EEFSNAP2";"RISKS",#N/A,FALSE,"EEFSNAP2";"VIEW ALL",#N/A,FALSE,"EEFSNAP2"}</definedName>
    <definedName name="wrn.Printall." localSheetId="3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all." localSheetId="1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all." localSheetId="2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all.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ofile." localSheetId="3" hidden="1">{"Profile",#N/A,FALSE,"BXS"}</definedName>
    <definedName name="wrn.Profile." localSheetId="1" hidden="1">{"Profile",#N/A,FALSE,"BXS"}</definedName>
    <definedName name="wrn.Profile." localSheetId="2" hidden="1">{"Profile",#N/A,FALSE,"BXS"}</definedName>
    <definedName name="wrn.Profile." hidden="1">{"Profile",#N/A,FALSE,"BXS"}</definedName>
    <definedName name="wrn.Project._.Summary." localSheetId="3" hidden="1">{"Summary",#N/A,FALSE,"MICMULT";"Income Statement",#N/A,FALSE,"MICMULT";"Cash Flows",#N/A,FALSE,"MICMULT"}</definedName>
    <definedName name="wrn.Project._.Summary." localSheetId="1" hidden="1">{"Summary",#N/A,FALSE,"MICMULT";"Income Statement",#N/A,FALSE,"MICMULT";"Cash Flows",#N/A,FALSE,"MICMULT"}</definedName>
    <definedName name="wrn.Project._.Summary." localSheetId="2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UCSPADD." localSheetId="3" hidden="1">{#N/A,"PURCHM",FALSE,"Business Analysis";#N/A,"SPADD",FALSE,"Business Analysis"}</definedName>
    <definedName name="wrn.PUCSPADD." localSheetId="1" hidden="1">{#N/A,"PURCHM",FALSE,"Business Analysis";#N/A,"SPADD",FALSE,"Business Analysis"}</definedName>
    <definedName name="wrn.PUCSPADD." localSheetId="2" hidden="1">{#N/A,"PURCHM",FALSE,"Business Analysis";#N/A,"SPADD",FALSE,"Business Analysis"}</definedName>
    <definedName name="wrn.PUCSPADD." hidden="1">{#N/A,"PURCHM",FALSE,"Business Analysis";#N/A,"SPADD",FALSE,"Business Analysis"}</definedName>
    <definedName name="wrn.pucspadd1" localSheetId="3" hidden="1">{#N/A,"PURCHM",FALSE,"Business Analysis";#N/A,"SPADD",FALSE,"Business Analysis"}</definedName>
    <definedName name="wrn.pucspadd1" localSheetId="1" hidden="1">{#N/A,"PURCHM",FALSE,"Business Analysis";#N/A,"SPADD",FALSE,"Business Analysis"}</definedName>
    <definedName name="wrn.pucspadd1" localSheetId="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QTD_ALL.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rn.QTD_ALL." localSheetId="1" hidden="1">{"QTD_LPO2N2",#N/A,FALSE,"QTD";"QTD_HYCO",#N/A,FALSE,"QTD";"QTD_LOUISIANA",#N/A,FALSE,"QTD";"QTD_GENERALH2",#N/A,FALSE,"QTD";"QTD_PACKAGE",#N/A,FALSE,"QTD";"QTD_PRS",#N/A,FALSE,"QTD";"QTD_OTHER",#N/A,FALSE,"QTD"}</definedName>
    <definedName name="wrn.QTD_ALL." localSheetId="2" hidden="1">{"QTD_LPO2N2",#N/A,FALSE,"QTD";"QTD_HYCO",#N/A,FALSE,"QTD";"QTD_LOUISIANA",#N/A,FALSE,"QTD";"QTD_GENERALH2",#N/A,FALSE,"QTD";"QTD_PACKAGE",#N/A,FALSE,"QTD";"QTD_PRS",#N/A,FALSE,"QTD";"QTD_OTHER",#N/A,FALSE,"QTD"}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localSheetId="3" hidden="1">{"QTD_GENERALH2",#N/A,FALSE,"QTD"}</definedName>
    <definedName name="wrn.QTD_GENERAL._.H2." localSheetId="1" hidden="1">{"QTD_GENERALH2",#N/A,FALSE,"QTD"}</definedName>
    <definedName name="wrn.QTD_GENERAL._.H2." localSheetId="2" hidden="1">{"QTD_GENERALH2",#N/A,FALSE,"QTD"}</definedName>
    <definedName name="wrn.QTD_GENERAL._.H2." hidden="1">{"QTD_GENERALH2",#N/A,FALSE,"QTD"}</definedName>
    <definedName name="wrn.QTD_HYCO." localSheetId="3" hidden="1">{"QTD_HYCO",#N/A,FALSE,"QTD"}</definedName>
    <definedName name="wrn.QTD_HYCO." localSheetId="1" hidden="1">{"QTD_HYCO",#N/A,FALSE,"QTD"}</definedName>
    <definedName name="wrn.QTD_HYCO." localSheetId="2" hidden="1">{"QTD_HYCO",#N/A,FALSE,"QTD"}</definedName>
    <definedName name="wrn.QTD_HYCO." hidden="1">{"QTD_HYCO",#N/A,FALSE,"QTD"}</definedName>
    <definedName name="wrn.QTD_LOUISIANA." localSheetId="3" hidden="1">{"QTD_LOUISIANA",#N/A,FALSE,"QTD"}</definedName>
    <definedName name="wrn.QTD_LOUISIANA." localSheetId="1" hidden="1">{"QTD_LOUISIANA",#N/A,FALSE,"QTD"}</definedName>
    <definedName name="wrn.QTD_LOUISIANA." localSheetId="2" hidden="1">{"QTD_LOUISIANA",#N/A,FALSE,"QTD"}</definedName>
    <definedName name="wrn.QTD_LOUISIANA." hidden="1">{"QTD_LOUISIANA",#N/A,FALSE,"QTD"}</definedName>
    <definedName name="wrn.QTD_LPTEO2N2." localSheetId="3" hidden="1">{"QTD_LPO2N2",#N/A,FALSE,"QTD"}</definedName>
    <definedName name="wrn.QTD_LPTEO2N2." localSheetId="1" hidden="1">{"QTD_LPO2N2",#N/A,FALSE,"QTD"}</definedName>
    <definedName name="wrn.QTD_LPTEO2N2." localSheetId="2" hidden="1">{"QTD_LPO2N2",#N/A,FALSE,"QTD"}</definedName>
    <definedName name="wrn.QTD_LPTEO2N2." hidden="1">{"QTD_LPO2N2",#N/A,FALSE,"QTD"}</definedName>
    <definedName name="wrn.QTD_OTHER." localSheetId="3" hidden="1">{"QTD_OTHER",#N/A,FALSE,"QTD"}</definedName>
    <definedName name="wrn.QTD_OTHER." localSheetId="1" hidden="1">{"QTD_OTHER",#N/A,FALSE,"QTD"}</definedName>
    <definedName name="wrn.QTD_OTHER." localSheetId="2" hidden="1">{"QTD_OTHER",#N/A,FALSE,"QTD"}</definedName>
    <definedName name="wrn.QTD_OTHER." hidden="1">{"QTD_OTHER",#N/A,FALSE,"QTD"}</definedName>
    <definedName name="wrn.QTD_PACKAGE." localSheetId="3" hidden="1">{"QTD_PACKAGE",#N/A,FALSE,"QTD"}</definedName>
    <definedName name="wrn.QTD_PACKAGE." localSheetId="1" hidden="1">{"QTD_PACKAGE",#N/A,FALSE,"QTD"}</definedName>
    <definedName name="wrn.QTD_PACKAGE." localSheetId="2" hidden="1">{"QTD_PACKAGE",#N/A,FALSE,"QTD"}</definedName>
    <definedName name="wrn.QTD_PACKAGE." hidden="1">{"QTD_PACKAGE",#N/A,FALSE,"QTD"}</definedName>
    <definedName name="wrn.QTD_PRS." localSheetId="3" hidden="1">{"QTD_PRS",#N/A,FALSE,"QTD"}</definedName>
    <definedName name="wrn.QTD_PRS." localSheetId="1" hidden="1">{"QTD_PRS",#N/A,FALSE,"QTD"}</definedName>
    <definedName name="wrn.QTD_PRS." localSheetId="2" hidden="1">{"QTD_PRS",#N/A,FALSE,"QTD"}</definedName>
    <definedName name="wrn.QTD_PRS." hidden="1">{"QTD_PRS",#N/A,FALSE,"QTD"}</definedName>
    <definedName name="wrn.QTD." localSheetId="3" hidden="1">{"QTD",#N/A,FALSE,"SUM"}</definedName>
    <definedName name="wrn.QTD." localSheetId="1" hidden="1">{"QTD",#N/A,FALSE,"SUM"}</definedName>
    <definedName name="wrn.QTD." localSheetId="2" hidden="1">{"QTD",#N/A,FALSE,"SUM"}</definedName>
    <definedName name="wrn.QTD." hidden="1">{"QTD",#N/A,FALSE,"SUM"}</definedName>
    <definedName name="wrn.Range._.Values." localSheetId="3" hidden="1">{"page1",#N/A,FALSE,"Range Value - Incl Reclasses";"page2",#N/A,FALSE,"Range Value - Incl Reclasses";"page3",#N/A,FALSE,"Range Value - Incl Reclasses"}</definedName>
    <definedName name="wrn.Range._.Values." localSheetId="1" hidden="1">{"page1",#N/A,FALSE,"Range Value - Incl Reclasses";"page2",#N/A,FALSE,"Range Value - Incl Reclasses";"page3",#N/A,FALSE,"Range Value - Incl Reclasses"}</definedName>
    <definedName name="wrn.Range._.Values." localSheetId="2" hidden="1">{"page1",#N/A,FALSE,"Range Value - Incl Reclasses";"page2",#N/A,FALSE,"Range Value - Incl Reclasses";"page3",#N/A,FALSE,"Range Value - Incl Reclasses"}</definedName>
    <definedName name="wrn.Range._.Values." hidden="1">{"page1",#N/A,FALSE,"Range Value - Incl Reclasses";"page2",#N/A,FALSE,"Range Value - Incl Reclasses";"page3",#N/A,FALSE,"Range Value - Incl Reclasses"}</definedName>
    <definedName name="wrn.Receivables.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localSheetId="1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localSheetId="2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o." localSheetId="3" hidden="1">{"overview",#N/A,FALSE,"summary";"net assets",#N/A,FALSE,"summary";"asset turnover",#N/A,FALSE,"summary";"orona",#N/A,FALSE,"summary"}</definedName>
    <definedName name="wrn.redo." localSheetId="1" hidden="1">{"overview",#N/A,FALSE,"summary";"net assets",#N/A,FALSE,"summary";"asset turnover",#N/A,FALSE,"summary";"orona",#N/A,FALSE,"summary"}</definedName>
    <definedName name="wrn.redo." localSheetId="2" hidden="1">{"overview",#N/A,FALSE,"summary";"net assets",#N/A,FALSE,"summary";"asset turnover",#N/A,FALSE,"summary";"orona",#N/A,FALSE,"summary"}</definedName>
    <definedName name="wrn.redo." hidden="1">{"overview",#N/A,FALSE,"summary";"net assets",#N/A,FALSE,"summary";"asset turnover",#N/A,FALSE,"summary";"orona",#N/A,FALSE,"summary"}</definedName>
    <definedName name="wrn.redo._.2." localSheetId="3" hidden="1">{"sales growth",#N/A,FALSE,"summary";"oper income",#N/A,FALSE,"summary";"oros rank",#N/A,FALSE,"summary";"net assets",#N/A,FALSE,"summary";"asset turnover",#N/A,FALSE,"summary";"orona",#N/A,FALSE,"summary"}</definedName>
    <definedName name="wrn.redo._.2." localSheetId="1" hidden="1">{"sales growth",#N/A,FALSE,"summary";"oper income",#N/A,FALSE,"summary";"oros rank",#N/A,FALSE,"summary";"net assets",#N/A,FALSE,"summary";"asset turnover",#N/A,FALSE,"summary";"orona",#N/A,FALSE,"summary"}</definedName>
    <definedName name="wrn.redo._.2." localSheetId="2" hidden="1">{"sales growth",#N/A,FALSE,"summary";"oper income",#N/A,FALSE,"summary";"oros rank",#N/A,FALSE,"summary";"net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port1." localSheetId="3" hidden="1">{"pro_view",#N/A,FALSE,"EEFSNAP2";"rep_view",#N/A,FALSE,"EEFSNAP2"}</definedName>
    <definedName name="wrn.report1." localSheetId="1" hidden="1">{"pro_view",#N/A,FALSE,"EEFSNAP2";"rep_view",#N/A,FALSE,"EEFSNAP2"}</definedName>
    <definedName name="wrn.report1." localSheetId="2" hidden="1">{"pro_view",#N/A,FALSE,"EEFSNAP2";"rep_view",#N/A,FALSE,"EEFSNAP2"}</definedName>
    <definedName name="wrn.report1." hidden="1">{"pro_view",#N/A,FALSE,"EEFSNAP2";"rep_view",#N/A,FALSE,"EEFSNAP2"}</definedName>
    <definedName name="wrn.revised._.CEC._.slides." localSheetId="3" hidden="1">{#N/A,#N/A,FALSE,"Revised cover";#N/A,#N/A,FALSE,"Trends";"main view",#N/A,FALSE,"As Reported";#N/A,#N/A,FALSE,"delegations";#N/A,#N/A,FALSE,"(un) Commited"}</definedName>
    <definedName name="wrn.revised._.CEC._.slides." localSheetId="1" hidden="1">{#N/A,#N/A,FALSE,"Revised cover";#N/A,#N/A,FALSE,"Trends";"main view",#N/A,FALSE,"As Reported";#N/A,#N/A,FALSE,"delegations";#N/A,#N/A,FALSE,"(un) Commited"}</definedName>
    <definedName name="wrn.revised._.CEC._.slides." localSheetId="2" hidden="1">{#N/A,#N/A,FALSE,"Revised cover";#N/A,#N/A,FALSE,"Trends";"main view",#N/A,FALSE,"As Reported";#N/A,#N/A,FALSE,"delegations";#N/A,#N/A,FALSE,"(un) Commited"}</definedName>
    <definedName name="wrn.revised._.CEC._.slides." hidden="1">{#N/A,#N/A,FALSE,"Revised cover";#N/A,#N/A,FALSE,"Trends";"main view",#N/A,FALSE,"As Reported";#N/A,#N/A,FALSE,"delegations";#N/A,#N/A,FALSE,"(un) Commited"}</definedName>
    <definedName name="wrn.Standard." localSheetId="3" hidden="1">{#N/A,#N/A,FALSE,"IS US";#N/A,#N/A,FALSE,"BS US";#N/A,#N/A,FALSE,"IS LOCAL";#N/A,#N/A,FALSE,"BS INPUT";#N/A,#N/A,FALSE,"EQUITY";#N/A,#N/A,FALSE,"LOCAL ADJ";#N/A,#N/A,FALSE,"GAAP ADJ"}</definedName>
    <definedName name="wrn.Standard." localSheetId="1" hidden="1">{#N/A,#N/A,FALSE,"IS US";#N/A,#N/A,FALSE,"BS US";#N/A,#N/A,FALSE,"IS LOCAL";#N/A,#N/A,FALSE,"BS INPUT";#N/A,#N/A,FALSE,"EQUITY";#N/A,#N/A,FALSE,"LOCAL ADJ";#N/A,#N/A,FALSE,"GAAP ADJ"}</definedName>
    <definedName name="wrn.Standard." localSheetId="2" hidden="1">{#N/A,#N/A,FALSE,"IS US";#N/A,#N/A,FALSE,"BS US";#N/A,#N/A,FALSE,"IS LOCAL";#N/A,#N/A,FALSE,"BS INPUT";#N/A,#N/A,FALSE,"EQUITY";#N/A,#N/A,FALSE,"LOCAL ADJ";#N/A,#N/A,FALSE,"GAAP ADJ"}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Total._.Division.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Variance." localSheetId="3" hidden="1">{"Act_vs_Budget",#N/A,FALSE,"QTRDPVAR";"Act_vs_Prior_Year",#N/A,FALSE,"QTRDPVAR"}</definedName>
    <definedName name="wrn.Variance." localSheetId="1" hidden="1">{"Act_vs_Budget",#N/A,FALSE,"QTRDPVAR";"Act_vs_Prior_Year",#N/A,FALSE,"QTRDPVAR"}</definedName>
    <definedName name="wrn.Variance." localSheetId="2" hidden="1">{"Act_vs_Budget",#N/A,FALSE,"QTRDPVAR";"Act_vs_Prior_Year",#N/A,FALSE,"QTRDPVAR"}</definedName>
    <definedName name="wrn.Variance." hidden="1">{"Act_vs_Budget",#N/A,FALSE,"QTRDPVAR";"Act_vs_Prior_Year",#N/A,FALSE,"QTRDPVAR"}</definedName>
    <definedName name="wrn.X140." localSheetId="3" hidden="1">{"page1",#N/A,FALSE,"X140withReclasses";"page2",#N/A,FALSE,"X140withReclasses";"page3",#N/A,FALSE,"X140withReclasses"}</definedName>
    <definedName name="wrn.X140." localSheetId="1" hidden="1">{"page1",#N/A,FALSE,"X140withReclasses";"page2",#N/A,FALSE,"X140withReclasses";"page3",#N/A,FALSE,"X140withReclasses"}</definedName>
    <definedName name="wrn.X140." localSheetId="2" hidden="1">{"page1",#N/A,FALSE,"X140withReclasses";"page2",#N/A,FALSE,"X140withReclasses";"page3",#N/A,FALSE,"X140withReclasses"}</definedName>
    <definedName name="wrn.X140." hidden="1">{"page1",#N/A,FALSE,"X140withReclasses";"page2",#N/A,FALSE,"X140withReclasses";"page3",#N/A,FALSE,"X140withReclasses"}</definedName>
    <definedName name="wrn.YTD_ALL." localSheetId="3" hidden="1">{"YD LAPO2",#N/A,FALSE,"YTD";"YD LPH2",#N/A,FALSE,"YTD";"YD LOUISIANA",#N/A,FALSE,"YTD";"YD GENERALH2",#N/A,FALSE,"YTD";"YD PRS",#N/A,FALSE,"YTD";"YD PACKAGE",#N/A,FALSE,"YTD";"YD OTHER",#N/A,FALSE,"YTD"}</definedName>
    <definedName name="wrn.YTD_ALL." localSheetId="1" hidden="1">{"YD LAPO2",#N/A,FALSE,"YTD";"YD LPH2",#N/A,FALSE,"YTD";"YD LOUISIANA",#N/A,FALSE,"YTD";"YD GENERALH2",#N/A,FALSE,"YTD";"YD PRS",#N/A,FALSE,"YTD";"YD PACKAGE",#N/A,FALSE,"YTD";"YD OTHER",#N/A,FALSE,"YTD"}</definedName>
    <definedName name="wrn.YTD_ALL." localSheetId="2" hidden="1">{"YD LAPO2",#N/A,FALSE,"YTD";"YD LPH2",#N/A,FALSE,"YTD";"YD LOUISIANA",#N/A,FALSE,"YTD";"YD GENERALH2",#N/A,FALSE,"YTD";"YD PRS",#N/A,FALSE,"YTD";"YD PACKAGE",#N/A,FALSE,"YTD";"YD OTHER",#N/A,FALSE,"YTD"}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localSheetId="3" hidden="1">{"YD GENERALH2",#N/A,FALSE,"YTD"}</definedName>
    <definedName name="wrn.YTD_GENERALH2." localSheetId="1" hidden="1">{"YD GENERALH2",#N/A,FALSE,"YTD"}</definedName>
    <definedName name="wrn.YTD_GENERALH2." localSheetId="2" hidden="1">{"YD GENERALH2",#N/A,FALSE,"YTD"}</definedName>
    <definedName name="wrn.YTD_GENERALH2." hidden="1">{"YD GENERALH2",#N/A,FALSE,"YTD"}</definedName>
    <definedName name="wrn.YTD_LAPORTE_O2N2." localSheetId="3" hidden="1">{"YD LAPO2",#N/A,FALSE,"YTD"}</definedName>
    <definedName name="wrn.YTD_LAPORTE_O2N2." localSheetId="1" hidden="1">{"YD LAPO2",#N/A,FALSE,"YTD"}</definedName>
    <definedName name="wrn.YTD_LAPORTE_O2N2." localSheetId="2" hidden="1">{"YD LAPO2",#N/A,FALSE,"YTD"}</definedName>
    <definedName name="wrn.YTD_LAPORTE_O2N2." hidden="1">{"YD LAPO2",#N/A,FALSE,"YTD"}</definedName>
    <definedName name="wrn.YTD_LOUISIANA." localSheetId="3" hidden="1">{"YD LOUISIANA",#N/A,FALSE,"YTD"}</definedName>
    <definedName name="wrn.YTD_LOUISIANA." localSheetId="1" hidden="1">{"YD LOUISIANA",#N/A,FALSE,"YTD"}</definedName>
    <definedName name="wrn.YTD_LOUISIANA." localSheetId="2" hidden="1">{"YD LOUISIANA",#N/A,FALSE,"YTD"}</definedName>
    <definedName name="wrn.YTD_LOUISIANA." hidden="1">{"YD LOUISIANA",#N/A,FALSE,"YTD"}</definedName>
    <definedName name="wrn.YTD_OTHER." localSheetId="3" hidden="1">{"YD OTHER",#N/A,FALSE,"YTD"}</definedName>
    <definedName name="wrn.YTD_OTHER." localSheetId="1" hidden="1">{"YD OTHER",#N/A,FALSE,"YTD"}</definedName>
    <definedName name="wrn.YTD_OTHER." localSheetId="2" hidden="1">{"YD OTHER",#N/A,FALSE,"YTD"}</definedName>
    <definedName name="wrn.YTD_OTHER." hidden="1">{"YD OTHER",#N/A,FALSE,"YTD"}</definedName>
    <definedName name="wrn.YTD_TEXAS._.HYCO." localSheetId="3" hidden="1">{"YD LPH2",#N/A,FALSE,"YTD"}</definedName>
    <definedName name="wrn.YTD_TEXAS._.HYCO." localSheetId="1" hidden="1">{"YD LPH2",#N/A,FALSE,"YTD"}</definedName>
    <definedName name="wrn.YTD_TEXAS._.HYCO." localSheetId="2" hidden="1">{"YD LPH2",#N/A,FALSE,"YTD"}</definedName>
    <definedName name="wrn.YTD_TEXAS._.HYCO." hidden="1">{"YD LPH2",#N/A,FALSE,"YTD"}</definedName>
    <definedName name="wrn.YTD." localSheetId="3" hidden="1">{"YTD",#N/A,FALSE,"SUM"}</definedName>
    <definedName name="wrn.YTD." localSheetId="1" hidden="1">{"YTD",#N/A,FALSE,"SUM"}</definedName>
    <definedName name="wrn.YTD." localSheetId="2" hidden="1">{"YTD",#N/A,FALSE,"SUM"}</definedName>
    <definedName name="wrn.YTD." hidden="1">{"YTD",#N/A,FALSE,"SUM"}</definedName>
    <definedName name="wrn.YTD._.PACKAGE." localSheetId="3" hidden="1">{"YD PACKAGE",#N/A,FALSE,"YTD"}</definedName>
    <definedName name="wrn.YTD._.PACKAGE." localSheetId="1" hidden="1">{"YD PACKAGE",#N/A,FALSE,"YTD"}</definedName>
    <definedName name="wrn.YTD._.PACKAGE." localSheetId="2" hidden="1">{"YD PACKAGE",#N/A,FALSE,"YTD"}</definedName>
    <definedName name="wrn.YTD._.PACKAGE." hidden="1">{"YD PACKAGE",#N/A,FALSE,"YTD"}</definedName>
    <definedName name="wrn.YTD._.PRS." localSheetId="3" hidden="1">{"YD PRS",#N/A,FALSE,"YTD"}</definedName>
    <definedName name="wrn.YTD._.PRS." localSheetId="1" hidden="1">{"YD PRS",#N/A,FALSE,"YTD"}</definedName>
    <definedName name="wrn.YTD._.PRS." localSheetId="2" hidden="1">{"YD PRS",#N/A,FALSE,"YTD"}</definedName>
    <definedName name="wrn.YTD._.PRS." hidden="1">{"YD PRS",#N/A,FALSE,"YTD"}</definedName>
    <definedName name="wrn.YTDvsBud." localSheetId="3" hidden="1">{"Pg1",#N/A,FALSE,"OpExYTDvsBud";"Pg2",#N/A,FALSE,"OpExYTDvsBud"}</definedName>
    <definedName name="wrn.YTDvsBud." localSheetId="1" hidden="1">{"Pg1",#N/A,FALSE,"OpExYTDvsBud";"Pg2",#N/A,FALSE,"OpExYTDvsBud"}</definedName>
    <definedName name="wrn.YTDvsBud." localSheetId="2" hidden="1">{"Pg1",#N/A,FALSE,"OpExYTDvsBud";"Pg2",#N/A,FALSE,"OpExYTDvsBud"}</definedName>
    <definedName name="wrn.YTDvsBud." hidden="1">{"Pg1",#N/A,FALSE,"OpExYTDvsBud";"Pg2",#N/A,FALSE,"OpExYTDvsBud"}</definedName>
    <definedName name="wrn.YTDvsPY." localSheetId="3" hidden="1">{"Pa1",#N/A,FALSE,"OpExYTDvsPY";"Pa2",#N/A,FALSE,"OpExYTDvsPY"}</definedName>
    <definedName name="wrn.YTDvsPY." localSheetId="1" hidden="1">{"Pa1",#N/A,FALSE,"OpExYTDvsPY";"Pa2",#N/A,FALSE,"OpExYTDvsPY"}</definedName>
    <definedName name="wrn.YTDvsPY." localSheetId="2" hidden="1">{"Pa1",#N/A,FALSE,"OpExYTDvsPY";"Pa2",#N/A,FALSE,"OpExYTDvsPY"}</definedName>
    <definedName name="wrn.YTDvsPY." hidden="1">{"Pa1",#N/A,FALSE,"OpExYTDvsPY";"Pa2",#N/A,FALSE,"OpExYTDvsPY"}</definedName>
    <definedName name="wrn1.Current._.Month._.Everything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localSheetId="1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localSheetId="2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SHEET" localSheetId="2">#REF!</definedName>
    <definedName name="WSHEET">#REF!</definedName>
    <definedName name="wsx" localSheetId="2">[6]GEG!#REF!</definedName>
    <definedName name="wsx">[6]GEG!#REF!</definedName>
    <definedName name="www" localSheetId="3" hidden="1">{"vol data",#N/A,FALSE,"Datasheet";"vol graph",#N/A,FALSE,"Volume";"price data",#N/A,FALSE,"Datasheet";"price graph",#N/A,FALSE,"Price";"dp data",#N/A,FALSE,"Datasheet";"dp graph",#N/A,FALSE,"DirectProfit"}</definedName>
    <definedName name="www" localSheetId="1" hidden="1">{"vol data",#N/A,FALSE,"Datasheet";"vol graph",#N/A,FALSE,"Volume";"price data",#N/A,FALSE,"Datasheet";"price graph",#N/A,FALSE,"Price";"dp data",#N/A,FALSE,"Datasheet";"dp graph",#N/A,FALSE,"DirectProfit"}</definedName>
    <definedName name="www" localSheetId="2" hidden="1">{"vol data",#N/A,FALSE,"Datasheet";"vol graph",#N/A,FALSE,"Volume";"price data",#N/A,FALSE,"Datasheet";"price graph",#N/A,FALSE,"Price";"dp data",#N/A,FALSE,"Datasheet";"dp graph",#N/A,FALSE,"DirectProfit"}</definedName>
    <definedName name="www" hidden="1">{"vol data",#N/A,FALSE,"Datasheet";"vol graph",#N/A,FALSE,"Volume";"price data",#N/A,FALSE,"Datasheet";"price graph",#N/A,FALSE,"Price";"dp data",#N/A,FALSE,"Datasheet";"dp graph",#N/A,FALSE,"DirectProfit"}</definedName>
    <definedName name="wwww" localSheetId="3" hidden="1">{"Act_vs_Budget",#N/A,FALSE,"QTRDPVAR";"Act_vs_Prior_Year",#N/A,FALSE,"QTRDPVAR"}</definedName>
    <definedName name="wwww" localSheetId="1" hidden="1">{"Act_vs_Budget",#N/A,FALSE,"QTRDPVAR";"Act_vs_Prior_Year",#N/A,FALSE,"QTRDPVAR"}</definedName>
    <definedName name="wwww" localSheetId="2" hidden="1">{"Act_vs_Budget",#N/A,FALSE,"QTRDPVAR";"Act_vs_Prior_Year",#N/A,FALSE,"QTRDPVAR"}</definedName>
    <definedName name="wwww" hidden="1">{"Act_vs_Budget",#N/A,FALSE,"QTRDPVAR";"Act_vs_Prior_Year",#N/A,FALSE,"QTRDPVAR"}</definedName>
    <definedName name="wwwwwwwww" localSheetId="3" hidden="1">{"YTD",#N/A,FALSE,"SUM"}</definedName>
    <definedName name="wwwwwwwww" localSheetId="1" hidden="1">{"YTD",#N/A,FALSE,"SUM"}</definedName>
    <definedName name="wwwwwwwww" localSheetId="2" hidden="1">{"YTD",#N/A,FALSE,"SUM"}</definedName>
    <definedName name="wwwwwwwww" hidden="1">{"YTD",#N/A,FALSE,"SUM"}</definedName>
    <definedName name="wwwwwwwwwww" localSheetId="3" hidden="1">{"YD PACKAGE",#N/A,FALSE,"YTD"}</definedName>
    <definedName name="wwwwwwwwwww" localSheetId="1" hidden="1">{"YD PACKAGE",#N/A,FALSE,"YTD"}</definedName>
    <definedName name="wwwwwwwwwww" localSheetId="2" hidden="1">{"YD PACKAGE",#N/A,FALSE,"YTD"}</definedName>
    <definedName name="wwwwwwwwwww" hidden="1">{"YD PACKAGE",#N/A,FALSE,"YTD"}</definedName>
    <definedName name="wwwwwwwwwwwwww" localSheetId="3" hidden="1">{"detail",#N/A,FALSE,"mfg";"summary",#N/A,FALSE,"mfg"}</definedName>
    <definedName name="wwwwwwwwwwwwww" localSheetId="1" hidden="1">{"detail",#N/A,FALSE,"mfg";"summary",#N/A,FALSE,"mfg"}</definedName>
    <definedName name="wwwwwwwwwwwwww" localSheetId="2" hidden="1">{"detail",#N/A,FALSE,"mfg";"summary",#N/A,FALSE,"mfg"}</definedName>
    <definedName name="wwwwwwwwwwwwww" hidden="1">{"detail",#N/A,FALSE,"mfg";"summary",#N/A,FALSE,"mfg"}</definedName>
    <definedName name="wx" localSheetId="3">[7]!SQL.REQUEST(DNI,,,[0]!FORA)</definedName>
    <definedName name="wx" localSheetId="1">[7]!SQL.REQUEST(DNI,,,[0]!FORA)</definedName>
    <definedName name="wx" localSheetId="2">[7]!SQL.REQUEST([0]!DNI,,,'SND(창신)작성'!FORA)</definedName>
    <definedName name="wx">[7]!SQL.REQUEST(DNI,,,[0]!FORA)</definedName>
    <definedName name="wz">#N/A</definedName>
    <definedName name="x">#N/A</definedName>
    <definedName name="xb" localSheetId="3" hidden="1">{"BA detail",#N/A,FALSE,"Q3YTD "}</definedName>
    <definedName name="xb" localSheetId="1" hidden="1">{"BA detail",#N/A,FALSE,"Q3YTD "}</definedName>
    <definedName name="xb" localSheetId="2" hidden="1">{"BA detail",#N/A,FALSE,"Q3YTD "}</definedName>
    <definedName name="xb" hidden="1">{"BA detail",#N/A,FALSE,"Q3YTD "}</definedName>
    <definedName name="xc" localSheetId="3" hidden="1">{"ICD Details",#N/A,FALSE,"Current Yr";"ICD Details",#N/A,FALSE,"Budget";"ICD Details",#N/A,FALSE,"Prior Year"}</definedName>
    <definedName name="xc" localSheetId="1" hidden="1">{"ICD Details",#N/A,FALSE,"Current Yr";"ICD Details",#N/A,FALSE,"Budget";"ICD Details",#N/A,FALSE,"Prior Year"}</definedName>
    <definedName name="xc" localSheetId="2" hidden="1">{"ICD Details",#N/A,FALSE,"Current Yr";"ICD Details",#N/A,FALSE,"Budget";"ICD Details",#N/A,FALSE,"Prior Year"}</definedName>
    <definedName name="xc" hidden="1">{"ICD Details",#N/A,FALSE,"Current Yr";"ICD Details",#N/A,FALSE,"Budget";"ICD Details",#N/A,FALSE,"Prior Year"}</definedName>
    <definedName name="xcv" localSheetId="3" hidden="1">{"oct_res_comm",#N/A,FALSE,"VarToBud"}</definedName>
    <definedName name="xcv" localSheetId="1" hidden="1">{"oct_res_comm",#N/A,FALSE,"VarToBud"}</definedName>
    <definedName name="xcv" localSheetId="2" hidden="1">{"oct_res_comm",#N/A,FALSE,"VarToBud"}</definedName>
    <definedName name="xcv" hidden="1">{"oct_res_comm",#N/A,FALSE,"VarToBud"}</definedName>
    <definedName name="xcvb">#N/A</definedName>
    <definedName name="xcxc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e" localSheetId="3">광주본사!xe</definedName>
    <definedName name="xe" localSheetId="1">화성!xe</definedName>
    <definedName name="xe" localSheetId="2">'SND(창신)작성'!xe</definedName>
    <definedName name="xe">[0]!xe</definedName>
    <definedName name="xn" localSheetId="3" hidden="1">{"oct_res_comm",#N/A,FALSE,"VarToBud"}</definedName>
    <definedName name="xn" localSheetId="1" hidden="1">{"oct_res_comm",#N/A,FALSE,"VarToBud"}</definedName>
    <definedName name="xn" localSheetId="2" hidden="1">{"oct_res_comm",#N/A,FALSE,"VarToBud"}</definedName>
    <definedName name="xn" hidden="1">{"oct_res_comm",#N/A,FALSE,"VarToBud"}</definedName>
    <definedName name="XREF_COLUMN_1" localSheetId="2" hidden="1">#REF!</definedName>
    <definedName name="XREF_COLUMN_1" hidden="1">#REF!</definedName>
    <definedName name="XREF_COLUMN_14" localSheetId="2" hidden="1">#REF!</definedName>
    <definedName name="XREF_COLUMN_14" hidden="1">#REF!</definedName>
    <definedName name="XREF_COLUMN_15" localSheetId="2" hidden="1">#REF!</definedName>
    <definedName name="XREF_COLUMN_15" hidden="1">#REF!</definedName>
    <definedName name="XREF_COLUMN_2" localSheetId="2" hidden="1">#REF!</definedName>
    <definedName name="XREF_COLUMN_2" hidden="1">#REF!</definedName>
    <definedName name="XREF_COLUMN_3" localSheetId="2" hidden="1">#REF!</definedName>
    <definedName name="XREF_COLUMN_3" hidden="1">#REF!</definedName>
    <definedName name="XREF_COLUMN_4" localSheetId="2" hidden="1">#REF!</definedName>
    <definedName name="XREF_COLUMN_4" hidden="1">#REF!</definedName>
    <definedName name="XRefActiveRow" localSheetId="2" hidden="1">#REF!</definedName>
    <definedName name="XRefActiveRow" hidden="1">#REF!</definedName>
    <definedName name="XRefColumnsCount" hidden="1">19</definedName>
    <definedName name="XRefCopy24" localSheetId="2" hidden="1">#REF!</definedName>
    <definedName name="XRefCopy24" hidden="1">#REF!</definedName>
    <definedName name="XRefCopy25" localSheetId="2" hidden="1">#REF!</definedName>
    <definedName name="XRefCopy25" hidden="1">#REF!</definedName>
    <definedName name="XRefCopyRangeCount" hidden="1">30</definedName>
    <definedName name="XRefPaste1" localSheetId="2" hidden="1">#REF!</definedName>
    <definedName name="XRefPaste1" hidden="1">#REF!</definedName>
    <definedName name="XRefPaste10" localSheetId="2" hidden="1">#REF!</definedName>
    <definedName name="XRefPaste10" hidden="1">#REF!</definedName>
    <definedName name="XRefPaste10Row" localSheetId="2" hidden="1">#REF!</definedName>
    <definedName name="XRefPaste10Row" hidden="1">#REF!</definedName>
    <definedName name="XRefPaste11" localSheetId="2" hidden="1">#REF!</definedName>
    <definedName name="XRefPaste11" hidden="1">#REF!</definedName>
    <definedName name="XRefPaste11Row" localSheetId="2" hidden="1">#REF!</definedName>
    <definedName name="XRefPaste11Row" hidden="1">#REF!</definedName>
    <definedName name="XRefPaste12" localSheetId="2" hidden="1">#REF!</definedName>
    <definedName name="XRefPaste12" hidden="1">#REF!</definedName>
    <definedName name="XRefPaste12Row" localSheetId="2" hidden="1">#REF!</definedName>
    <definedName name="XRefPaste12Row" hidden="1">#REF!</definedName>
    <definedName name="XRefPaste13" localSheetId="2" hidden="1">#REF!</definedName>
    <definedName name="XRefPaste13" hidden="1">#REF!</definedName>
    <definedName name="XRefPaste13Row" localSheetId="2" hidden="1">#REF!</definedName>
    <definedName name="XRefPaste13Row" hidden="1">#REF!</definedName>
    <definedName name="XRefPaste14" localSheetId="2" hidden="1">#REF!</definedName>
    <definedName name="XRefPaste14" hidden="1">#REF!</definedName>
    <definedName name="XRefPaste14Row" localSheetId="2" hidden="1">#REF!</definedName>
    <definedName name="XRefPaste14Row" hidden="1">#REF!</definedName>
    <definedName name="XRefPaste15" localSheetId="2" hidden="1">#REF!</definedName>
    <definedName name="XRefPaste15" hidden="1">#REF!</definedName>
    <definedName name="XRefPaste15Row" localSheetId="2" hidden="1">#REF!</definedName>
    <definedName name="XRefPaste15Row" hidden="1">#REF!</definedName>
    <definedName name="XRefPaste16" localSheetId="2" hidden="1">#REF!</definedName>
    <definedName name="XRefPaste16" hidden="1">#REF!</definedName>
    <definedName name="XRefPaste16Row" localSheetId="2" hidden="1">#REF!</definedName>
    <definedName name="XRefPaste16Row" hidden="1">#REF!</definedName>
    <definedName name="XRefPaste17" localSheetId="2" hidden="1">#REF!</definedName>
    <definedName name="XRefPaste17" hidden="1">#REF!</definedName>
    <definedName name="XRefPaste17Row" localSheetId="2" hidden="1">#REF!</definedName>
    <definedName name="XRefPaste17Row" hidden="1">#REF!</definedName>
    <definedName name="XRefPaste18" localSheetId="2" hidden="1">#REF!</definedName>
    <definedName name="XRefPaste18" hidden="1">#REF!</definedName>
    <definedName name="XRefPaste18Row" localSheetId="2" hidden="1">#REF!</definedName>
    <definedName name="XRefPaste18Row" hidden="1">#REF!</definedName>
    <definedName name="XRefPaste19" localSheetId="2" hidden="1">#REF!</definedName>
    <definedName name="XRefPaste19" hidden="1">#REF!</definedName>
    <definedName name="XRefPaste19Row" localSheetId="2" hidden="1">#REF!</definedName>
    <definedName name="XRefPaste19Row" hidden="1">#REF!</definedName>
    <definedName name="XRefPaste1Row" localSheetId="2" hidden="1">#REF!</definedName>
    <definedName name="XRefPaste1Row" hidden="1">#REF!</definedName>
    <definedName name="XRefPaste2" localSheetId="2" hidden="1">#REF!</definedName>
    <definedName name="XRefPaste2" hidden="1">#REF!</definedName>
    <definedName name="XRefPaste20" localSheetId="2" hidden="1">#REF!</definedName>
    <definedName name="XRefPaste20" hidden="1">#REF!</definedName>
    <definedName name="XRefPaste20Row" localSheetId="2" hidden="1">#REF!</definedName>
    <definedName name="XRefPaste20Row" hidden="1">#REF!</definedName>
    <definedName name="XRefPaste21" localSheetId="2" hidden="1">#REF!</definedName>
    <definedName name="XRefPaste21" hidden="1">#REF!</definedName>
    <definedName name="XRefPaste21Row" localSheetId="2" hidden="1">#REF!</definedName>
    <definedName name="XRefPaste21Row" hidden="1">#REF!</definedName>
    <definedName name="XRefPaste22" localSheetId="2" hidden="1">#REF!</definedName>
    <definedName name="XRefPaste22" hidden="1">#REF!</definedName>
    <definedName name="XRefPaste22Row" localSheetId="2" hidden="1">#REF!</definedName>
    <definedName name="XRefPaste22Row" hidden="1">#REF!</definedName>
    <definedName name="XRefPaste23" localSheetId="2" hidden="1">#REF!</definedName>
    <definedName name="XRefPaste23" hidden="1">#REF!</definedName>
    <definedName name="XRefPaste23Row" localSheetId="2" hidden="1">#REF!</definedName>
    <definedName name="XRefPaste23Row" hidden="1">#REF!</definedName>
    <definedName name="XRefPaste24" localSheetId="2" hidden="1">#REF!</definedName>
    <definedName name="XRefPaste24" hidden="1">#REF!</definedName>
    <definedName name="XRefPaste24Row" localSheetId="2" hidden="1">#REF!</definedName>
    <definedName name="XRefPaste24Row" hidden="1">#REF!</definedName>
    <definedName name="XRefPaste25" localSheetId="2" hidden="1">#REF!</definedName>
    <definedName name="XRefPaste25" hidden="1">#REF!</definedName>
    <definedName name="XRefPaste25Row" localSheetId="2" hidden="1">#REF!</definedName>
    <definedName name="XRefPaste25Row" hidden="1">#REF!</definedName>
    <definedName name="XRefPaste26" localSheetId="2" hidden="1">#REF!</definedName>
    <definedName name="XRefPaste26" hidden="1">#REF!</definedName>
    <definedName name="XRefPaste26Row" localSheetId="2" hidden="1">#REF!</definedName>
    <definedName name="XRefPaste26Row" hidden="1">#REF!</definedName>
    <definedName name="XRefPaste2Row" localSheetId="2" hidden="1">#REF!</definedName>
    <definedName name="XRefPaste2Row" hidden="1">#REF!</definedName>
    <definedName name="XRefPaste3" localSheetId="2" hidden="1">#REF!</definedName>
    <definedName name="XRefPaste3" hidden="1">#REF!</definedName>
    <definedName name="XRefPaste3Row" localSheetId="2" hidden="1">#REF!</definedName>
    <definedName name="XRefPaste3Row" hidden="1">#REF!</definedName>
    <definedName name="XRefPaste4" localSheetId="2" hidden="1">#REF!</definedName>
    <definedName name="XRefPaste4" hidden="1">#REF!</definedName>
    <definedName name="XRefPaste4Row" localSheetId="2" hidden="1">#REF!</definedName>
    <definedName name="XRefPaste4Row" hidden="1">#REF!</definedName>
    <definedName name="XRefPaste5" localSheetId="2" hidden="1">#REF!</definedName>
    <definedName name="XRefPaste5" hidden="1">#REF!</definedName>
    <definedName name="XRefPaste5Row" localSheetId="2" hidden="1">#REF!</definedName>
    <definedName name="XRefPaste5Row" hidden="1">#REF!</definedName>
    <definedName name="XRefPaste6" localSheetId="2" hidden="1">#REF!</definedName>
    <definedName name="XRefPaste6" hidden="1">#REF!</definedName>
    <definedName name="XRefPaste6Row" localSheetId="2" hidden="1">#REF!</definedName>
    <definedName name="XRefPaste6Row" hidden="1">#REF!</definedName>
    <definedName name="XRefPaste7" localSheetId="2" hidden="1">#REF!</definedName>
    <definedName name="XRefPaste7" hidden="1">#REF!</definedName>
    <definedName name="XRefPaste7Row" localSheetId="2" hidden="1">#REF!</definedName>
    <definedName name="XRefPaste7Row" hidden="1">#REF!</definedName>
    <definedName name="XRefPaste8" localSheetId="2" hidden="1">#REF!</definedName>
    <definedName name="XRefPaste8" hidden="1">#REF!</definedName>
    <definedName name="XRefPaste8Row" localSheetId="2" hidden="1">#REF!</definedName>
    <definedName name="XRefPaste8Row" hidden="1">#REF!</definedName>
    <definedName name="XRefPaste9" localSheetId="2" hidden="1">#REF!</definedName>
    <definedName name="XRefPaste9" hidden="1">#REF!</definedName>
    <definedName name="XRefPaste9Row" localSheetId="2" hidden="1">#REF!</definedName>
    <definedName name="XRefPaste9Row" hidden="1">#REF!</definedName>
    <definedName name="XRefPasteRangeCount" hidden="1">19</definedName>
    <definedName name="xs" localSheetId="3" hidden="1">{#N/A,"PURCHM",FALSE,"Business Analysis";#N/A,"SPADD",FALSE,"Business Analysis"}</definedName>
    <definedName name="xs" localSheetId="1" hidden="1">{#N/A,"PURCHM",FALSE,"Business Analysis";#N/A,"SPADD",FALSE,"Business Analysis"}</definedName>
    <definedName name="xs" localSheetId="2" hidden="1">{#N/A,"PURCHM",FALSE,"Business Analysis";#N/A,"SPADD",FALSE,"Business Analysis"}</definedName>
    <definedName name="xs" hidden="1">{#N/A,"PURCHM",FALSE,"Business Analysis";#N/A,"SPADD",FALSE,"Business Analysis"}</definedName>
    <definedName name="x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" localSheetId="3">[7]!SQL.REQUEST(DNI,,,FORF&amp;#REF!)</definedName>
    <definedName name="xu" localSheetId="1">[7]!SQL.REQUEST(DNI,,,FORF&amp;#REF!)</definedName>
    <definedName name="xu" localSheetId="2">[7]!SQL.REQUEST([0]!DNI,,,[0]!FORF&amp;#REF!)</definedName>
    <definedName name="xu">[7]!SQL.REQUEST(DNI,,,FORF&amp;#REF!)</definedName>
    <definedName name="xv" localSheetId="3" hidden="1">{"Commentary",#N/A,FALSE,"May"}</definedName>
    <definedName name="xv" localSheetId="1" hidden="1">{"Commentary",#N/A,FALSE,"May"}</definedName>
    <definedName name="xv" localSheetId="2" hidden="1">{"Commentary",#N/A,FALSE,"May"}</definedName>
    <definedName name="xv" hidden="1">{"Commentary",#N/A,FALSE,"May"}</definedName>
    <definedName name="xw">#N/A</definedName>
    <definedName name="xx">#N/A</definedName>
    <definedName name="xxx">#N/A</definedName>
    <definedName name="xxx2" localSheetId="3" hidden="1">{"oct_res_comm",#N/A,FALSE,"VarToBud"}</definedName>
    <definedName name="xxx2" localSheetId="1" hidden="1">{"oct_res_comm",#N/A,FALSE,"VarToBud"}</definedName>
    <definedName name="xxx2" localSheetId="2" hidden="1">{"oct_res_comm",#N/A,FALSE,"VarToBud"}</definedName>
    <definedName name="xxx2" hidden="1">{"oct_res_comm",#N/A,FALSE,"VarToBud"}</definedName>
    <definedName name="xxxx" localSheetId="3" hidden="1">{"detail",#N/A,FALSE,"mfg";"summary",#N/A,FALSE,"mfg"}</definedName>
    <definedName name="xxxx" localSheetId="1" hidden="1">{"detail",#N/A,FALSE,"mfg";"summary",#N/A,FALSE,"mfg"}</definedName>
    <definedName name="xxxx" localSheetId="2" hidden="1">{"detail",#N/A,FALSE,"mfg";"summary",#N/A,FALSE,"mfg"}</definedName>
    <definedName name="xxxx" hidden="1">{"detail",#N/A,FALSE,"mfg";"summary",#N/A,FALSE,"mfg"}</definedName>
    <definedName name="xxxxx" localSheetId="3">광주본사!xxxxx</definedName>
    <definedName name="xxxxx" localSheetId="1">화성!xxxxx</definedName>
    <definedName name="xxxxx" localSheetId="2">'SND(창신)작성'!xxxxx</definedName>
    <definedName name="xxxxx">[0]!xxxxx</definedName>
    <definedName name="xxxxxx" localSheetId="3">광주본사!xxxxxx</definedName>
    <definedName name="xxxxxx" localSheetId="1">화성!xxxxxx</definedName>
    <definedName name="xxxxxx" localSheetId="2">'SND(창신)작성'!xxxxxx</definedName>
    <definedName name="xxxxxx">[0]!xxxxxx</definedName>
    <definedName name="xy">#N/A</definedName>
    <definedName name="XYZ" localSheetId="3" hidden="1">{"detail",#N/A,FALSE,"mfg";"summary",#N/A,FALSE,"mfg"}</definedName>
    <definedName name="XYZ" localSheetId="1" hidden="1">{"detail",#N/A,FALSE,"mfg";"summary",#N/A,FALSE,"mfg"}</definedName>
    <definedName name="XYZ" localSheetId="2" hidden="1">{"detail",#N/A,FALSE,"mfg";"summary",#N/A,FALSE,"mfg"}</definedName>
    <definedName name="XYZ" hidden="1">{"detail",#N/A,FALSE,"mfg";"summary",#N/A,FALSE,"mfg"}</definedName>
    <definedName name="xz" localSheetId="3">광주본사!xz</definedName>
    <definedName name="xz" localSheetId="1">화성!xz</definedName>
    <definedName name="xz" localSheetId="2">'SND(창신)작성'!xz</definedName>
    <definedName name="xz">[0]!xz</definedName>
    <definedName name="xzxz" localSheetId="3" hidden="1">{#N/A,"PURCHM",FALSE,"Business Analysis";#N/A,"SPADD",FALSE,"Business Analysis"}</definedName>
    <definedName name="xzxz" localSheetId="1" hidden="1">{#N/A,"PURCHM",FALSE,"Business Analysis";#N/A,"SPADD",FALSE,"Business Analysis"}</definedName>
    <definedName name="xzxz" localSheetId="2" hidden="1">{#N/A,"PURCHM",FALSE,"Business Analysis";#N/A,"SPADD",FALSE,"Business Analysis"}</definedName>
    <definedName name="xzxz" hidden="1">{#N/A,"PURCHM",FALSE,"Business Analysis";#N/A,"SPADD",FALSE,"Business Analysis"}</definedName>
    <definedName name="yap" localSheetId="2">[6]GEG!#REF!</definedName>
    <definedName name="yap">[6]GEG!#REF!</definedName>
    <definedName name="yb" localSheetId="3">[7]!SQL.REQUEST(DNI,,,[0]!FORR&amp;[0]!_FOR2)/1000</definedName>
    <definedName name="yb" localSheetId="1">[7]!SQL.REQUEST(DNI,,,[0]!FORR&amp;[0]!_FOR2)/1000</definedName>
    <definedName name="yb" localSheetId="2">[7]!SQL.REQUEST([0]!DNI,,,'SND(창신)작성'!FORR&amp;'SND(창신)작성'!_FOR2)/1000</definedName>
    <definedName name="yb">[7]!SQL.REQUEST(DNI,,,[0]!FORR&amp;[0]!_FOR2)/1000</definedName>
    <definedName name="YEN" localSheetId="2">[79]BS!#REF!</definedName>
    <definedName name="YEN">[79]BS!#REF!</definedName>
    <definedName name="yg" localSheetId="3" hidden="1">{"Polymers Details",#N/A,FALSE,"Current Yr";"Polymer Details",#N/A,FALSE,"Budget";"Polymer Details",#N/A,FALSE,"Prior Year"}</definedName>
    <definedName name="yg" localSheetId="1" hidden="1">{"Polymers Details",#N/A,FALSE,"Current Yr";"Polymer Details",#N/A,FALSE,"Budget";"Polymer Details",#N/A,FALSE,"Prior Year"}</definedName>
    <definedName name="yg" localSheetId="2" hidden="1">{"Polymers Details",#N/A,FALSE,"Current Yr";"Polymer Details",#N/A,FALSE,"Budget";"Polymer Details",#N/A,FALSE,"Prior Year"}</definedName>
    <definedName name="yg" hidden="1">{"Polymers Details",#N/A,FALSE,"Current Yr";"Polymer Details",#N/A,FALSE,"Budget";"Polymer Details",#N/A,FALSE,"Prior Year"}</definedName>
    <definedName name="ygv" localSheetId="2">[6]GEG!#REF!</definedName>
    <definedName name="ygv">[6]GEG!#REF!</definedName>
    <definedName name="yh" localSheetId="3" hidden="1">{"Polymers Details",#N/A,FALSE,"Current Yr";"Polymer Details",#N/A,FALSE,"Budget";"Polymer Details",#N/A,FALSE,"Prior Year"}</definedName>
    <definedName name="yh" localSheetId="1" hidden="1">{"Polymers Details",#N/A,FALSE,"Current Yr";"Polymer Details",#N/A,FALSE,"Budget";"Polymer Details",#N/A,FALSE,"Prior Year"}</definedName>
    <definedName name="yh" localSheetId="2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n" localSheetId="3" hidden="1">{"detail",#N/A,FALSE,"mfg";"summary",#N/A,FALSE,"mfg"}</definedName>
    <definedName name="yhn" localSheetId="1" hidden="1">{"detail",#N/A,FALSE,"mfg";"summary",#N/A,FALSE,"mfg"}</definedName>
    <definedName name="yhn" localSheetId="2" hidden="1">{"detail",#N/A,FALSE,"mfg";"summary",#N/A,FALSE,"mfg"}</definedName>
    <definedName name="yhn" hidden="1">{"detail",#N/A,FALSE,"mfg";"summary",#N/A,FALSE,"mfg"}</definedName>
    <definedName name="yj" localSheetId="3">광주본사!yj</definedName>
    <definedName name="yj" localSheetId="1">화성!yj</definedName>
    <definedName name="yj" localSheetId="2">'SND(창신)작성'!yj</definedName>
    <definedName name="yj">[0]!yj</definedName>
    <definedName name="ym" localSheetId="3" hidden="1">{#N/A,"PURCHM",FALSE,"Business Analysis";#N/A,"SPADD",FALSE,"Business Analysis"}</definedName>
    <definedName name="ym" localSheetId="1" hidden="1">{#N/A,"PURCHM",FALSE,"Business Analysis";#N/A,"SPADD",FALSE,"Business Analysis"}</definedName>
    <definedName name="ym" localSheetId="2" hidden="1">{#N/A,"PURCHM",FALSE,"Business Analysis";#N/A,"SPADD",FALSE,"Business Analysis"}</definedName>
    <definedName name="ym" hidden="1">{#N/A,"PURCHM",FALSE,"Business Analysis";#N/A,"SPADD",FALSE,"Business Analysis"}</definedName>
    <definedName name="yn" localSheetId="3" hidden="1">{"AS REP",#N/A,FALSE,"EEFSNAP2";"PROP",#N/A,FALSE,"EEFSNAP2";"RISKS",#N/A,FALSE,"EEFSNAP2";"VIEW ALL",#N/A,FALSE,"EEFSNAP2"}</definedName>
    <definedName name="yn" localSheetId="1" hidden="1">{"AS REP",#N/A,FALSE,"EEFSNAP2";"PROP",#N/A,FALSE,"EEFSNAP2";"RISKS",#N/A,FALSE,"EEFSNAP2";"VIEW ALL",#N/A,FALSE,"EEFSNAP2"}</definedName>
    <definedName name="yn" localSheetId="2" hidden="1">{"AS REP",#N/A,FALSE,"EEFSNAP2";"PROP",#N/A,FALSE,"EEFSNAP2";"RISKS",#N/A,FALSE,"EEFSNAP2";"VIEW ALL",#N/A,FALSE,"EEFSNAP2"}</definedName>
    <definedName name="yn" hidden="1">{"AS REP",#N/A,FALSE,"EEFSNAP2";"PROP",#N/A,FALSE,"EEFSNAP2";"RISKS",#N/A,FALSE,"EEFSNAP2";"VIEW ALL",#N/A,FALSE,"EEFSNAP2"}</definedName>
    <definedName name="yp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localSheetId="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localSheetId="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localSheetId="1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localSheetId="2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t" localSheetId="3">광주본사!yt</definedName>
    <definedName name="yt" localSheetId="1">화성!yt</definedName>
    <definedName name="yt" localSheetId="2">'SND(창신)작성'!yt</definedName>
    <definedName name="yt">[0]!yt</definedName>
    <definedName name="YTD" localSheetId="2">[47]Q_COMP.XLS!#REF!</definedName>
    <definedName name="YTD">[47]Q_COMP.XLS!#REF!</definedName>
    <definedName name="YTD_With_Graph" localSheetId="2">#REF!</definedName>
    <definedName name="YTD_With_Graph">#REF!</definedName>
    <definedName name="YTDSummary" localSheetId="2">#REF!</definedName>
    <definedName name="YTDSummary">#REF!</definedName>
    <definedName name="YTDvsBUD" localSheetId="2">#REF!</definedName>
    <definedName name="YTDvsBUD">#REF!</definedName>
    <definedName name="ytre" localSheetId="3" hidden="1">{"overview",#N/A,FALSE,"summary";"net assets",#N/A,FALSE,"summary";"asset turnover",#N/A,FALSE,"summary";"orona",#N/A,FALSE,"summary"}</definedName>
    <definedName name="ytre" localSheetId="1" hidden="1">{"overview",#N/A,FALSE,"summary";"net assets",#N/A,FALSE,"summary";"asset turnover",#N/A,FALSE,"summary";"orona",#N/A,FALSE,"summary"}</definedName>
    <definedName name="ytre" localSheetId="2" hidden="1">{"overview",#N/A,FALSE,"summary";"net assets",#N/A,FALSE,"summary";"asset turnover",#N/A,FALSE,"summary";"orona",#N/A,FALSE,"summary"}</definedName>
    <definedName name="ytre" hidden="1">{"overview",#N/A,FALSE,"summary";"net assets",#N/A,FALSE,"summary";"asset turnover",#N/A,FALSE,"summary";"orona",#N/A,FALSE,"summary"}</definedName>
    <definedName name="yui" localSheetId="3" hidden="1">{"Commentary",#N/A,FALSE,"May"}</definedName>
    <definedName name="yui" localSheetId="1" hidden="1">{"Commentary",#N/A,FALSE,"May"}</definedName>
    <definedName name="yui" localSheetId="2" hidden="1">{"Commentary",#N/A,FALSE,"May"}</definedName>
    <definedName name="yui" hidden="1">{"Commentary",#N/A,FALSE,"May"}</definedName>
    <definedName name="yuio" localSheetId="3" hidden="1">{"oct_res_comm",#N/A,FALSE,"VarToBud"}</definedName>
    <definedName name="yuio" localSheetId="1" hidden="1">{"oct_res_comm",#N/A,FALSE,"VarToBud"}</definedName>
    <definedName name="yuio" localSheetId="2" hidden="1">{"oct_res_comm",#N/A,FALSE,"VarToBud"}</definedName>
    <definedName name="yuio" hidden="1">{"oct_res_comm",#N/A,FALSE,"VarToBud"}</definedName>
    <definedName name="yv" localSheetId="3" hidden="1">{"sales growth",#N/A,FALSE,"summary";"oper income",#N/A,FALSE,"summary";"oros rank",#N/A,FALSE,"summary";"net assets",#N/A,FALSE,"summary";"asset turnover",#N/A,FALSE,"summary";"orona",#N/A,FALSE,"summary"}</definedName>
    <definedName name="yv" localSheetId="1" hidden="1">{"sales growth",#N/A,FALSE,"summary";"oper income",#N/A,FALSE,"summary";"oros rank",#N/A,FALSE,"summary";"net assets",#N/A,FALSE,"summary";"asset turnover",#N/A,FALSE,"summary";"orona",#N/A,FALSE,"summary"}</definedName>
    <definedName name="yv" localSheetId="2" hidden="1">{"sales growth",#N/A,FALSE,"summary";"oper income",#N/A,FALSE,"summary";"oros rank",#N/A,FALSE,"summary";"net assets",#N/A,FALSE,"summary";"asset turnover",#N/A,FALSE,"summary";"orona",#N/A,FALSE,"summary"}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localSheetId="3" hidden="1">{"overview",#N/A,FALSE,"summary";"net assets",#N/A,FALSE,"summary";"asset turnover",#N/A,FALSE,"summary";"orona",#N/A,FALSE,"summary"}</definedName>
    <definedName name="yx" localSheetId="1" hidden="1">{"overview",#N/A,FALSE,"summary";"net assets",#N/A,FALSE,"summary";"asset turnover",#N/A,FALSE,"summary";"orona",#N/A,FALSE,"summary"}</definedName>
    <definedName name="yx" localSheetId="2" hidden="1">{"overview",#N/A,FALSE,"summary";"net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yyyy">[26]Details!$AB$148</definedName>
    <definedName name="za" localSheetId="3" hidden="1">{"detail",#N/A,FALSE,"mfg";"summary",#N/A,FALSE,"mfg"}</definedName>
    <definedName name="za" localSheetId="1" hidden="1">{"detail",#N/A,FALSE,"mfg";"summary",#N/A,FALSE,"mfg"}</definedName>
    <definedName name="za" localSheetId="2" hidden="1">{"detail",#N/A,FALSE,"mfg";"summary",#N/A,FALSE,"mfg"}</definedName>
    <definedName name="za" hidden="1">{"detail",#N/A,FALSE,"mfg";"summary",#N/A,FALSE,"mfg"}</definedName>
    <definedName name="zaz" localSheetId="3" hidden="1">{#N/A,"PURCHM",FALSE,"Business Analysis";#N/A,"SPADD",FALSE,"Business Analysis"}</definedName>
    <definedName name="zaz" localSheetId="1" hidden="1">{#N/A,"PURCHM",FALSE,"Business Analysis";#N/A,"SPADD",FALSE,"Business Analysis"}</definedName>
    <definedName name="zaz" localSheetId="2" hidden="1">{#N/A,"PURCHM",FALSE,"Business Analysis";#N/A,"SPADD",FALSE,"Business Analysis"}</definedName>
    <definedName name="zaz" hidden="1">{#N/A,"PURCHM",FALSE,"Business Analysis";#N/A,"SPADD",FALSE,"Business Analysis"}</definedName>
    <definedName name="zb">#N/A</definedName>
    <definedName name="zc" localSheetId="2">[6]GEG!#REF!</definedName>
    <definedName name="zc">[6]GEG!#REF!</definedName>
    <definedName name="zl" localSheetId="3" hidden="1">{#N/A,"PURCHM",FALSE,"Business Analysis";#N/A,"SPADD",FALSE,"Business Analysis"}</definedName>
    <definedName name="zl" localSheetId="1" hidden="1">{#N/A,"PURCHM",FALSE,"Business Analysis";#N/A,"SPADD",FALSE,"Business Analysis"}</definedName>
    <definedName name="zl" localSheetId="2" hidden="1">{#N/A,"PURCHM",FALSE,"Business Analysis";#N/A,"SPADD",FALSE,"Business Analysis"}</definedName>
    <definedName name="zl" hidden="1">{#N/A,"PURCHM",FALSE,"Business Analysis";#N/A,"SPADD",FALSE,"Business Analysis"}</definedName>
    <definedName name="zn" localSheetId="3">광주본사!zn</definedName>
    <definedName name="zn" localSheetId="1">화성!zn</definedName>
    <definedName name="zn" localSheetId="2">'SND(창신)작성'!zn</definedName>
    <definedName name="zn">[0]!zn</definedName>
    <definedName name="zq" localSheetId="3">[7]!SQL.REQUEST(DNI,,,[0]!_FOR9)</definedName>
    <definedName name="zq" localSheetId="1">[7]!SQL.REQUEST(DNI,,,[0]!_FOR9)</definedName>
    <definedName name="zq" localSheetId="2">[7]!SQL.REQUEST([0]!DNI,,,'SND(창신)작성'!_FOR9)</definedName>
    <definedName name="zq">[7]!SQL.REQUEST(DNI,,,[0]!_FOR9)</definedName>
    <definedName name="zv">#N/A</definedName>
    <definedName name="zw" localSheetId="3">광주본사!zw</definedName>
    <definedName name="zw" localSheetId="1">화성!zw</definedName>
    <definedName name="zw" localSheetId="2">'SND(창신)작성'!zw</definedName>
    <definedName name="zw">[0]!zw</definedName>
    <definedName name="zxc">#N/A</definedName>
    <definedName name="zxcv">#N/A</definedName>
    <definedName name="zxzx" localSheetId="3" hidden="1">{"oct_res_comm",#N/A,FALSE,"VarToBud"}</definedName>
    <definedName name="zxzx" localSheetId="1" hidden="1">{"oct_res_comm",#N/A,FALSE,"VarToBud"}</definedName>
    <definedName name="zxzx" localSheetId="2" hidden="1">{"oct_res_comm",#N/A,FALSE,"VarToBud"}</definedName>
    <definedName name="zxzx" hidden="1">{"oct_res_comm",#N/A,FALSE,"VarToBud"}</definedName>
    <definedName name="zzaxz" localSheetId="3" hidden="1">{"detail",#N/A,FALSE,"mfg";"summary",#N/A,FALSE,"mfg"}</definedName>
    <definedName name="zzaxz" localSheetId="1" hidden="1">{"detail",#N/A,FALSE,"mfg";"summary",#N/A,FALSE,"mfg"}</definedName>
    <definedName name="zzaxz" localSheetId="2" hidden="1">{"detail",#N/A,FALSE,"mfg";"summary",#N/A,FALSE,"mfg"}</definedName>
    <definedName name="zzaxz" hidden="1">{"detail",#N/A,FALSE,"mfg";"summary",#N/A,FALSE,"mfg"}</definedName>
    <definedName name="zzz">[28]Details!$AA$129</definedName>
    <definedName name="zzzzz" localSheetId="3" hidden="1">{"vol data",#N/A,FALSE,"Datasheet";"vol graph",#N/A,FALSE,"Volume";"price data",#N/A,FALSE,"Datasheet";"price graph",#N/A,FALSE,"Price";"dp data",#N/A,FALSE,"Datasheet";"dp graph",#N/A,FALSE,"DirectProfit"}</definedName>
    <definedName name="zzzzz" localSheetId="1" hidden="1">{"vol data",#N/A,FALSE,"Datasheet";"vol graph",#N/A,FALSE,"Volume";"price data",#N/A,FALSE,"Datasheet";"price graph",#N/A,FALSE,"Price";"dp data",#N/A,FALSE,"Datasheet";"dp graph",#N/A,FALSE,"DirectProfit"}</definedName>
    <definedName name="zzzzz" localSheetId="2" hidden="1">{"vol data",#N/A,FALSE,"Datasheet";"vol graph",#N/A,FALSE,"Volume";"price data",#N/A,FALSE,"Datasheet";"price graph",#N/A,FALSE,"Price";"dp data",#N/A,FALSE,"Datasheet";"dp graph",#N/A,FALSE,"DirectProfit"}</definedName>
    <definedName name="zzzzz" hidden="1">{"vol data",#N/A,FALSE,"Datasheet";"vol graph",#N/A,FALSE,"Volume";"price data",#N/A,FALSE,"Datasheet";"price graph",#N/A,FALSE,"Price";"dp data",#N/A,FALSE,"Datasheet";"dp graph",#N/A,FALSE,"DirectProfit"}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0" l="1"/>
  <c r="A5" i="10" s="1"/>
  <c r="A6" i="10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</calcChain>
</file>

<file path=xl/sharedStrings.xml><?xml version="1.0" encoding="utf-8"?>
<sst xmlns="http://schemas.openxmlformats.org/spreadsheetml/2006/main" count="810" uniqueCount="370">
  <si>
    <t>LCO2</t>
    <phoneticPr fontId="2" type="noConversion"/>
  </si>
  <si>
    <t>단위:KG</t>
    <phoneticPr fontId="2" type="noConversion"/>
  </si>
  <si>
    <t>No.</t>
    <phoneticPr fontId="2" type="noConversion"/>
  </si>
  <si>
    <t>위치</t>
    <phoneticPr fontId="2" type="noConversion"/>
  </si>
  <si>
    <t>상호명</t>
  </si>
  <si>
    <t>소재지</t>
  </si>
  <si>
    <t>고압가스종류</t>
  </si>
  <si>
    <t>제품명</t>
    <phoneticPr fontId="2" type="noConversion"/>
  </si>
  <si>
    <t>월 사용량</t>
    <phoneticPr fontId="2" type="noConversion"/>
  </si>
  <si>
    <t>공급사</t>
    <phoneticPr fontId="2" type="noConversion"/>
  </si>
  <si>
    <t>대납업체</t>
    <phoneticPr fontId="2" type="noConversion"/>
  </si>
  <si>
    <t>경기 광명시</t>
    <phoneticPr fontId="2" type="noConversion"/>
  </si>
  <si>
    <t>기아자동차㈜</t>
  </si>
  <si>
    <t>경기도 광명시 소하동</t>
  </si>
  <si>
    <t>탄산</t>
  </si>
  <si>
    <t>선도산업</t>
    <phoneticPr fontId="2" type="noConversion"/>
  </si>
  <si>
    <t>경기 광주시</t>
    <phoneticPr fontId="2" type="noConversion"/>
  </si>
  <si>
    <t>질소, 탄산가스</t>
  </si>
  <si>
    <t>동양산업가스</t>
    <phoneticPr fontId="2" type="noConversion"/>
  </si>
  <si>
    <t>경기 화성시</t>
    <phoneticPr fontId="2" type="noConversion"/>
  </si>
  <si>
    <t>한국수자원공사 광주수도관리단</t>
  </si>
  <si>
    <t>경기도 광주시 회안대로 1061-59 (송정동)</t>
  </si>
  <si>
    <t>탄산가스</t>
  </si>
  <si>
    <t>년간입찰</t>
    <phoneticPr fontId="2" type="noConversion"/>
  </si>
  <si>
    <t>경기 평택시</t>
    <phoneticPr fontId="2" type="noConversion"/>
  </si>
  <si>
    <t>경기 김포시</t>
    <phoneticPr fontId="2" type="noConversion"/>
  </si>
  <si>
    <t>경기도 김포시 양촌읍 학운리</t>
  </si>
  <si>
    <t>경기 안산시</t>
    <phoneticPr fontId="2" type="noConversion"/>
  </si>
  <si>
    <t>경기도 안산시 상록구 부곡동</t>
  </si>
  <si>
    <t>충남 당진시</t>
    <phoneticPr fontId="2" type="noConversion"/>
  </si>
  <si>
    <t>㈜빅텍스</t>
  </si>
  <si>
    <t>경기도 김포시 송마리</t>
  </si>
  <si>
    <t>하이메트㈜</t>
  </si>
  <si>
    <t>산소, 이산화탄소</t>
  </si>
  <si>
    <t>충남 예산군</t>
    <phoneticPr fontId="2" type="noConversion"/>
  </si>
  <si>
    <t>충북 음성군</t>
    <phoneticPr fontId="2" type="noConversion"/>
  </si>
  <si>
    <t>액화산소, 액화이산화탄소</t>
  </si>
  <si>
    <t>태경케미컬</t>
    <phoneticPr fontId="2" type="noConversion"/>
  </si>
  <si>
    <t>경기 양주시</t>
    <phoneticPr fontId="2" type="noConversion"/>
  </si>
  <si>
    <t>경기 성남시</t>
    <phoneticPr fontId="2" type="noConversion"/>
  </si>
  <si>
    <t>수자원공사 성남권관리단</t>
  </si>
  <si>
    <t>경기도 성남시 수정구 사송로 96</t>
  </si>
  <si>
    <t>액체이산화탄소</t>
  </si>
  <si>
    <t>맑은물관리사업소</t>
  </si>
  <si>
    <t>경기도 성남시 수정구 성남대로1416번길 22</t>
  </si>
  <si>
    <t>액화이산화탄소</t>
  </si>
  <si>
    <t>경기 시흥시</t>
    <phoneticPr fontId="2" type="noConversion"/>
  </si>
  <si>
    <t>안산시상하수도사업소(연성정수장)</t>
  </si>
  <si>
    <t>경기도 시흥시 광석동</t>
  </si>
  <si>
    <t>경기도 시흥시 정왕동</t>
  </si>
  <si>
    <t>경기 파주시</t>
    <phoneticPr fontId="2" type="noConversion"/>
  </si>
  <si>
    <t>서진산업</t>
  </si>
  <si>
    <t>이산화탄소, 아르곤</t>
  </si>
  <si>
    <t>경기도 안산시 단원구 성곡동</t>
  </si>
  <si>
    <t>성신공업(주)</t>
  </si>
  <si>
    <t>L-O2, L-CO2</t>
  </si>
  <si>
    <t>한국수자원공사 과천권관리단</t>
  </si>
  <si>
    <t>경기 이천시</t>
    <phoneticPr fontId="2" type="noConversion"/>
  </si>
  <si>
    <t>충분 진천군</t>
    <phoneticPr fontId="2" type="noConversion"/>
  </si>
  <si>
    <t>㈜태성공업</t>
  </si>
  <si>
    <t>경기도 양주시 은현면 운암리 209-2</t>
  </si>
  <si>
    <t>산소, 탄산가스</t>
  </si>
  <si>
    <t>경기 여주시</t>
    <phoneticPr fontId="2" type="noConversion"/>
  </si>
  <si>
    <t>코카콜라음료 주식회사</t>
  </si>
  <si>
    <t>경기도 여주시 세종로 415 (점봉동)</t>
  </si>
  <si>
    <t>충북 증평군</t>
    <phoneticPr fontId="2" type="noConversion"/>
  </si>
  <si>
    <t>롯데쇼핑(주) 롯데신선품질혁신센터</t>
  </si>
  <si>
    <t>충청북도 증평군 도안면 증평2산단로 95, 롯데 신선품질혁신센터</t>
  </si>
  <si>
    <t>경기 연천군</t>
    <phoneticPr fontId="2" type="noConversion"/>
  </si>
  <si>
    <t>주식회사 백학음료</t>
  </si>
  <si>
    <t>경기도 연천군 백학면 장백로 589</t>
  </si>
  <si>
    <t>경기 용인시</t>
    <phoneticPr fontId="2" type="noConversion"/>
  </si>
  <si>
    <t>충북 충주시</t>
    <phoneticPr fontId="2" type="noConversion"/>
  </si>
  <si>
    <t>한국수자원공사 성남권관리단 수지정수장</t>
  </si>
  <si>
    <t>경기도 용인시 수지구 만현로 143  (상현동)</t>
  </si>
  <si>
    <t>탄산가스 (24000Kg), 탄산가스 (50000Kg)</t>
  </si>
  <si>
    <t>(주)윤익스디티에스</t>
  </si>
  <si>
    <t>경기도 용인시 처인구 남사읍 원암로 323</t>
  </si>
  <si>
    <t>탄산가스 (59.964톤)</t>
  </si>
  <si>
    <t>용인정수장</t>
  </si>
  <si>
    <t>경기도 용인시 처인구 모현면 매산리 산 105-4</t>
  </si>
  <si>
    <t>탄산가스 (10000Kg/㎠)</t>
  </si>
  <si>
    <t>동원산업(주) 백암물류센터(110111-0003098)</t>
  </si>
  <si>
    <t>경기도 용인시 처인구 백암면 원설로 445</t>
  </si>
  <si>
    <t>탄산가스 (29942Kg)</t>
  </si>
  <si>
    <t>씨피엘비(주)(110111-7539723)</t>
  </si>
  <si>
    <t>경기도 용인시 처인구 원삼면 죽양대로 1627</t>
  </si>
  <si>
    <t>탄산가스 (1059.864톤)</t>
  </si>
  <si>
    <t>(주)한국콜드체인</t>
  </si>
  <si>
    <t>경기도 이천시 경충대로3070번길 154-7 (사음동)</t>
  </si>
  <si>
    <t>탄산가스 (23.05Kg/㎠)</t>
  </si>
  <si>
    <t>(주)선우물류</t>
  </si>
  <si>
    <t>경기도 이천시 마장면 억만리로 3-27, B동</t>
  </si>
  <si>
    <t>탄산가스 (29.971톤)</t>
  </si>
  <si>
    <t>(주)유한산업</t>
  </si>
  <si>
    <t>경기도 이천시 신둔면 서이천로 794</t>
  </si>
  <si>
    <t>탄산가스 (29971톤)</t>
  </si>
  <si>
    <t>한국수자원공사문산정수장</t>
  </si>
  <si>
    <t>경기도 파주시 문산읍 선유리 343</t>
  </si>
  <si>
    <t>액체이산화탄소</t>
    <phoneticPr fontId="2" type="noConversion"/>
  </si>
  <si>
    <t>㈜3피엘</t>
  </si>
  <si>
    <t>경기도 파주시 조리읍 능안리 1027</t>
  </si>
  <si>
    <t>CO2</t>
  </si>
  <si>
    <t>한국수자원공사 파주공업정수장</t>
  </si>
  <si>
    <t>경기도 파주시 파주읍 봉암리 260</t>
  </si>
  <si>
    <t>이산화탄소</t>
  </si>
  <si>
    <t>신흥특수기계</t>
  </si>
  <si>
    <t>경기도 평택시 모곡동</t>
  </si>
  <si>
    <t>경기도 평택시 세교동</t>
  </si>
  <si>
    <t>(주)진성티이씨 제2공장</t>
  </si>
  <si>
    <t>아르곤, 탄산가스</t>
  </si>
  <si>
    <t>(주)동희정공 안중공장</t>
  </si>
  <si>
    <t>경기도 평택시 안중읍 덕우리</t>
  </si>
  <si>
    <t>쌍용자동차(주)</t>
  </si>
  <si>
    <t>경기도 평택시 칠괴동</t>
  </si>
  <si>
    <t xml:space="preserve">PSG </t>
  </si>
  <si>
    <t>경기도 평택시 포승읍 만호리</t>
  </si>
  <si>
    <t>우양에이치씨 주식회사</t>
  </si>
  <si>
    <t>태을산업가스</t>
    <phoneticPr fontId="2" type="noConversion"/>
  </si>
  <si>
    <t>경기 하남시</t>
    <phoneticPr fontId="2" type="noConversion"/>
  </si>
  <si>
    <t>광암아리수정수센터</t>
  </si>
  <si>
    <t>경기도 하남시 광암동 174</t>
  </si>
  <si>
    <t>에코보보스㈜</t>
  </si>
  <si>
    <t>경기도 화성시 남양읍 남양읍 남양로 239</t>
  </si>
  <si>
    <t>어프로티움</t>
    <phoneticPr fontId="2" type="noConversion"/>
  </si>
  <si>
    <t>비가동/DI Resell</t>
    <phoneticPr fontId="2" type="noConversion"/>
  </si>
  <si>
    <t>㈜에프엠에스코리아</t>
  </si>
  <si>
    <t>경기도 화성시 동탄6동 동탄산단7길 98-12</t>
  </si>
  <si>
    <t>액체탄산</t>
  </si>
  <si>
    <t>한국수자원공사 화성권관리단 화성정수장</t>
  </si>
  <si>
    <t>경기도 화성시 매송면 매송고색로503번길 235-41</t>
  </si>
  <si>
    <t>산소, 이산화탄소, 액화염소</t>
  </si>
  <si>
    <t>농업회사법인 우일팜㈜</t>
  </si>
  <si>
    <t>경기도 화성시 서신면 궁평항로 1178-88</t>
  </si>
  <si>
    <t>한맥중공업㈜</t>
  </si>
  <si>
    <t>경기도 화성시 서신면 백미길 46</t>
  </si>
  <si>
    <t>진진산업가스</t>
    <phoneticPr fontId="2" type="noConversion"/>
  </si>
  <si>
    <t>㈜에스파</t>
  </si>
  <si>
    <t>경기도 화성시 양감면 양감면 은행나무로62번길 18-12</t>
  </si>
  <si>
    <t>이산화탄소(액화)</t>
  </si>
  <si>
    <t>기아 주식회사</t>
  </si>
  <si>
    <t>경기도 화성시 우정읍 기아자동차로 95</t>
  </si>
  <si>
    <t>더웰 농업회사법인 유한회사</t>
  </si>
  <si>
    <t>경기도 화성시 우정읍 포승향남로 940-19</t>
  </si>
  <si>
    <t>액화탄산</t>
  </si>
  <si>
    <t>서진산업㈜ 화성2공장</t>
  </si>
  <si>
    <t>경기도 화성시 우정읍 호곡길168번길 100</t>
  </si>
  <si>
    <t>액화아르곤, 액화탄산</t>
  </si>
  <si>
    <t>충청북도 음성군 소이면 소이로 313</t>
  </si>
  <si>
    <t>서진산업㈜ 화성공장</t>
  </si>
  <si>
    <t>경기도 화성시 장안면  포승장안로 1481</t>
  </si>
  <si>
    <t>드라이아이스텍</t>
  </si>
  <si>
    <t>경기도 화성시 진안동 배양남길40번길 23</t>
  </si>
  <si>
    <t>한국특수가스</t>
    <phoneticPr fontId="2" type="noConversion"/>
  </si>
  <si>
    <t>㈜한울티엘</t>
  </si>
  <si>
    <t>경기도 화성시 팔탄면 서해로 1327-9</t>
  </si>
  <si>
    <t>유진화학</t>
    <phoneticPr fontId="2" type="noConversion"/>
  </si>
  <si>
    <t>한강CM㈜</t>
  </si>
  <si>
    <t>경기도 화성시 화산동 만년로969번길 17</t>
  </si>
  <si>
    <t>대주중공업(주)</t>
  </si>
  <si>
    <t>유진산업가스</t>
    <phoneticPr fontId="2" type="noConversion"/>
  </si>
  <si>
    <t>서한개발(주)</t>
  </si>
  <si>
    <t>충청북도 음성군 삼성면 대성로547번길 117-74</t>
  </si>
  <si>
    <t>(주)스페코</t>
  </si>
  <si>
    <t>산소 (20.52톤)+ 질소 (59.6㎥)+ 아르곤 (59.6㎥)+ 탄산가스 (20톤)</t>
  </si>
  <si>
    <t>(주)신한에스엔지 충주공장</t>
  </si>
  <si>
    <t>충청북도 충주시 주덕읍 충청대로 2195-31</t>
  </si>
  <si>
    <t>산소 12.264톤, 탄산가스 13.25톤</t>
    <phoneticPr fontId="2" type="noConversion"/>
  </si>
  <si>
    <t>(주)엠텍이엔지</t>
  </si>
  <si>
    <t xml:space="preserve">충청남도 당진시 송산면 당산리 496-5 </t>
  </si>
  <si>
    <t>산소 (10260Kg/㎠), 탄산가스 (49Kg/㎠)</t>
  </si>
  <si>
    <t>삼원중공업(주)</t>
  </si>
  <si>
    <t>충청남도 당진시 송악읍 송악로 612</t>
  </si>
  <si>
    <t>산소 (34.6톤), 탄산가스 (14.9톤)</t>
  </si>
  <si>
    <t>엔아이스틸(주)</t>
  </si>
  <si>
    <t>충청남도 당진시 송악읍 순성로 777-57, 한두철강(주)</t>
  </si>
  <si>
    <t>산소 (4.896톤), 탄산가스 (4.899톤)</t>
  </si>
  <si>
    <t>혜주산업(주)</t>
  </si>
  <si>
    <t>충청북도 음성군 대소면 수태로 65-29</t>
  </si>
  <si>
    <t>산소 (7톤)+ 탄산가스 (9.999톤)</t>
  </si>
  <si>
    <t>보성파워텍(주)</t>
  </si>
  <si>
    <t>충청북도 충주시 주덕읍 대창길 70</t>
  </si>
  <si>
    <t>산소 15.062톤, 탄산가스 4.905톤</t>
    <phoneticPr fontId="2" type="noConversion"/>
  </si>
  <si>
    <t>충청남도 당진시 합덕읍 면천로 1156-34</t>
  </si>
  <si>
    <t>산소 (10260Kg/㎠), 기타 (9900Kg/㎠)</t>
  </si>
  <si>
    <t>(주)신한씨에스</t>
  </si>
  <si>
    <t>충청남도 당진시 합덕읍 면천로 1339</t>
  </si>
  <si>
    <t>산소 (15.416톤), 탄산가스 (14.96톤)</t>
  </si>
  <si>
    <t>영흥금속공업(주)</t>
  </si>
  <si>
    <t>충청남도 예산군 고덕면 상궁1길 70-51</t>
  </si>
  <si>
    <t xml:space="preserve"> 산소 (10톤), 탄산가스 (5톤), 액화석유가스 (10톤)</t>
  </si>
  <si>
    <t>플래티넘맥주(주)</t>
  </si>
  <si>
    <t>충청남도 예산군 고덕면 상몽산단2길 40</t>
  </si>
  <si>
    <t xml:space="preserve"> 탄산가스 (20톤)</t>
  </si>
  <si>
    <t>(주)오텍</t>
  </si>
  <si>
    <t xml:space="preserve">충청남도 예산군 고덕면 호음리 930 </t>
  </si>
  <si>
    <t xml:space="preserve"> 탄산가스 (9993Kg)</t>
  </si>
  <si>
    <t>내포그린에너지 주식회사</t>
  </si>
  <si>
    <t xml:space="preserve">충청남도 예산군 삽교읍 목리 114-9 </t>
  </si>
  <si>
    <t xml:space="preserve"> 수소 (1174.972㎥), 질소 (898.508㎥), 탄산가스 (3.05톤)</t>
  </si>
  <si>
    <t>삼진중공업(주)</t>
  </si>
  <si>
    <t>충청남도 예산군 신암면 용산로 87</t>
  </si>
  <si>
    <t xml:space="preserve"> 탄산가스 (4.9톤)</t>
  </si>
  <si>
    <t>(주)화신</t>
  </si>
  <si>
    <t>충청남도 예산군 오가면 국사봉로 468</t>
  </si>
  <si>
    <t xml:space="preserve"> 탄산가스 (4.905톤)</t>
  </si>
  <si>
    <t>(주)무한상사</t>
  </si>
  <si>
    <t>충청북도 음성군 금왕읍 금왕테크노3길 41</t>
  </si>
  <si>
    <t>탄산가스 (49.931톤)</t>
  </si>
  <si>
    <t>엠에스스틸산업(주)</t>
  </si>
  <si>
    <t>충청북도 음성군 금왕읍 금일로 492-66</t>
  </si>
  <si>
    <t>산소 (4.977톤)+ 탄산가스 (4.905톤)</t>
  </si>
  <si>
    <t>신일산업개발(주)</t>
  </si>
  <si>
    <t>충청북도 음성군 금왕읍 금일로 492-72</t>
  </si>
  <si>
    <t>산소 (4.986톤)+ 탄산가스 (4.905톤)</t>
  </si>
  <si>
    <t>(주)호성산업</t>
  </si>
  <si>
    <t>충청북도 음성군 금왕읍 금일로284번길 68-66</t>
  </si>
  <si>
    <t>탄산가스 (10톤)</t>
  </si>
  <si>
    <t>전진건설로봇(주)</t>
  </si>
  <si>
    <t>충청북도 음성군 금왕읍 대금로 1264</t>
  </si>
  <si>
    <t>아르곤 (4.9톤)+ 탄산가스 (4.9톤)</t>
  </si>
  <si>
    <t>동원디어푸드(주)</t>
  </si>
  <si>
    <t>충청북도 음성군 금왕읍 유촌산단1길 54</t>
  </si>
  <si>
    <t>탄산가스 (29.995톤)</t>
  </si>
  <si>
    <t>케이지이앤씨(주)</t>
  </si>
  <si>
    <t>충청북도 음성군 삼성면 대금로 709</t>
  </si>
  <si>
    <t>산소 (9.69톤)+ 탄산가스 (15톤)</t>
  </si>
  <si>
    <t>세진에스앤티(주)</t>
  </si>
  <si>
    <t>충청북도 음성군 음성읍 용광로 596</t>
  </si>
  <si>
    <t>산소 (15.061톤)+ 탄산가스 (9.9톤)</t>
  </si>
  <si>
    <t>㈜센코어테크</t>
  </si>
  <si>
    <t>충청북도 진천읍 장관리 산1-32</t>
    <phoneticPr fontId="2" type="noConversion"/>
  </si>
  <si>
    <t>기타 (9.998톤)</t>
  </si>
  <si>
    <t>플래티넘크래프트맥주주식회사</t>
  </si>
  <si>
    <t>충청북도 증평군 증평읍 미암리 88</t>
  </si>
  <si>
    <t>탄산가스 (.7)</t>
  </si>
  <si>
    <t>(주)금강B&amp;F</t>
  </si>
  <si>
    <t>충청북도 충주시 대소원면 두산길 106</t>
  </si>
  <si>
    <t>질소3.491톤, 탄산 9.898톤</t>
    <phoneticPr fontId="2" type="noConversion"/>
  </si>
  <si>
    <t>태성EPS</t>
  </si>
  <si>
    <t>충청북도 충주시 대소원면 메가폴리스2로 36, 태성EPS</t>
  </si>
  <si>
    <t>롯데칠성음료(주) 주류비지</t>
  </si>
  <si>
    <t>충청북도 충주시 대소원면 메가폴리스로 87, 롯데칠성음료(주)충주2공장</t>
  </si>
  <si>
    <t>에스지신성건설 주식회사</t>
  </si>
  <si>
    <t>충청북도 충주시 동량면 수회길 264</t>
  </si>
  <si>
    <t>탄산가스 10톤</t>
    <phoneticPr fontId="2" type="noConversion"/>
  </si>
  <si>
    <t>한국수자원공사 한강권역부문 충주권지사</t>
  </si>
  <si>
    <t xml:space="preserve">충청북도 충주시 용탄동 305-3 한국수자원공사충주권관리단 </t>
  </si>
  <si>
    <t>탄산가스 39.862톤</t>
    <phoneticPr fontId="2" type="noConversion"/>
  </si>
  <si>
    <t>서울장수㈜</t>
  </si>
  <si>
    <t>충청북도 광혜원면 죽현길 141</t>
    <phoneticPr fontId="2" type="noConversion"/>
  </si>
  <si>
    <t>L-CO2</t>
  </si>
  <si>
    <t>㈜올뉴스틸</t>
  </si>
  <si>
    <t>충청북도 이월면 장수로 259</t>
    <phoneticPr fontId="2" type="noConversion"/>
  </si>
  <si>
    <t>탄산</t>
    <phoneticPr fontId="2" type="noConversion"/>
  </si>
  <si>
    <t>㈜현대에버다임</t>
  </si>
  <si>
    <t>충청북도 진천읍 부영길 49</t>
    <phoneticPr fontId="2" type="noConversion"/>
  </si>
  <si>
    <t>탄산가스, 아르곤</t>
    <phoneticPr fontId="2" type="noConversion"/>
  </si>
  <si>
    <t>연락처</t>
    <phoneticPr fontId="2" type="noConversion"/>
  </si>
  <si>
    <t>어프로티움/동광</t>
    <phoneticPr fontId="2" type="noConversion"/>
  </si>
  <si>
    <t>담당</t>
    <phoneticPr fontId="2" type="noConversion"/>
  </si>
  <si>
    <t>비 고</t>
    <phoneticPr fontId="2" type="noConversion"/>
  </si>
  <si>
    <t>DI</t>
    <phoneticPr fontId="2" type="noConversion"/>
  </si>
  <si>
    <t xml:space="preserve">신일가스 </t>
    <phoneticPr fontId="2" type="noConversion"/>
  </si>
  <si>
    <t>탄산가스 49.062톤, 20톤</t>
    <phoneticPr fontId="2" type="noConversion"/>
  </si>
  <si>
    <t>* 경쟁사 지역별 LCO2 업체 현황</t>
    <phoneticPr fontId="2" type="noConversion"/>
  </si>
  <si>
    <t>50톤 탱크</t>
    <phoneticPr fontId="2" type="noConversion"/>
  </si>
  <si>
    <t>25톤 탱크</t>
    <phoneticPr fontId="2" type="noConversion"/>
  </si>
  <si>
    <t>부산 강서구</t>
    <phoneticPr fontId="2" type="noConversion"/>
  </si>
  <si>
    <t>㈜광림마린테크</t>
    <phoneticPr fontId="2" type="noConversion"/>
  </si>
  <si>
    <t>부산 강서구 미음산단4로 58</t>
    <phoneticPr fontId="2" type="noConversion"/>
  </si>
  <si>
    <t>LCO2, LO2, LAR, LPG</t>
    <phoneticPr fontId="2" type="noConversion"/>
  </si>
  <si>
    <t>창신</t>
    <phoneticPr fontId="2" type="noConversion"/>
  </si>
  <si>
    <t>051-313-0055</t>
    <phoneticPr fontId="2" type="noConversion"/>
  </si>
  <si>
    <t>선박의장품</t>
    <phoneticPr fontId="2" type="noConversion"/>
  </si>
  <si>
    <t>ENK</t>
    <phoneticPr fontId="2" type="noConversion"/>
  </si>
  <si>
    <t>부산 강서구 과학산단로 502</t>
    <phoneticPr fontId="2" type="noConversion"/>
  </si>
  <si>
    <t>LCO2, LO2, LPG</t>
    <phoneticPr fontId="2" type="noConversion"/>
  </si>
  <si>
    <t>051-974-7624</t>
  </si>
  <si>
    <t>금속탱크 및 저장용기</t>
    <phoneticPr fontId="2" type="noConversion"/>
  </si>
  <si>
    <t>창원 진해</t>
    <phoneticPr fontId="2" type="noConversion"/>
  </si>
  <si>
    <t>㈜케이조선</t>
    <phoneticPr fontId="2" type="noConversion"/>
  </si>
  <si>
    <t>경남 창원시 진해구 명제로 60</t>
    <phoneticPr fontId="2" type="noConversion"/>
  </si>
  <si>
    <t>창신, 신창, 신비오</t>
    <phoneticPr fontId="2" type="noConversion"/>
  </si>
  <si>
    <t>055-548-1122</t>
    <phoneticPr fontId="2" type="noConversion"/>
  </si>
  <si>
    <t>강선건조업</t>
    <phoneticPr fontId="2" type="noConversion"/>
  </si>
  <si>
    <t>함안 군북</t>
    <phoneticPr fontId="2" type="noConversion"/>
  </si>
  <si>
    <t>비에이치아이㈜</t>
    <phoneticPr fontId="2" type="noConversion"/>
  </si>
  <si>
    <t>경남 함안군 군북면 장백로 122</t>
    <phoneticPr fontId="2" type="noConversion"/>
  </si>
  <si>
    <t>055-585-3800</t>
    <phoneticPr fontId="2" type="noConversion"/>
  </si>
  <si>
    <t>발전, 제철설비</t>
    <phoneticPr fontId="2" type="noConversion"/>
  </si>
  <si>
    <t>부산 사하구</t>
    <phoneticPr fontId="2" type="noConversion"/>
  </si>
  <si>
    <t>㈜대일씨텍</t>
    <phoneticPr fontId="2" type="noConversion"/>
  </si>
  <si>
    <t>부산 사하구 감천항로405번길 60</t>
    <phoneticPr fontId="2" type="noConversion"/>
  </si>
  <si>
    <t>LCO2</t>
  </si>
  <si>
    <t>051-204-1515</t>
    <phoneticPr fontId="2" type="noConversion"/>
  </si>
  <si>
    <t>수리조선</t>
    <phoneticPr fontId="2" type="noConversion"/>
  </si>
  <si>
    <t>창원 진북</t>
    <phoneticPr fontId="2" type="noConversion"/>
  </si>
  <si>
    <t>통일보일러㈜</t>
    <phoneticPr fontId="2" type="noConversion"/>
  </si>
  <si>
    <t>경남 창원시 마산합포구 진북면 진북신촌로 181</t>
  </si>
  <si>
    <t>051-323-1311</t>
  </si>
  <si>
    <t>산업용보일러</t>
    <phoneticPr fontId="2" type="noConversion"/>
  </si>
  <si>
    <t>고성 동해</t>
    <phoneticPr fontId="2" type="noConversion"/>
  </si>
  <si>
    <t>금강중공업㈜</t>
    <phoneticPr fontId="2" type="noConversion"/>
  </si>
  <si>
    <t>경남 고성군 동해면 동해로 1469</t>
    <phoneticPr fontId="2" type="noConversion"/>
  </si>
  <si>
    <t>LCO2, LO2</t>
    <phoneticPr fontId="2" type="noConversion"/>
  </si>
  <si>
    <t>창신, 신비오</t>
    <phoneticPr fontId="2" type="noConversion"/>
  </si>
  <si>
    <t>055-670-3500</t>
    <phoneticPr fontId="2" type="noConversion"/>
  </si>
  <si>
    <t>선보공업㈜</t>
    <phoneticPr fontId="2" type="noConversion"/>
  </si>
  <si>
    <t>부산 사하구 다산로 80</t>
    <phoneticPr fontId="2" type="noConversion"/>
  </si>
  <si>
    <t>051-260-5531</t>
    <phoneticPr fontId="2" type="noConversion"/>
  </si>
  <si>
    <t>선보유니텍㈜</t>
    <phoneticPr fontId="2" type="noConversion"/>
  </si>
  <si>
    <t xml:space="preserve">부산 사하구 감천항로 405번길 61 </t>
    <phoneticPr fontId="2" type="noConversion"/>
  </si>
  <si>
    <t>051-266-3454</t>
    <phoneticPr fontId="2" type="noConversion"/>
  </si>
  <si>
    <t>경산 진량</t>
    <phoneticPr fontId="2" type="noConversion"/>
  </si>
  <si>
    <t>청한산업㈜</t>
    <phoneticPr fontId="2" type="noConversion"/>
  </si>
  <si>
    <t>경상북도 경산시 진량읍 다문로 184</t>
  </si>
  <si>
    <t>053-856-1122</t>
    <phoneticPr fontId="2" type="noConversion"/>
  </si>
  <si>
    <t>고압가스충전업</t>
    <phoneticPr fontId="2" type="noConversion"/>
  </si>
  <si>
    <t>SK오션플렌트㈜</t>
  </si>
  <si>
    <t>경남 고성군 동해면 내산3길 51-1</t>
  </si>
  <si>
    <t>창신, 신창</t>
    <phoneticPr fontId="2" type="noConversion"/>
  </si>
  <si>
    <t>055-673-7014</t>
    <phoneticPr fontId="2" type="noConversion"/>
  </si>
  <si>
    <t>전남 영암군</t>
    <phoneticPr fontId="2" type="noConversion"/>
  </si>
  <si>
    <t>대흥가스</t>
    <phoneticPr fontId="2" type="noConversion"/>
  </si>
  <si>
    <t xml:space="preserve"> 전남 영암군 삼호읍 나불로 336</t>
    <phoneticPr fontId="2" type="noConversion"/>
  </si>
  <si>
    <t xml:space="preserve"> LCO2 20Ton*1</t>
    <phoneticPr fontId="2" type="noConversion"/>
  </si>
  <si>
    <t>창신화학</t>
    <phoneticPr fontId="2" type="noConversion"/>
  </si>
  <si>
    <t>충전소 배달도</t>
    <phoneticPr fontId="2" type="noConversion"/>
  </si>
  <si>
    <t>나부주 이사</t>
    <phoneticPr fontId="2" type="noConversion"/>
  </si>
  <si>
    <t>010-3609-8880</t>
    <phoneticPr fontId="2" type="noConversion"/>
  </si>
  <si>
    <t>배달도 공급</t>
    <phoneticPr fontId="2" type="noConversion"/>
  </si>
  <si>
    <t>광주시 서구</t>
    <phoneticPr fontId="2" type="noConversion"/>
  </si>
  <si>
    <t>대창가스㈜</t>
    <phoneticPr fontId="2" type="noConversion"/>
  </si>
  <si>
    <t xml:space="preserve"> 광주시 남구 서문대로 473번길 12</t>
    <phoneticPr fontId="2" type="noConversion"/>
  </si>
  <si>
    <t xml:space="preserve"> LCO2 15Ton*1</t>
    <phoneticPr fontId="2" type="noConversion"/>
  </si>
  <si>
    <t>창신화학</t>
  </si>
  <si>
    <t>충전소 배달도</t>
  </si>
  <si>
    <t>이민용 전무</t>
    <phoneticPr fontId="2" type="noConversion"/>
  </si>
  <si>
    <t>010-9346-3160</t>
    <phoneticPr fontId="2" type="noConversion"/>
  </si>
  <si>
    <t>배달도 공급</t>
  </si>
  <si>
    <t>전남 광양시</t>
    <phoneticPr fontId="2" type="noConversion"/>
  </si>
  <si>
    <t>한화오션에코텍</t>
    <phoneticPr fontId="2" type="noConversion"/>
  </si>
  <si>
    <t xml:space="preserve"> 전남 광양시 광양읍 율촌산단3로 111</t>
    <phoneticPr fontId="2" type="noConversion"/>
  </si>
  <si>
    <t xml:space="preserve"> LCO2 30Ton*2</t>
    <phoneticPr fontId="2" type="noConversion"/>
  </si>
  <si>
    <t>㈜창신</t>
    <phoneticPr fontId="2" type="noConversion"/>
  </si>
  <si>
    <t>년간 입찰</t>
    <phoneticPr fontId="2" type="noConversion"/>
  </si>
  <si>
    <t>정성철 책임</t>
    <phoneticPr fontId="2" type="noConversion"/>
  </si>
  <si>
    <t>010-4644-8788</t>
    <phoneticPr fontId="2" type="noConversion"/>
  </si>
  <si>
    <t>임대 장비</t>
    <phoneticPr fontId="2" type="noConversion"/>
  </si>
  <si>
    <t>경남 창원시</t>
    <phoneticPr fontId="2" type="noConversion"/>
  </si>
  <si>
    <t>(주)케이조선</t>
    <phoneticPr fontId="2" type="noConversion"/>
  </si>
  <si>
    <t xml:space="preserve"> 경남 창원시 진해구 명제로60</t>
    <phoneticPr fontId="2" type="noConversion"/>
  </si>
  <si>
    <t xml:space="preserve"> LCO2 30Ton*1</t>
    <phoneticPr fontId="2" type="noConversion"/>
  </si>
  <si>
    <t>창산가스</t>
    <phoneticPr fontId="2" type="noConversion"/>
  </si>
  <si>
    <t>3개 공급사 선정</t>
    <phoneticPr fontId="2" type="noConversion"/>
  </si>
  <si>
    <t>전남 여수시</t>
    <phoneticPr fontId="2" type="noConversion"/>
  </si>
  <si>
    <t>공단산업가스</t>
    <phoneticPr fontId="2" type="noConversion"/>
  </si>
  <si>
    <t xml:space="preserve"> 전남 여수시 상암로 402</t>
    <phoneticPr fontId="2" type="noConversion"/>
  </si>
  <si>
    <t xml:space="preserve"> LCO2 10Ton*1</t>
    <phoneticPr fontId="2" type="noConversion"/>
  </si>
  <si>
    <t>강태경 전무</t>
    <phoneticPr fontId="2" type="noConversion"/>
  </si>
  <si>
    <t>010-7653-3180</t>
    <phoneticPr fontId="2" type="noConversion"/>
  </si>
  <si>
    <t>3개사 거래중</t>
    <phoneticPr fontId="2" type="noConversion"/>
  </si>
  <si>
    <t>지역</t>
    <phoneticPr fontId="2" type="noConversion"/>
  </si>
  <si>
    <t>화성</t>
    <phoneticPr fontId="2" type="noConversion"/>
  </si>
  <si>
    <t>에스엔디</t>
    <phoneticPr fontId="2" type="noConversion"/>
  </si>
  <si>
    <t>광주본사</t>
    <phoneticPr fontId="2" type="noConversion"/>
  </si>
  <si>
    <t>단위:톤</t>
    <phoneticPr fontId="2" type="noConversion"/>
  </si>
  <si>
    <t>대한주강㈜</t>
    <phoneticPr fontId="2" type="noConversion"/>
  </si>
  <si>
    <t>가스사용무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</si>
</sst>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2"/>
      <charset val="129"/>
    </font>
    <font>
      <sz val="11"/>
      <color theme="1"/>
      <name val="굴림"/>
      <family val="2"/>
      <charset val="129"/>
    </font>
    <font>
      <sz val="12"/>
      <name val="굴림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0" borderId="0"/>
    <xf numFmtId="0" fontId="6" fillId="0" borderId="0"/>
  </cellStyleXfs>
  <cellXfs count="61">
    <xf numFmtId="0" fontId="0" fillId="0" borderId="0" xfId="0">
      <alignment vertical="center"/>
    </xf>
    <xf numFmtId="0" fontId="4" fillId="0" borderId="0" xfId="2" applyFont="1"/>
    <xf numFmtId="0" fontId="4" fillId="0" borderId="0" xfId="2" applyFont="1" applyAlignment="1">
      <alignment horizontal="center"/>
    </xf>
    <xf numFmtId="176" fontId="4" fillId="0" borderId="0" xfId="1" applyFont="1" applyAlignment="1"/>
    <xf numFmtId="0" fontId="4" fillId="0" borderId="1" xfId="2" applyFont="1" applyBorder="1" applyAlignment="1">
      <alignment horizontal="center"/>
    </xf>
    <xf numFmtId="176" fontId="4" fillId="0" borderId="1" xfId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left"/>
    </xf>
    <xf numFmtId="176" fontId="4" fillId="0" borderId="1" xfId="1" applyFont="1" applyBorder="1" applyAlignment="1"/>
    <xf numFmtId="0" fontId="4" fillId="0" borderId="1" xfId="2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5" fillId="0" borderId="1" xfId="1" applyFont="1" applyBorder="1">
      <alignment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horizontal="center"/>
    </xf>
    <xf numFmtId="176" fontId="4" fillId="0" borderId="2" xfId="1" applyFont="1" applyBorder="1" applyAlignment="1"/>
    <xf numFmtId="0" fontId="4" fillId="0" borderId="2" xfId="2" applyFont="1" applyBorder="1"/>
    <xf numFmtId="0" fontId="5" fillId="0" borderId="0" xfId="0" applyFont="1">
      <alignment vertical="center"/>
    </xf>
    <xf numFmtId="0" fontId="4" fillId="0" borderId="3" xfId="2" applyFont="1" applyBorder="1"/>
    <xf numFmtId="0" fontId="4" fillId="0" borderId="3" xfId="2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76" fontId="7" fillId="0" borderId="0" xfId="1" applyFont="1" applyAlignment="1">
      <alignment horizontal="center" vertical="center"/>
    </xf>
    <xf numFmtId="176" fontId="7" fillId="0" borderId="1" xfId="1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176" fontId="7" fillId="0" borderId="2" xfId="1" applyFont="1" applyBorder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7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left" vertical="center"/>
    </xf>
    <xf numFmtId="176" fontId="7" fillId="0" borderId="4" xfId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6" xfId="2" applyFont="1" applyBorder="1" applyAlignment="1">
      <alignment horizontal="left" vertical="center"/>
    </xf>
    <xf numFmtId="176" fontId="7" fillId="0" borderId="6" xfId="1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0" borderId="9" xfId="2" applyFont="1" applyBorder="1" applyAlignment="1">
      <alignment horizontal="left" vertical="center"/>
    </xf>
    <xf numFmtId="176" fontId="7" fillId="0" borderId="9" xfId="1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0" borderId="14" xfId="2" applyFont="1" applyBorder="1" applyAlignment="1">
      <alignment horizontal="left" vertical="center"/>
    </xf>
    <xf numFmtId="176" fontId="7" fillId="0" borderId="14" xfId="1" applyFont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3" xr:uid="{00000000-0005-0000-0000-000003000000}"/>
    <cellStyle name="표준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externalLink" Target="externalLinks/externalLink73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/RegAcctg/Accounting/JVs/FY%2000/kig/USGaap%20files/9912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GI%20TOTAL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RegAcctg/Accounting/JVs/FY%2099/Mal/fa/FAG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98vs97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S_DAT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My%20Documents/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ODBC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oup%20Commitment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Projects/APL_MF_MAR2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dows/TEMP/00&#44592;&#47568;&#44048;&#49324;/00&#51473;&#44036;&#44048;&#49324;/0009I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yapr/Local%20Settings/Temporary%20Internet%20Files/OLK35/CORPSERV/FY99Bud/BUD97J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RegAcctg/Reporting/Ops%20Plan/FY%2001/Trend/Operate%20Plan/98%20Plan/ARD/98CoreTemplat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Operate%20Plan/98%20Plan/ARD/98CoreTemplat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My%20Documents/1%20Business/2%20Air%20Products/8%20Project%20Management/Knowledge%20Objects/Folger's%20Trend%20Slid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Metals/Fy98Qtr4/BarQ4/Q4Slides-linked%20p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kr02339/BONG's%20share/data/RegAcctg/Accounting/JVs/FY%2000/kig/USGaap%20files/9912E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CNTRLSHP/WENDY/CLOSING/ALOCDE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Thomas/10%20Methylsmac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ASIACONSO/CONSO%20P&amp;L/Fy99/9810/ASA99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devose.europe/Local%20Settings/Temporary%20Internet%20Files/OLK3/Controllers%20Memo%20FY02q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devose.europe/Local%20Settings/Temporary%20Internet%20Files/OLK3/Cont%20Memo%20BusContq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croccoms.america/Local%20Settings/Temporary%20Internet%20Files/OLK7/WW%20Electronics%20BAR%20Pkg%2011May02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FINANCE/Controllership%20Activities/Budget/Overheads/ELECOHDSO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TEMP/EARLYC~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FinAnalysis/Corcoran/Capital/March%20CPI%20Capital%20Update/CPI%20Capital%20March-%20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EBDD/Geg_Proj/2003%20Capital%20Budget/FY03%20Q1%20Update/BAR/CPI_8_1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croccoms.america/Local%20Settings/Temporary%20Internet%20Files/OLK7/TONNAGEFY0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FinAnalysis/MentzRG/FY02%20Op%20Plan/CPI%20Capital%20October%20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TEMP/Dec%2000%20Receievable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gmtinfo/Budget03/Op%20Plan%20Reports/Plans%20Back-u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Gcct1/bulk/Fy2000/Act00/April%2000/New%20Major%20Factors%20Europe%20Apr0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Thomas/Koln/K4/Financial%20Models/K4%20MicMult%20DM_APP%20&amp;%20APCI%20v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TEMP/PEDBUD99.XLW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Desktop/BUDAIR-FY01%20Op%20Plan/Reports/SAnCL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userdirs/GagenTM/DATA/EXCEL/WORK/REPORT/Reporting%20Models/LHYRECO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leskowsa.america/Local%20Settings/Temporary%20Internet%20Files/OLK6E/ESG%20NatSpend%20Sep02%201011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Fully%20costed%20P&amp;L/FY00%20Monthly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heidtta/01OpPlan/BUDAIR/UserInputs/BSLd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TEMP/I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Regional_BDS/Reporting/MFO/Base%20Gases/Reports/FY%2004/BaseGas-Dec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TEMP/cpirunrate2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Budget%202000/Emulsions/WW%20Emulsions%20FY00-02%20budget%20--%20Aug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WINDOWS/TEMP/Us%20Suppor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PGD/Bud99/operations/OPSBRO99Rev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Operational%20Analysis/FY03%20Operating%20Plan/Financial%20Stmts/WW%20F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FINANCE/CYLINDER/Reporting%20Q/Scorecard/Q3%20F02/Support%20PGG%20Q3%20F02%20scorecards%20and%20BA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Operate%20Plan/98%20Plan/97_BGT/PGH/APCONSOL/97B_CONS.XLW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Budget02/Op%20Plan%20Reports/Currency%20Analysi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/RegAcctg/Accounting/JVs/FY%2099/Kor/9905ES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FINANCE/budget%2099/genmeg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SNAPSHOT/fy02/ss3/Snapshot#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GMT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EBDD/Geg_Proj/2002%20Capital%20Budget/FY02%20Q2%20Update/CapFcastQ2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RegAcctg/Database/Volume%20Chart/FY03/Volume%20Data_Line%20Chart%20FY03%2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Receivables/Mar%2000%20Receivable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hoysanwe/Closing/FY99/Oct98/Aug98/Aug%20Recal%20master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Q1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FinAnalysis/MentzRG/FY02%20Op%20Plan/SG&amp;A/SG&amp;A/Costs%20AssetMgm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hoysanwe/SGA/DCKSGA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hoysanwe/Closing/May98/MERP/AAG(Revised)%2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opicon2%20(OP%2002-04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Analcy96/1JLS/Natural%20Spending%20Reporting/FY03/FY03%20January/ESG%20NatSpend%20Jan03%20021403%20Auto%20Comment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ACCTING/JPJSHOW/Q299jpj/Q299JPJ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Budget%202000/Emulsions/Europe/Europe%20budge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Asia%20Closing%20Process/Closing%20Model%20FY%2099/DecMode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TEMPSHAR/97BUDGET/EAST/VOLUME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CNTRLSHP/99op/allocated%20deb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RegAcctg/Ops%20Plan/FY%2003/VACB/ASIA-FY04%20VACB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TEMP/SUMALL96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WINDOWS/TEMP/windows/TEMP/133rpt%20Sept2000%20Sorted%20yap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CNTRLSHP/96FCST/GRP/EES_SS1.XLW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RegAcctg/Reporting/Trend/Overhead/FY%2000/SG&amp;A001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Giba3/depts/IGDCONT/CYLCTRL/Budfy00/Budget%2000/Bud%2000%20Sales%20Workings/REG_TRD.xlw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Documents%20and%20Settings/letlowew.america/Local%20Settings/Temporary%20Internet%20Files/OLKB/Tonnage%20Budget%20Template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SRCO/MONTHEND%20FY01/REPORTING/GRhodes/FY01/P11/SG&amp;A%20REPORT%20P11%2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CNTRLSHP/RESULTS/ongvarpy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Finical1/cathy/My%20Documents/9804/FA%20report-Apr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shdata/share/ALESILA/EXCEL5/Finance/BUD-FC/FINANCE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merlion/Finance/WINDOWS/TEMP/BS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 P&amp;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 TOTAL"/>
      <sheetName val="Non-Pers Infl"/>
      <sheetName val="Euro stock"/>
      <sheetName val="NthAmVol"/>
      <sheetName val="GEG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IB_7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98vs97"/>
      <sheetName val="GI TOTAL"/>
      <sheetName val="Est P&amp;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S_DATA"/>
      <sheetName val="Q_COMP.XLS"/>
      <sheetName val="GEG"/>
      <sheetName val="Volumes"/>
      <sheetName val="Q_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GEG"/>
      <sheetName val="Q_COMP.XLS"/>
      <sheetName val="test"/>
      <sheetName val="Data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ODBC"/>
      <sheetName val="Loc Table"/>
      <sheetName val="VBA Functions"/>
      <sheetName val="Funciones de VBA"/>
      <sheetName val="Funções do VBA "/>
      <sheetName val="Funzioni VBA"/>
      <sheetName val="#REF"/>
      <sheetName val="Details"/>
      <sheetName val="Funciones_de_VBA"/>
      <sheetName val="Loc_Table"/>
      <sheetName val="VBA_Functions"/>
      <sheetName val="Funções_do_VBA_"/>
      <sheetName val="Funzioni_VBA"/>
      <sheetName val="Aux"/>
    </sheetNames>
    <definedNames>
      <definedName name="SQL.REQUEST" refersTo="='XLODBC'!$B$156"/>
    </definedNames>
    <sheetDataSet>
      <sheetData sheetId="0" refreshError="1">
        <row r="156">
          <cell r="B156" t="b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Commitments"/>
      <sheetName val="NthAmVol"/>
      <sheetName val="Sheet3"/>
      <sheetName val="Non-Pers Infl"/>
      <sheetName val="Sheet2"/>
      <sheetName val="MIG-Assume"/>
      <sheetName val="PS List"/>
      <sheetName val="R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 Factors"/>
      <sheetName val="APRES Input"/>
      <sheetName val="Tables"/>
      <sheetName val="Distribution"/>
      <sheetName val="One-offs"/>
    </sheetNames>
    <sheetDataSet>
      <sheetData sheetId="0"/>
      <sheetData sheetId="1" refreshError="1">
        <row r="9">
          <cell r="B9" t="str">
            <v>Revenue</v>
          </cell>
          <cell r="C9">
            <v>375.84519</v>
          </cell>
          <cell r="D9">
            <v>6465.0962300000001</v>
          </cell>
          <cell r="E9" t="str">
            <v>0</v>
          </cell>
          <cell r="F9">
            <v>6840.9414200000001</v>
          </cell>
        </row>
        <row r="10">
          <cell r="B10" t="str">
            <v>COS</v>
          </cell>
          <cell r="C10">
            <v>375.84519</v>
          </cell>
          <cell r="D10">
            <v>3137.3454948920012</v>
          </cell>
          <cell r="E10" t="str">
            <v>0</v>
          </cell>
          <cell r="F10">
            <v>3513.1906848920012</v>
          </cell>
        </row>
        <row r="11">
          <cell r="B11" t="str">
            <v>Gross Profit</v>
          </cell>
          <cell r="C11">
            <v>0</v>
          </cell>
          <cell r="D11">
            <v>3327.7507351079989</v>
          </cell>
          <cell r="E11" t="str">
            <v>0</v>
          </cell>
          <cell r="F11">
            <v>3327.7507351079989</v>
          </cell>
        </row>
        <row r="12">
          <cell r="B12" t="str">
            <v>Bulk Tpt</v>
          </cell>
          <cell r="C12" t="str">
            <v>0</v>
          </cell>
          <cell r="D12">
            <v>1510.173227</v>
          </cell>
          <cell r="E12">
            <v>-15.934365199999998</v>
          </cell>
          <cell r="F12">
            <v>1494.2388618</v>
          </cell>
        </row>
        <row r="13">
          <cell r="B13" t="str">
            <v>IM</v>
          </cell>
          <cell r="C13" t="str">
            <v>0</v>
          </cell>
          <cell r="D13">
            <v>482.32428000000004</v>
          </cell>
          <cell r="E13" t="str">
            <v>0</v>
          </cell>
          <cell r="F13">
            <v>482.32428000000004</v>
          </cell>
        </row>
        <row r="14">
          <cell r="B14" t="str">
            <v>Distribution</v>
          </cell>
          <cell r="C14" t="str">
            <v>0</v>
          </cell>
          <cell r="D14">
            <v>2006.09196967</v>
          </cell>
          <cell r="E14">
            <v>-15.934365199999998</v>
          </cell>
          <cell r="F14">
            <v>1990.15760447</v>
          </cell>
        </row>
        <row r="15">
          <cell r="B15" t="str">
            <v>Direct Profit</v>
          </cell>
          <cell r="C15">
            <v>0</v>
          </cell>
          <cell r="D15">
            <v>1321.6587654379989</v>
          </cell>
          <cell r="E15">
            <v>15.934365199999998</v>
          </cell>
          <cell r="F15">
            <v>1337.5931306379989</v>
          </cell>
        </row>
        <row r="16">
          <cell r="B16" t="str">
            <v>Overheads</v>
          </cell>
          <cell r="C16" t="str">
            <v>0</v>
          </cell>
          <cell r="D16">
            <v>323.81364178000001</v>
          </cell>
          <cell r="E16">
            <v>-34.244865400000002</v>
          </cell>
          <cell r="F16">
            <v>289.56877638000003</v>
          </cell>
        </row>
        <row r="17">
          <cell r="B17" t="str">
            <v>Operating Profit</v>
          </cell>
          <cell r="C17">
            <v>0</v>
          </cell>
          <cell r="D17">
            <v>997.8451236579989</v>
          </cell>
          <cell r="E17">
            <v>50.179230599999997</v>
          </cell>
          <cell r="F17">
            <v>1048.024354257999</v>
          </cell>
        </row>
        <row r="18">
          <cell r="B18" t="str">
            <v>OIE</v>
          </cell>
          <cell r="C18" t="str">
            <v>0</v>
          </cell>
          <cell r="D18">
            <v>26.273406999999999</v>
          </cell>
          <cell r="E18" t="str">
            <v>0</v>
          </cell>
          <cell r="F18">
            <v>26.273406999999999</v>
          </cell>
        </row>
        <row r="19">
          <cell r="B19" t="str">
            <v>Oper Income</v>
          </cell>
          <cell r="C19">
            <v>0</v>
          </cell>
          <cell r="D19">
            <v>971.57171665799888</v>
          </cell>
          <cell r="E19">
            <v>50.179230599999997</v>
          </cell>
          <cell r="F19">
            <v>1021.7509472579989</v>
          </cell>
        </row>
        <row r="23">
          <cell r="B23" t="str">
            <v>Revenue</v>
          </cell>
          <cell r="C23">
            <v>105.57686000000001</v>
          </cell>
          <cell r="D23">
            <v>6537.6656299999995</v>
          </cell>
          <cell r="E23" t="str">
            <v>0</v>
          </cell>
          <cell r="F23">
            <v>6643.2424899999996</v>
          </cell>
        </row>
        <row r="24">
          <cell r="B24" t="str">
            <v>COS</v>
          </cell>
          <cell r="C24">
            <v>105.57686</v>
          </cell>
          <cell r="D24">
            <v>3028.1494378120001</v>
          </cell>
          <cell r="E24" t="str">
            <v>0</v>
          </cell>
          <cell r="F24">
            <v>3133.7262978120002</v>
          </cell>
        </row>
        <row r="25">
          <cell r="B25" t="str">
            <v>Gross Profit</v>
          </cell>
          <cell r="C25">
            <v>0</v>
          </cell>
          <cell r="D25">
            <v>3509.5161921879994</v>
          </cell>
          <cell r="E25" t="str">
            <v>0</v>
          </cell>
          <cell r="F25">
            <v>3509.5161921879994</v>
          </cell>
        </row>
        <row r="26">
          <cell r="B26" t="str">
            <v>Bulk Tpt</v>
          </cell>
          <cell r="C26" t="str">
            <v>0</v>
          </cell>
          <cell r="D26">
            <v>1499.5029200000004</v>
          </cell>
          <cell r="E26">
            <v>-18.074274399999997</v>
          </cell>
          <cell r="F26">
            <v>1481.4286456000004</v>
          </cell>
        </row>
        <row r="27">
          <cell r="B27" t="str">
            <v>IM</v>
          </cell>
          <cell r="C27" t="str">
            <v>0</v>
          </cell>
          <cell r="D27">
            <v>607.35006000000021</v>
          </cell>
          <cell r="E27" t="str">
            <v>0</v>
          </cell>
          <cell r="F27">
            <v>607.35006000000021</v>
          </cell>
        </row>
        <row r="28">
          <cell r="B28" t="str">
            <v>Distribution</v>
          </cell>
          <cell r="C28" t="str">
            <v>0</v>
          </cell>
          <cell r="D28">
            <v>2124.0978135700007</v>
          </cell>
          <cell r="E28">
            <v>-18.074274399999997</v>
          </cell>
          <cell r="F28">
            <v>2106.0235391700007</v>
          </cell>
        </row>
        <row r="29">
          <cell r="B29" t="str">
            <v>Direct Profit</v>
          </cell>
          <cell r="C29">
            <v>0</v>
          </cell>
          <cell r="D29">
            <v>1385.4183786179988</v>
          </cell>
          <cell r="E29">
            <v>18.074274399999997</v>
          </cell>
          <cell r="F29">
            <v>1403.4926530179987</v>
          </cell>
        </row>
        <row r="30">
          <cell r="B30" t="str">
            <v>Overheads</v>
          </cell>
          <cell r="C30" t="str">
            <v>0</v>
          </cell>
          <cell r="D30">
            <v>64.766133818</v>
          </cell>
          <cell r="E30">
            <v>-38.843176799999995</v>
          </cell>
          <cell r="F30">
            <v>25.922957018000005</v>
          </cell>
        </row>
        <row r="31">
          <cell r="B31" t="str">
            <v>Operating Profit</v>
          </cell>
          <cell r="C31">
            <v>0</v>
          </cell>
          <cell r="D31">
            <v>1320.6522447999987</v>
          </cell>
          <cell r="E31">
            <v>56.917451199999988</v>
          </cell>
          <cell r="F31">
            <v>1377.5696959999987</v>
          </cell>
        </row>
        <row r="32">
          <cell r="B32" t="str">
            <v>OIE</v>
          </cell>
          <cell r="C32">
            <v>0</v>
          </cell>
          <cell r="D32">
            <v>39.310190800000008</v>
          </cell>
          <cell r="E32" t="str">
            <v>0</v>
          </cell>
          <cell r="F32">
            <v>39.310190800000008</v>
          </cell>
        </row>
        <row r="33">
          <cell r="B33" t="str">
            <v>Oper Income</v>
          </cell>
          <cell r="C33">
            <v>0</v>
          </cell>
          <cell r="D33">
            <v>1281.3420539999986</v>
          </cell>
          <cell r="E33">
            <v>56.917451199999988</v>
          </cell>
          <cell r="F33">
            <v>1338.2595051999986</v>
          </cell>
        </row>
      </sheetData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손익계산서(SJ)"/>
      <sheetName val="손익계산서(HJ)"/>
      <sheetName val="mif(SJ)"/>
      <sheetName val="mif(HJ)"/>
      <sheetName val="보고식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97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GEG"/>
      <sheetName val="Cyl Trad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GEG"/>
      <sheetName val="WW_Eqpt_Factors"/>
      <sheetName val="WW_Gases_Factors"/>
      <sheetName val="Volumes (2)"/>
      <sheetName val="Sheet1"/>
      <sheetName val="CPI"/>
      <sheetName val="BUD97"/>
      <sheetName val="Europe@BDV01"/>
      <sheetName val="Cyl Tr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dat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Contents"/>
      <sheetName val="Highlights"/>
      <sheetName val="Overview"/>
      <sheetName val="Menu_Summary"/>
      <sheetName val="Overheads Original"/>
      <sheetName val="Overheads"/>
      <sheetName val="OpPlanSum&gt;Region&amp;MFO"/>
      <sheetName val="MFO Merch"/>
      <sheetName val="MFO Ton"/>
      <sheetName val="OpPlanSum&gt;ProductGroup"/>
      <sheetName val="FY98_FY_MFs"/>
      <sheetName val="TheSht"/>
      <sheetName val="FY98vsPY"/>
      <sheetName val="FY98vsPlan"/>
      <sheetName val="FL_MF_by_Yr"/>
      <sheetName val="99Pvs98"/>
      <sheetName val="00Pvs99"/>
      <sheetName val="01Pvs00"/>
      <sheetName val="FL_MFs_by_Qtr"/>
      <sheetName val="1Q99PvsPQ"/>
      <sheetName val="2Q99PvsPQ"/>
      <sheetName val="3Q99PvsPQ"/>
      <sheetName val="4Q99PvsPQ"/>
      <sheetName val="Qry_Mom- Old"/>
      <sheetName val="Qtr_Mom_USA_CN"/>
      <sheetName val="FY98_Actual_Perf"/>
    </sheetNames>
    <sheetDataSet>
      <sheetData sheetId="0" refreshError="1">
        <row r="4">
          <cell r="B4">
            <v>10</v>
          </cell>
          <cell r="C4" t="str">
            <v>BUSINESS UNITS</v>
          </cell>
          <cell r="D4" t="str">
            <v>AsManaged</v>
          </cell>
          <cell r="E4" t="str">
            <v>Geography</v>
          </cell>
          <cell r="F4" t="str">
            <v>Segments</v>
          </cell>
        </row>
        <row r="5">
          <cell r="B5">
            <v>1</v>
          </cell>
          <cell r="C5" t="str">
            <v>Total CPI North America</v>
          </cell>
          <cell r="D5" t="str">
            <v>CPI</v>
          </cell>
          <cell r="E5" t="str">
            <v>G&amp;E North America</v>
          </cell>
          <cell r="F5" t="str">
            <v>All Products</v>
          </cell>
        </row>
        <row r="6">
          <cell r="B6">
            <v>2</v>
          </cell>
          <cell r="C6" t="str">
            <v>CPI Tonnage North America</v>
          </cell>
          <cell r="D6" t="str">
            <v>CPI</v>
          </cell>
          <cell r="E6" t="str">
            <v>G&amp;E North America</v>
          </cell>
          <cell r="F6" t="str">
            <v>Tonnage</v>
          </cell>
        </row>
        <row r="7">
          <cell r="B7">
            <v>3</v>
          </cell>
          <cell r="C7" t="str">
            <v>CPI Merchant North America</v>
          </cell>
          <cell r="D7" t="str">
            <v>CPI</v>
          </cell>
          <cell r="E7" t="str">
            <v>G&amp;E North America</v>
          </cell>
          <cell r="F7" t="str">
            <v>Merchant</v>
          </cell>
        </row>
        <row r="8">
          <cell r="B8">
            <v>4</v>
          </cell>
          <cell r="C8" t="str">
            <v>Total Electronics North America</v>
          </cell>
          <cell r="D8" t="str">
            <v>Total Electronics</v>
          </cell>
          <cell r="E8" t="str">
            <v>G&amp;E North America</v>
          </cell>
          <cell r="F8" t="str">
            <v>All Products</v>
          </cell>
        </row>
        <row r="9">
          <cell r="B9">
            <v>5</v>
          </cell>
          <cell r="C9" t="str">
            <v>Electronics Tonnage North America</v>
          </cell>
          <cell r="D9" t="str">
            <v>Total Electronics</v>
          </cell>
          <cell r="E9" t="str">
            <v>G&amp;E North America</v>
          </cell>
          <cell r="F9" t="str">
            <v>Tonnage</v>
          </cell>
        </row>
        <row r="10">
          <cell r="B10">
            <v>6</v>
          </cell>
          <cell r="C10" t="str">
            <v>Electronics Merchant North America</v>
          </cell>
          <cell r="D10" t="str">
            <v>Total Electronics</v>
          </cell>
          <cell r="E10" t="str">
            <v>G&amp;E North America</v>
          </cell>
          <cell r="F10" t="str">
            <v>Merchant</v>
          </cell>
        </row>
        <row r="11">
          <cell r="B11">
            <v>7</v>
          </cell>
          <cell r="C11" t="str">
            <v>Schumacher</v>
          </cell>
          <cell r="D11" t="str">
            <v>Schumacher</v>
          </cell>
          <cell r="E11" t="str">
            <v>G&amp;E North America</v>
          </cell>
          <cell r="F11" t="str">
            <v>Merchant</v>
          </cell>
        </row>
        <row r="12">
          <cell r="B12">
            <v>8</v>
          </cell>
          <cell r="C12" t="str">
            <v>Solkatronic</v>
          </cell>
          <cell r="D12" t="str">
            <v>Solkatronic</v>
          </cell>
          <cell r="E12" t="str">
            <v>G&amp;E North America</v>
          </cell>
          <cell r="F12" t="str">
            <v>Merchant</v>
          </cell>
        </row>
        <row r="13">
          <cell r="B13">
            <v>9</v>
          </cell>
          <cell r="C13" t="str">
            <v>General Industries Group North America</v>
          </cell>
          <cell r="D13" t="str">
            <v>Total General Industries</v>
          </cell>
          <cell r="E13" t="str">
            <v>G&amp;E North America</v>
          </cell>
          <cell r="F13" t="str">
            <v>All Products</v>
          </cell>
        </row>
        <row r="14">
          <cell r="B14">
            <v>10</v>
          </cell>
          <cell r="C14" t="str">
            <v>General Industries/Metals North America</v>
          </cell>
          <cell r="D14" t="str">
            <v>GI/Metals Group</v>
          </cell>
          <cell r="E14" t="str">
            <v>G&amp;E North America</v>
          </cell>
          <cell r="F14" t="str">
            <v>All Products</v>
          </cell>
        </row>
        <row r="15">
          <cell r="B15">
            <v>11</v>
          </cell>
          <cell r="C15" t="str">
            <v>GI/Metals Tonnage North America</v>
          </cell>
          <cell r="D15" t="str">
            <v>GI/Metals Group</v>
          </cell>
          <cell r="E15" t="str">
            <v>G&amp;E North America</v>
          </cell>
          <cell r="F15" t="str">
            <v>Tonnage</v>
          </cell>
        </row>
        <row r="16">
          <cell r="B16">
            <v>12</v>
          </cell>
          <cell r="C16" t="str">
            <v>GI/Metals Merchant North America</v>
          </cell>
          <cell r="D16" t="str">
            <v>GI/Metals Group</v>
          </cell>
          <cell r="E16" t="str">
            <v>G&amp;E North America</v>
          </cell>
          <cell r="F16" t="str">
            <v>Merchant</v>
          </cell>
        </row>
        <row r="17">
          <cell r="B17">
            <v>12.1</v>
          </cell>
          <cell r="C17" t="str">
            <v>GI/Metals Tonnage  U.S.</v>
          </cell>
          <cell r="D17" t="str">
            <v>GI/Metals Group</v>
          </cell>
          <cell r="E17" t="str">
            <v>USA</v>
          </cell>
          <cell r="F17" t="str">
            <v>Tonnage</v>
          </cell>
        </row>
        <row r="18">
          <cell r="B18">
            <v>12.2</v>
          </cell>
          <cell r="C18" t="str">
            <v>GI/Metals Merchant U.S.</v>
          </cell>
          <cell r="D18" t="str">
            <v>GI/Metals Group</v>
          </cell>
          <cell r="E18" t="str">
            <v>USA</v>
          </cell>
          <cell r="F18" t="str">
            <v>Merchant</v>
          </cell>
        </row>
        <row r="19">
          <cell r="B19">
            <v>12.3</v>
          </cell>
          <cell r="C19" t="str">
            <v>GI/Metals Tonnage Cn</v>
          </cell>
          <cell r="D19" t="str">
            <v>GI/Metals Group</v>
          </cell>
          <cell r="E19" t="str">
            <v>Canada</v>
          </cell>
          <cell r="F19" t="str">
            <v>Tonnage</v>
          </cell>
        </row>
        <row r="20">
          <cell r="B20">
            <v>12.4</v>
          </cell>
          <cell r="C20" t="str">
            <v>GI/Metals Merchant Cn</v>
          </cell>
          <cell r="D20" t="str">
            <v>GI/Metals Group</v>
          </cell>
          <cell r="E20" t="str">
            <v>Canada</v>
          </cell>
          <cell r="F20" t="str">
            <v>Merchant</v>
          </cell>
        </row>
        <row r="21">
          <cell r="B21">
            <v>13</v>
          </cell>
          <cell r="C21" t="str">
            <v>Packaged Gases North America</v>
          </cell>
          <cell r="D21" t="str">
            <v>DGS</v>
          </cell>
          <cell r="E21" t="str">
            <v>G&amp;E North America</v>
          </cell>
          <cell r="F21" t="str">
            <v>All Products</v>
          </cell>
        </row>
        <row r="22">
          <cell r="B22">
            <v>14</v>
          </cell>
          <cell r="C22" t="str">
            <v>Packaged Gases US</v>
          </cell>
          <cell r="D22" t="str">
            <v>DGS</v>
          </cell>
          <cell r="E22" t="str">
            <v>USA</v>
          </cell>
          <cell r="F22" t="str">
            <v>All Products</v>
          </cell>
        </row>
        <row r="23">
          <cell r="B23">
            <v>15</v>
          </cell>
          <cell r="C23" t="str">
            <v>Packaged Gases Canada</v>
          </cell>
          <cell r="D23" t="str">
            <v>DGS</v>
          </cell>
          <cell r="E23" t="str">
            <v>Canada</v>
          </cell>
          <cell r="F23" t="str">
            <v>All Products</v>
          </cell>
        </row>
        <row r="24">
          <cell r="B24">
            <v>16</v>
          </cell>
          <cell r="C24" t="str">
            <v>Cylinders US</v>
          </cell>
          <cell r="D24" t="str">
            <v>GEG w/o Permea</v>
          </cell>
          <cell r="E24" t="str">
            <v>USA</v>
          </cell>
          <cell r="F24" t="str">
            <v>Total Cyl Gases and Equip</v>
          </cell>
        </row>
        <row r="25">
          <cell r="B25">
            <v>17</v>
          </cell>
          <cell r="C25" t="str">
            <v>Specialty Gases US</v>
          </cell>
          <cell r="D25" t="str">
            <v>GEG w/o Permea</v>
          </cell>
          <cell r="E25" t="str">
            <v>USA</v>
          </cell>
          <cell r="F25" t="str">
            <v>Total Specialty Gases</v>
          </cell>
        </row>
        <row r="26">
          <cell r="B26">
            <v>18</v>
          </cell>
          <cell r="C26" t="str">
            <v>Total Gases &amp; Equipment North America</v>
          </cell>
          <cell r="D26" t="str">
            <v>All MFOs</v>
          </cell>
          <cell r="E26" t="str">
            <v>G&amp;E North America</v>
          </cell>
          <cell r="F26" t="str">
            <v>All Products</v>
          </cell>
        </row>
        <row r="27">
          <cell r="B27">
            <v>19</v>
          </cell>
          <cell r="C27" t="str">
            <v>North America Gases</v>
          </cell>
          <cell r="D27" t="str">
            <v>All MFOs</v>
          </cell>
          <cell r="E27" t="str">
            <v>G&amp;E North America</v>
          </cell>
          <cell r="F27" t="str">
            <v>Gases</v>
          </cell>
        </row>
        <row r="28">
          <cell r="B28">
            <v>20</v>
          </cell>
          <cell r="C28" t="str">
            <v>Total Europe</v>
          </cell>
          <cell r="D28" t="str">
            <v>Total GEG</v>
          </cell>
          <cell r="E28" t="str">
            <v>Europe</v>
          </cell>
          <cell r="F28" t="str">
            <v>All Products</v>
          </cell>
        </row>
        <row r="29">
          <cell r="B29">
            <v>21</v>
          </cell>
          <cell r="C29" t="str">
            <v>Europe Gases</v>
          </cell>
          <cell r="D29" t="str">
            <v>Total GEG</v>
          </cell>
          <cell r="E29" t="str">
            <v>Europe</v>
          </cell>
          <cell r="F29" t="str">
            <v>Gases</v>
          </cell>
        </row>
        <row r="30">
          <cell r="B30">
            <v>22</v>
          </cell>
          <cell r="C30" t="str">
            <v>Europe Equipment</v>
          </cell>
          <cell r="D30" t="str">
            <v>Total GEG</v>
          </cell>
          <cell r="E30" t="str">
            <v>Europe</v>
          </cell>
          <cell r="F30" t="str">
            <v>Equipment</v>
          </cell>
        </row>
        <row r="31">
          <cell r="B31">
            <v>23</v>
          </cell>
          <cell r="C31" t="str">
            <v>Total Asia</v>
          </cell>
          <cell r="D31" t="str">
            <v>Total GEG</v>
          </cell>
          <cell r="E31" t="str">
            <v>Asia</v>
          </cell>
          <cell r="F31" t="str">
            <v>All Products</v>
          </cell>
        </row>
        <row r="32">
          <cell r="B32">
            <v>24</v>
          </cell>
          <cell r="C32" t="str">
            <v>Asia Gases</v>
          </cell>
          <cell r="D32" t="str">
            <v>Total GEG</v>
          </cell>
          <cell r="E32" t="str">
            <v>Asia</v>
          </cell>
          <cell r="F32" t="str">
            <v>Gases</v>
          </cell>
        </row>
        <row r="33">
          <cell r="B33">
            <v>25</v>
          </cell>
          <cell r="C33" t="str">
            <v>Latin Am &amp; So Africa</v>
          </cell>
          <cell r="D33" t="str">
            <v>Total GEG</v>
          </cell>
          <cell r="E33" t="str">
            <v>Latin America &amp; South Africa</v>
          </cell>
          <cell r="F33" t="str">
            <v>All Products</v>
          </cell>
        </row>
        <row r="34">
          <cell r="B34">
            <v>26</v>
          </cell>
          <cell r="C34" t="str">
            <v>Latin Am &amp; So Africa Gases</v>
          </cell>
          <cell r="D34" t="str">
            <v>Total GEG</v>
          </cell>
          <cell r="E34" t="str">
            <v>Latin America &amp; South Africa</v>
          </cell>
          <cell r="F34" t="str">
            <v>Gases</v>
          </cell>
        </row>
        <row r="35">
          <cell r="B35">
            <v>27</v>
          </cell>
          <cell r="C35" t="str">
            <v>Worldwide Equipment</v>
          </cell>
          <cell r="D35" t="str">
            <v>Total GEG</v>
          </cell>
          <cell r="E35" t="str">
            <v>Worldwide</v>
          </cell>
          <cell r="F35" t="str">
            <v>Equipment</v>
          </cell>
        </row>
        <row r="36">
          <cell r="B36">
            <v>28</v>
          </cell>
          <cell r="C36" t="str">
            <v>Permea</v>
          </cell>
          <cell r="D36" t="str">
            <v>Permea</v>
          </cell>
          <cell r="E36" t="str">
            <v>G&amp;E North America</v>
          </cell>
          <cell r="F36" t="str">
            <v>Equipment</v>
          </cell>
        </row>
        <row r="37">
          <cell r="B37">
            <v>29</v>
          </cell>
          <cell r="C37" t="str">
            <v>PSED</v>
          </cell>
          <cell r="D37" t="str">
            <v>Equipment Group</v>
          </cell>
          <cell r="E37" t="str">
            <v>G&amp;E North America</v>
          </cell>
          <cell r="F37" t="str">
            <v>Equipment</v>
          </cell>
        </row>
        <row r="136">
          <cell r="B136">
            <v>4</v>
          </cell>
          <cell r="C136" t="str">
            <v>BUSINESS UNITS</v>
          </cell>
          <cell r="D136" t="str">
            <v>AsManaged</v>
          </cell>
          <cell r="E136" t="str">
            <v>Geography</v>
          </cell>
        </row>
        <row r="137">
          <cell r="B137">
            <v>1</v>
          </cell>
          <cell r="C137" t="str">
            <v>Total CPI North America</v>
          </cell>
          <cell r="D137" t="str">
            <v>CPI</v>
          </cell>
          <cell r="E137" t="str">
            <v>G&amp;E North America</v>
          </cell>
        </row>
        <row r="138">
          <cell r="B138">
            <v>2</v>
          </cell>
          <cell r="C138" t="str">
            <v>Total Electronics North America</v>
          </cell>
          <cell r="D138" t="str">
            <v>Total Electronics</v>
          </cell>
          <cell r="E138" t="str">
            <v>G&amp;E North America</v>
          </cell>
        </row>
        <row r="139">
          <cell r="B139">
            <v>3</v>
          </cell>
          <cell r="C139" t="str">
            <v>General Industries Group North America</v>
          </cell>
          <cell r="D139" t="str">
            <v>Total General Industries</v>
          </cell>
          <cell r="E139" t="str">
            <v>G&amp;E North America</v>
          </cell>
        </row>
        <row r="140">
          <cell r="B140">
            <v>4</v>
          </cell>
          <cell r="C140" t="str">
            <v>General Industries/Metals North America</v>
          </cell>
          <cell r="D140" t="str">
            <v>GI/Metals Group</v>
          </cell>
          <cell r="E140" t="str">
            <v>G&amp;E North America</v>
          </cell>
        </row>
        <row r="141">
          <cell r="B141">
            <v>5</v>
          </cell>
          <cell r="C141" t="str">
            <v>Packaged Gases North America</v>
          </cell>
          <cell r="D141" t="str">
            <v>DGS</v>
          </cell>
          <cell r="E141" t="str">
            <v>G&amp;E North America</v>
          </cell>
        </row>
        <row r="142">
          <cell r="B142">
            <v>6</v>
          </cell>
          <cell r="C142" t="str">
            <v>Packaged Gases US</v>
          </cell>
          <cell r="D142" t="str">
            <v>DGS</v>
          </cell>
          <cell r="E142" t="str">
            <v>USA</v>
          </cell>
        </row>
        <row r="143">
          <cell r="B143">
            <v>7</v>
          </cell>
          <cell r="C143" t="str">
            <v>Packaged Gases Canada</v>
          </cell>
          <cell r="D143" t="str">
            <v>DGS</v>
          </cell>
          <cell r="E143" t="str">
            <v>Canada</v>
          </cell>
        </row>
        <row r="144">
          <cell r="B144">
            <v>8</v>
          </cell>
          <cell r="C144" t="str">
            <v>Total Gases &amp; Equipment North America</v>
          </cell>
          <cell r="D144" t="str">
            <v>GEG w/o Permea</v>
          </cell>
          <cell r="E144" t="str">
            <v>G&amp;E North America</v>
          </cell>
        </row>
        <row r="145">
          <cell r="B145">
            <v>9</v>
          </cell>
          <cell r="C145" t="str">
            <v>Total Europe</v>
          </cell>
          <cell r="D145" t="str">
            <v>Total GEG</v>
          </cell>
          <cell r="E145" t="str">
            <v>Europe</v>
          </cell>
        </row>
        <row r="146">
          <cell r="B146">
            <v>10</v>
          </cell>
          <cell r="C146" t="str">
            <v>Total Asia</v>
          </cell>
          <cell r="D146" t="str">
            <v>Total GEG</v>
          </cell>
          <cell r="E146" t="str">
            <v>Asia</v>
          </cell>
        </row>
        <row r="147">
          <cell r="B147">
            <v>11</v>
          </cell>
          <cell r="C147" t="str">
            <v>Latin Am &amp; So Africa</v>
          </cell>
          <cell r="D147" t="str">
            <v>Total GEG</v>
          </cell>
          <cell r="E147" t="str">
            <v>Latin America &amp; South Africa</v>
          </cell>
        </row>
        <row r="148">
          <cell r="B148">
            <v>12</v>
          </cell>
          <cell r="C148" t="str">
            <v>Worldwide Equipment</v>
          </cell>
          <cell r="D148" t="str">
            <v>Total GEG</v>
          </cell>
          <cell r="E148" t="str">
            <v>Worldwide</v>
          </cell>
        </row>
        <row r="153">
          <cell r="B153">
            <v>1</v>
          </cell>
          <cell r="C153" t="str">
            <v>Total CPI North America</v>
          </cell>
          <cell r="D153" t="str">
            <v>CPI</v>
          </cell>
          <cell r="E153" t="str">
            <v>G&amp;E North America</v>
          </cell>
          <cell r="F153" t="str">
            <v>All Products</v>
          </cell>
        </row>
        <row r="154">
          <cell r="B154">
            <v>2</v>
          </cell>
          <cell r="C154" t="str">
            <v>CPI Tonnage North America</v>
          </cell>
          <cell r="D154" t="str">
            <v>CPI</v>
          </cell>
          <cell r="E154" t="str">
            <v>G&amp;E North America</v>
          </cell>
          <cell r="F154" t="str">
            <v>Tonnage</v>
          </cell>
        </row>
        <row r="155">
          <cell r="B155">
            <v>3</v>
          </cell>
          <cell r="C155" t="str">
            <v>CPI Merchant North America</v>
          </cell>
          <cell r="D155" t="str">
            <v>CPI</v>
          </cell>
          <cell r="E155" t="str">
            <v>G&amp;E North America</v>
          </cell>
          <cell r="F155" t="str">
            <v>Merchant</v>
          </cell>
        </row>
        <row r="156">
          <cell r="B156">
            <v>4</v>
          </cell>
          <cell r="C156" t="str">
            <v>Total Electronics North America</v>
          </cell>
          <cell r="D156" t="str">
            <v>Total Electronics</v>
          </cell>
          <cell r="E156" t="str">
            <v>G&amp;E North America</v>
          </cell>
          <cell r="F156" t="str">
            <v>All Products</v>
          </cell>
        </row>
        <row r="157">
          <cell r="B157">
            <v>5</v>
          </cell>
          <cell r="C157" t="str">
            <v>Electronics Tonnage North America</v>
          </cell>
          <cell r="D157" t="str">
            <v>Total Electronics</v>
          </cell>
          <cell r="E157" t="str">
            <v>G&amp;E North America</v>
          </cell>
          <cell r="F157" t="str">
            <v>Tonnage</v>
          </cell>
        </row>
        <row r="158">
          <cell r="B158">
            <v>6</v>
          </cell>
          <cell r="C158" t="str">
            <v>Electronics Merchant North America</v>
          </cell>
          <cell r="D158" t="str">
            <v>Total Electronics</v>
          </cell>
          <cell r="E158" t="str">
            <v>G&amp;E North America</v>
          </cell>
          <cell r="F158" t="str">
            <v>Merchant</v>
          </cell>
        </row>
        <row r="159">
          <cell r="B159">
            <v>7</v>
          </cell>
          <cell r="C159" t="str">
            <v>Schumacher</v>
          </cell>
          <cell r="D159" t="str">
            <v>Schumacher</v>
          </cell>
          <cell r="E159" t="str">
            <v>G&amp;E North America</v>
          </cell>
          <cell r="F159" t="str">
            <v>Merchant</v>
          </cell>
        </row>
        <row r="160">
          <cell r="B160">
            <v>8</v>
          </cell>
          <cell r="C160" t="str">
            <v>Solkatronic</v>
          </cell>
          <cell r="D160" t="str">
            <v>Solkatronic</v>
          </cell>
          <cell r="E160" t="str">
            <v>G&amp;E North America</v>
          </cell>
          <cell r="F160" t="str">
            <v>Merchant</v>
          </cell>
        </row>
        <row r="161">
          <cell r="B161">
            <v>9</v>
          </cell>
          <cell r="C161" t="str">
            <v>General Industries Group North America</v>
          </cell>
          <cell r="D161" t="str">
            <v>Total General Industries</v>
          </cell>
          <cell r="E161" t="str">
            <v>G&amp;E North America</v>
          </cell>
          <cell r="F161" t="str">
            <v>All Products</v>
          </cell>
        </row>
        <row r="162">
          <cell r="B162">
            <v>10</v>
          </cell>
          <cell r="C162" t="str">
            <v>General Industries/Metals North America</v>
          </cell>
          <cell r="D162" t="str">
            <v>GI/Metals Group</v>
          </cell>
          <cell r="E162" t="str">
            <v>G&amp;E North America</v>
          </cell>
          <cell r="F162" t="str">
            <v>All Products</v>
          </cell>
        </row>
        <row r="163">
          <cell r="B163">
            <v>11</v>
          </cell>
          <cell r="C163" t="str">
            <v>GI/Metals Tonnage North America</v>
          </cell>
          <cell r="D163" t="str">
            <v>GI/Metals Group</v>
          </cell>
          <cell r="E163" t="str">
            <v>G&amp;E North America</v>
          </cell>
          <cell r="F163" t="str">
            <v>Tonnage</v>
          </cell>
        </row>
        <row r="164">
          <cell r="B164">
            <v>12</v>
          </cell>
          <cell r="C164" t="str">
            <v>GI/Metals Merchant North America</v>
          </cell>
          <cell r="D164" t="str">
            <v>GI/Metals Group</v>
          </cell>
          <cell r="E164" t="str">
            <v>G&amp;E North America</v>
          </cell>
          <cell r="F164" t="str">
            <v>Merchant</v>
          </cell>
        </row>
        <row r="165">
          <cell r="B165">
            <v>13</v>
          </cell>
          <cell r="C165" t="str">
            <v>Packaged Gases North America</v>
          </cell>
          <cell r="D165" t="str">
            <v>DGS</v>
          </cell>
          <cell r="E165" t="str">
            <v>G&amp;E North America</v>
          </cell>
          <cell r="F165" t="str">
            <v>All Products</v>
          </cell>
        </row>
        <row r="166">
          <cell r="B166">
            <v>14</v>
          </cell>
          <cell r="C166" t="str">
            <v>Packaged Gases US</v>
          </cell>
          <cell r="D166" t="str">
            <v>DGS</v>
          </cell>
          <cell r="E166" t="str">
            <v>USA</v>
          </cell>
          <cell r="F166" t="str">
            <v>All Products</v>
          </cell>
        </row>
        <row r="167">
          <cell r="B167">
            <v>15</v>
          </cell>
          <cell r="C167" t="str">
            <v>Packaged Gases Canada</v>
          </cell>
          <cell r="D167" t="str">
            <v>DGS</v>
          </cell>
          <cell r="E167" t="str">
            <v>Canada</v>
          </cell>
          <cell r="F167" t="str">
            <v>All Products</v>
          </cell>
        </row>
        <row r="168">
          <cell r="B168">
            <v>16</v>
          </cell>
          <cell r="C168" t="str">
            <v>Cylinders US</v>
          </cell>
          <cell r="D168" t="str">
            <v>GEG w/o Permea</v>
          </cell>
          <cell r="E168" t="str">
            <v>USA</v>
          </cell>
          <cell r="F168" t="str">
            <v>Total Cyl Gases and Equip</v>
          </cell>
        </row>
        <row r="169">
          <cell r="B169">
            <v>17</v>
          </cell>
          <cell r="C169" t="str">
            <v>Specialty Gases US</v>
          </cell>
          <cell r="D169" t="str">
            <v>GEG w/o Permea</v>
          </cell>
          <cell r="E169" t="str">
            <v>USA</v>
          </cell>
          <cell r="F169" t="str">
            <v>Total Specialty Gases</v>
          </cell>
        </row>
        <row r="170">
          <cell r="B170">
            <v>18</v>
          </cell>
          <cell r="C170" t="str">
            <v>Total Gases &amp; Equipment North America</v>
          </cell>
          <cell r="D170" t="str">
            <v>All MFOs</v>
          </cell>
          <cell r="E170" t="str">
            <v>G&amp;E North America</v>
          </cell>
          <cell r="F170" t="str">
            <v>All Products</v>
          </cell>
        </row>
        <row r="171">
          <cell r="B171">
            <v>19</v>
          </cell>
          <cell r="C171" t="str">
            <v>North America Gases</v>
          </cell>
          <cell r="D171" t="str">
            <v>All MFOs</v>
          </cell>
          <cell r="E171" t="str">
            <v>G&amp;E North America</v>
          </cell>
          <cell r="F171" t="str">
            <v>Gases</v>
          </cell>
        </row>
        <row r="172">
          <cell r="B172">
            <v>20</v>
          </cell>
          <cell r="C172" t="str">
            <v>Total Europe</v>
          </cell>
          <cell r="D172" t="str">
            <v>Total GEG</v>
          </cell>
          <cell r="E172" t="str">
            <v>Europe</v>
          </cell>
          <cell r="F172" t="str">
            <v>All Products</v>
          </cell>
        </row>
        <row r="173">
          <cell r="B173">
            <v>21</v>
          </cell>
          <cell r="C173" t="str">
            <v>Europe Gases</v>
          </cell>
          <cell r="D173" t="str">
            <v>Total GEG</v>
          </cell>
          <cell r="E173" t="str">
            <v>Europe</v>
          </cell>
          <cell r="F173" t="str">
            <v>Gases</v>
          </cell>
        </row>
        <row r="174">
          <cell r="B174">
            <v>22</v>
          </cell>
          <cell r="C174" t="str">
            <v>Europe Equipment</v>
          </cell>
          <cell r="D174" t="str">
            <v>Total GEG</v>
          </cell>
          <cell r="E174" t="str">
            <v>Europe</v>
          </cell>
          <cell r="F174" t="str">
            <v>Equipment</v>
          </cell>
        </row>
        <row r="175">
          <cell r="B175">
            <v>23</v>
          </cell>
          <cell r="C175" t="str">
            <v>Total Asia</v>
          </cell>
          <cell r="D175" t="str">
            <v>Total GEG</v>
          </cell>
          <cell r="E175" t="str">
            <v>Asia</v>
          </cell>
          <cell r="F175" t="str">
            <v>All Products</v>
          </cell>
        </row>
        <row r="176">
          <cell r="B176">
            <v>24</v>
          </cell>
          <cell r="C176" t="str">
            <v>Asia Gases</v>
          </cell>
          <cell r="D176" t="str">
            <v>Total GEG</v>
          </cell>
          <cell r="E176" t="str">
            <v>Asia</v>
          </cell>
          <cell r="F176" t="str">
            <v>Gases</v>
          </cell>
        </row>
        <row r="177">
          <cell r="B177">
            <v>25</v>
          </cell>
          <cell r="C177" t="str">
            <v>Latin Am &amp; So Africa</v>
          </cell>
          <cell r="D177" t="str">
            <v>Total GEG</v>
          </cell>
          <cell r="E177" t="str">
            <v>Latin America &amp; South Africa</v>
          </cell>
          <cell r="F177" t="str">
            <v>All Products</v>
          </cell>
        </row>
        <row r="178">
          <cell r="B178">
            <v>26</v>
          </cell>
          <cell r="C178" t="str">
            <v>Latin Am &amp; So Africa Gases</v>
          </cell>
          <cell r="D178" t="str">
            <v>Total GEG</v>
          </cell>
          <cell r="E178" t="str">
            <v>Latin America &amp; South Africa</v>
          </cell>
          <cell r="F178" t="str">
            <v>Gases</v>
          </cell>
        </row>
        <row r="179">
          <cell r="B179">
            <v>27</v>
          </cell>
          <cell r="C179" t="str">
            <v>Worldwide Equipment</v>
          </cell>
          <cell r="D179" t="str">
            <v>Total GEG</v>
          </cell>
          <cell r="E179" t="str">
            <v>Worldwide</v>
          </cell>
          <cell r="F179" t="str">
            <v>Equipment</v>
          </cell>
        </row>
        <row r="180">
          <cell r="B180">
            <v>28</v>
          </cell>
          <cell r="C180" t="str">
            <v>Permea</v>
          </cell>
          <cell r="D180" t="str">
            <v>Permea</v>
          </cell>
          <cell r="E180" t="str">
            <v>G&amp;E North America</v>
          </cell>
          <cell r="F180" t="str">
            <v>Equipment</v>
          </cell>
        </row>
        <row r="181">
          <cell r="B181">
            <v>29</v>
          </cell>
          <cell r="C181" t="str">
            <v>PSED</v>
          </cell>
          <cell r="D181" t="str">
            <v>Equipment Group</v>
          </cell>
          <cell r="E181" t="str">
            <v>G&amp;E North America</v>
          </cell>
          <cell r="F181" t="str">
            <v>Equipment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 P&amp;L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OCDEBT"/>
    </sheetNames>
    <definedNames>
      <definedName name="ALLOC_DEBT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Version"/>
      <sheetName val="Volume Input"/>
      <sheetName val="RM Cost Input"/>
      <sheetName val="Inpu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ian_Subs"/>
      <sheetName val="Inputs"/>
      <sheetName val="Carburos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p Income by Prodline"/>
      <sheetName val="SGA Trend"/>
      <sheetName val="Equity Affiliates"/>
      <sheetName val="Equipment Summary "/>
      <sheetName val="Summary-EGOTECPI"/>
      <sheetName val="Parameters"/>
      <sheetName val="EAApres"/>
      <sheetName val="EA"/>
      <sheetName val="ADem"/>
      <sheetName val="Apres RetrieveT"/>
      <sheetName val="Apres Retrieve"/>
      <sheetName val="Apcons OpInc"/>
      <sheetName val="Apcons P&amp;L"/>
      <sheetName val="Plan Opinc"/>
      <sheetName val="Plan P&amp;L"/>
      <sheetName val="PED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B1" t="str">
            <v>Europe</v>
          </cell>
          <cell r="C1" t="str">
            <v>DataType</v>
          </cell>
          <cell r="D1" t="str">
            <v>Demurrage</v>
          </cell>
        </row>
        <row r="2">
          <cell r="B2" t="str">
            <v>q3</v>
          </cell>
          <cell r="C2" t="str">
            <v>q3</v>
          </cell>
          <cell r="D2" t="str">
            <v>q3</v>
          </cell>
          <cell r="E2" t="str">
            <v>q3</v>
          </cell>
          <cell r="F2" t="str">
            <v>p9ytd</v>
          </cell>
          <cell r="G2" t="str">
            <v>p9ytd</v>
          </cell>
          <cell r="H2" t="str">
            <v>p9ytd</v>
          </cell>
          <cell r="I2" t="str">
            <v>p9ytd</v>
          </cell>
        </row>
        <row r="3">
          <cell r="B3" t="str">
            <v>USD AC02</v>
          </cell>
          <cell r="C3" t="str">
            <v>USD AC02</v>
          </cell>
          <cell r="D3" t="str">
            <v>USD BD02</v>
          </cell>
          <cell r="E3" t="str">
            <v>USD BD02</v>
          </cell>
          <cell r="F3" t="str">
            <v>USD AC02</v>
          </cell>
          <cell r="G3" t="str">
            <v>USD AC02</v>
          </cell>
          <cell r="H3" t="str">
            <v>USD BD02</v>
          </cell>
          <cell r="I3" t="str">
            <v>USD BD02</v>
          </cell>
        </row>
        <row r="4">
          <cell r="B4" t="str">
            <v>AC01</v>
          </cell>
          <cell r="C4" t="str">
            <v>AC02</v>
          </cell>
          <cell r="D4" t="str">
            <v>AC01</v>
          </cell>
          <cell r="E4" t="str">
            <v>AC02</v>
          </cell>
          <cell r="F4" t="str">
            <v>AC01</v>
          </cell>
          <cell r="G4" t="str">
            <v>AC02</v>
          </cell>
          <cell r="H4" t="str">
            <v>AC01</v>
          </cell>
          <cell r="I4" t="str">
            <v>AC02</v>
          </cell>
        </row>
        <row r="5">
          <cell r="A5" t="str">
            <v>A Division</v>
          </cell>
          <cell r="B5">
            <v>20584.989406076209</v>
          </cell>
          <cell r="C5">
            <v>23434.5143264703</v>
          </cell>
          <cell r="D5">
            <v>20220.935915637845</v>
          </cell>
          <cell r="E5">
            <v>23021.995942607497</v>
          </cell>
          <cell r="F5">
            <v>60916.570258516447</v>
          </cell>
          <cell r="G5">
            <v>68613.201683808089</v>
          </cell>
          <cell r="H5">
            <v>61064.299039373014</v>
          </cell>
          <cell r="I5">
            <v>68806.383073834688</v>
          </cell>
        </row>
        <row r="6">
          <cell r="A6" t="str">
            <v>Electronic MFO</v>
          </cell>
          <cell r="B6">
            <v>182.45674445901207</v>
          </cell>
          <cell r="C6">
            <v>165.00908027107388</v>
          </cell>
          <cell r="D6">
            <v>179.8051596566562</v>
          </cell>
          <cell r="E6">
            <v>161.19131750683857</v>
          </cell>
          <cell r="F6">
            <v>524.75505277799266</v>
          </cell>
          <cell r="G6">
            <v>510.74901424013922</v>
          </cell>
          <cell r="H6">
            <v>527.85071043490439</v>
          </cell>
          <cell r="I6">
            <v>510.64412596457873</v>
          </cell>
        </row>
      </sheetData>
      <sheetData sheetId="10" refreshError="1">
        <row r="1">
          <cell r="F1" t="str">
            <v>Fully Costed Bus</v>
          </cell>
        </row>
        <row r="2">
          <cell r="D2" t="str">
            <v>Oper Income</v>
          </cell>
          <cell r="E2" t="str">
            <v>Revenue</v>
          </cell>
          <cell r="F2" t="str">
            <v>Direct Profit</v>
          </cell>
          <cell r="G2" t="str">
            <v>Overheads</v>
          </cell>
          <cell r="H2" t="str">
            <v>Eq Affil Income/Loss</v>
          </cell>
        </row>
        <row r="3">
          <cell r="D3" t="str">
            <v>AC02</v>
          </cell>
          <cell r="E3" t="str">
            <v>AC02</v>
          </cell>
          <cell r="F3" t="str">
            <v>AC02</v>
          </cell>
          <cell r="G3" t="str">
            <v>AC02</v>
          </cell>
          <cell r="H3" t="str">
            <v>AC02</v>
          </cell>
        </row>
        <row r="4">
          <cell r="D4" t="str">
            <v>Europe</v>
          </cell>
          <cell r="E4" t="str">
            <v>Europe</v>
          </cell>
          <cell r="F4" t="str">
            <v>Europe</v>
          </cell>
          <cell r="G4" t="str">
            <v>Europe</v>
          </cell>
          <cell r="H4" t="str">
            <v>Europe</v>
          </cell>
        </row>
        <row r="6">
          <cell r="A6" t="str">
            <v>USD AC02</v>
          </cell>
          <cell r="B6" t="str">
            <v>q3</v>
          </cell>
          <cell r="C6" t="str">
            <v>Chemicals Process Industry</v>
          </cell>
          <cell r="D6">
            <v>8728.2140474662956</v>
          </cell>
          <cell r="E6">
            <v>40848.797550896197</v>
          </cell>
          <cell r="F6">
            <v>11081.430278189297</v>
          </cell>
          <cell r="G6">
            <v>2157.7376895358311</v>
          </cell>
          <cell r="H6">
            <v>-277.8423857418</v>
          </cell>
        </row>
        <row r="7">
          <cell r="C7" t="str">
            <v>Electronics Industry</v>
          </cell>
          <cell r="D7">
            <v>-427.58629489815371</v>
          </cell>
          <cell r="E7">
            <v>5415.5376528502002</v>
          </cell>
          <cell r="F7">
            <v>299.06817408479662</v>
          </cell>
          <cell r="G7">
            <v>1062.2523848584458</v>
          </cell>
          <cell r="H7" t="str">
            <v>0</v>
          </cell>
        </row>
        <row r="8">
          <cell r="C8" t="str">
            <v>Electronic MFO</v>
          </cell>
          <cell r="D8">
            <v>1671.4439368491862</v>
          </cell>
          <cell r="E8">
            <v>15160.828043568912</v>
          </cell>
          <cell r="F8">
            <v>3540.5740511592749</v>
          </cell>
          <cell r="G8">
            <v>1576.2830212888105</v>
          </cell>
          <cell r="H8" t="str">
            <v>0</v>
          </cell>
        </row>
        <row r="9">
          <cell r="D9">
            <v>9972.0716894173274</v>
          </cell>
          <cell r="E9">
            <v>61425.163247315315</v>
          </cell>
          <cell r="F9">
            <v>14921.072503433366</v>
          </cell>
          <cell r="G9">
            <v>4796.2730956830874</v>
          </cell>
          <cell r="H9">
            <v>-277.8423857418</v>
          </cell>
        </row>
        <row r="10">
          <cell r="A10" t="str">
            <v>USD BD02</v>
          </cell>
          <cell r="B10" t="str">
            <v>q3</v>
          </cell>
          <cell r="C10" t="str">
            <v>Chemicals Process Industry</v>
          </cell>
          <cell r="D10">
            <v>8467.4394662218583</v>
          </cell>
          <cell r="E10">
            <v>40038.005031626104</v>
          </cell>
          <cell r="F10">
            <v>10783.859237403589</v>
          </cell>
          <cell r="G10">
            <v>2120.7743339714975</v>
          </cell>
          <cell r="H10">
            <v>-271.68346119149999</v>
          </cell>
        </row>
        <row r="11">
          <cell r="C11" t="str">
            <v>Electronics Industry</v>
          </cell>
          <cell r="D11">
            <v>-455.72245564009415</v>
          </cell>
          <cell r="E11">
            <v>5354.9963314885008</v>
          </cell>
          <cell r="F11">
            <v>290.49721300572867</v>
          </cell>
          <cell r="G11">
            <v>1052.1960373274842</v>
          </cell>
          <cell r="H11" t="str">
            <v>0</v>
          </cell>
        </row>
        <row r="12">
          <cell r="C12" t="str">
            <v>Electronic MFO</v>
          </cell>
          <cell r="D12">
            <v>1702.3933759717952</v>
          </cell>
          <cell r="E12">
            <v>14966.166053625991</v>
          </cell>
          <cell r="F12">
            <v>3544.9443366211835</v>
          </cell>
          <cell r="G12">
            <v>1550.6698806879654</v>
          </cell>
          <cell r="H12" t="str">
            <v>0</v>
          </cell>
        </row>
        <row r="13">
          <cell r="D13">
            <v>9714.1103865535588</v>
          </cell>
          <cell r="E13">
            <v>60359.167416740602</v>
          </cell>
          <cell r="F13">
            <v>14619.300787030501</v>
          </cell>
          <cell r="G13">
            <v>4723.6402519869471</v>
          </cell>
          <cell r="H13">
            <v>-271.68346119149999</v>
          </cell>
        </row>
        <row r="15">
          <cell r="A15" t="str">
            <v>USD AC02</v>
          </cell>
          <cell r="B15" t="str">
            <v>p9ytd</v>
          </cell>
          <cell r="C15" t="str">
            <v>Chemicals Process Industry</v>
          </cell>
          <cell r="D15">
            <v>20748.442605093165</v>
          </cell>
          <cell r="E15">
            <v>113420.46481067729</v>
          </cell>
          <cell r="F15">
            <v>27850.381866855056</v>
          </cell>
          <cell r="G15">
            <v>6515.1799115689091</v>
          </cell>
          <cell r="H15">
            <v>-534.4399560928</v>
          </cell>
        </row>
        <row r="16">
          <cell r="C16" t="str">
            <v>Electronics Industry</v>
          </cell>
          <cell r="D16">
            <v>-2353.6541479497482</v>
          </cell>
          <cell r="E16">
            <v>14984.9696836608</v>
          </cell>
          <cell r="F16">
            <v>955.77963783461234</v>
          </cell>
          <cell r="G16">
            <v>3186.9025767655457</v>
          </cell>
          <cell r="H16" t="str">
            <v>0</v>
          </cell>
        </row>
        <row r="17">
          <cell r="C17" t="str">
            <v>Electronic MFO</v>
          </cell>
          <cell r="D17">
            <v>4107.6988035428976</v>
          </cell>
          <cell r="E17">
            <v>42159.214365293592</v>
          </cell>
          <cell r="F17">
            <v>9975.1431939198137</v>
          </cell>
          <cell r="G17">
            <v>5022.7631304700881</v>
          </cell>
          <cell r="H17" t="str">
            <v>0</v>
          </cell>
        </row>
        <row r="18">
          <cell r="D18">
            <v>22502.487260686317</v>
          </cell>
          <cell r="E18">
            <v>170564.64885963168</v>
          </cell>
          <cell r="F18">
            <v>38781.304698609485</v>
          </cell>
          <cell r="G18">
            <v>14724.845618804542</v>
          </cell>
          <cell r="H18">
            <v>-534.4399560928</v>
          </cell>
        </row>
        <row r="19">
          <cell r="A19" t="str">
            <v>USD BD02</v>
          </cell>
          <cell r="B19" t="str">
            <v>p9ytd</v>
          </cell>
          <cell r="C19" t="str">
            <v>Chemicals Process Industry</v>
          </cell>
          <cell r="D19">
            <v>20637.825025101854</v>
          </cell>
          <cell r="E19">
            <v>113904.74516084359</v>
          </cell>
          <cell r="F19">
            <v>27723.090592297445</v>
          </cell>
          <cell r="G19">
            <v>6498.4092242368251</v>
          </cell>
          <cell r="H19">
            <v>-538.49672187750002</v>
          </cell>
        </row>
        <row r="20">
          <cell r="C20" t="str">
            <v>Electronics Industry</v>
          </cell>
          <cell r="D20">
            <v>-2377.5899510833574</v>
          </cell>
          <cell r="E20">
            <v>15055.303769603501</v>
          </cell>
          <cell r="F20">
            <v>965.85319819380254</v>
          </cell>
          <cell r="G20">
            <v>3192.8724572838059</v>
          </cell>
          <cell r="H20" t="str">
            <v>0</v>
          </cell>
        </row>
        <row r="21">
          <cell r="C21" t="str">
            <v>Electronic MFO</v>
          </cell>
          <cell r="D21">
            <v>4123.8094959636937</v>
          </cell>
          <cell r="E21">
            <v>42288.480440090534</v>
          </cell>
          <cell r="F21">
            <v>9978.3892717213421</v>
          </cell>
          <cell r="G21">
            <v>5010.8420280641531</v>
          </cell>
          <cell r="H21" t="str">
            <v>0</v>
          </cell>
        </row>
        <row r="22">
          <cell r="D22">
            <v>22384.04456998219</v>
          </cell>
          <cell r="E22">
            <v>171248.52937053764</v>
          </cell>
          <cell r="F22">
            <v>38667.333062212594</v>
          </cell>
          <cell r="G22">
            <v>14702.123709584785</v>
          </cell>
          <cell r="H22">
            <v>-538.49672187750002</v>
          </cell>
        </row>
      </sheetData>
      <sheetData sheetId="11" refreshError="1">
        <row r="1">
          <cell r="F1" t="str">
            <v>Fully Costed Bus</v>
          </cell>
          <cell r="G1" t="str">
            <v>Oper Income</v>
          </cell>
        </row>
        <row r="2">
          <cell r="D2" t="str">
            <v>AC02</v>
          </cell>
          <cell r="E2" t="str">
            <v>AC02</v>
          </cell>
          <cell r="F2" t="str">
            <v>AC02</v>
          </cell>
          <cell r="G2" t="str">
            <v>AC02</v>
          </cell>
          <cell r="H2" t="str">
            <v>AC02</v>
          </cell>
          <cell r="I2" t="str">
            <v>AC01</v>
          </cell>
          <cell r="J2" t="str">
            <v>AC01</v>
          </cell>
          <cell r="K2" t="str">
            <v>AC01</v>
          </cell>
          <cell r="L2" t="str">
            <v>AC01</v>
          </cell>
          <cell r="M2" t="str">
            <v>AC01</v>
          </cell>
        </row>
        <row r="3">
          <cell r="D3" t="str">
            <v>GB &amp; IE</v>
          </cell>
          <cell r="E3" t="str">
            <v>Continental Europe</v>
          </cell>
          <cell r="F3" t="str">
            <v>AE01 AP Middle East</v>
          </cell>
          <cell r="G3" t="str">
            <v>South Europe / Developmt</v>
          </cell>
          <cell r="H3" t="str">
            <v>Europe</v>
          </cell>
          <cell r="I3" t="str">
            <v>GB &amp; IE</v>
          </cell>
          <cell r="J3" t="str">
            <v>Continental Europe</v>
          </cell>
          <cell r="K3" t="str">
            <v>AE01 AP Middle East</v>
          </cell>
          <cell r="L3" t="str">
            <v>South Europe / Developmt</v>
          </cell>
          <cell r="M3" t="str">
            <v>Europe</v>
          </cell>
        </row>
        <row r="5">
          <cell r="A5" t="str">
            <v>USD AC02</v>
          </cell>
          <cell r="B5" t="str">
            <v>q3</v>
          </cell>
          <cell r="C5" t="str">
            <v>Bulk Gases</v>
          </cell>
          <cell r="D5">
            <v>3452.9104184189123</v>
          </cell>
          <cell r="E5">
            <v>4484.8511998443528</v>
          </cell>
          <cell r="F5">
            <v>10.947615552000004</v>
          </cell>
          <cell r="G5">
            <v>2329.7368674448026</v>
          </cell>
          <cell r="H5">
            <v>10267.498485708065</v>
          </cell>
          <cell r="I5">
            <v>4925.3193205115722</v>
          </cell>
          <cell r="J5">
            <v>2197.221328647116</v>
          </cell>
          <cell r="K5">
            <v>-3.1056223559999792</v>
          </cell>
          <cell r="L5">
            <v>2830.3481967320095</v>
          </cell>
          <cell r="M5">
            <v>9952.8888458906913</v>
          </cell>
        </row>
        <row r="6">
          <cell r="C6" t="str">
            <v>Pack Gases</v>
          </cell>
          <cell r="D6">
            <v>7027.4454191165369</v>
          </cell>
          <cell r="E6">
            <v>5414.7211468483692</v>
          </cell>
          <cell r="F6">
            <v>509.96629362234739</v>
          </cell>
          <cell r="G6">
            <v>12162.46140444004</v>
          </cell>
          <cell r="H6">
            <v>24604.627970404945</v>
          </cell>
          <cell r="I6">
            <v>6771.2410743018845</v>
          </cell>
          <cell r="J6">
            <v>4366.8865046589617</v>
          </cell>
          <cell r="K6">
            <v>335.67202598699998</v>
          </cell>
          <cell r="L6">
            <v>8888.805734356607</v>
          </cell>
          <cell r="M6">
            <v>20026.933313317459</v>
          </cell>
        </row>
        <row r="7">
          <cell r="C7" t="str">
            <v>Homecare</v>
          </cell>
          <cell r="D7">
            <v>707.86441127446165</v>
          </cell>
          <cell r="E7">
            <v>979.10625895874273</v>
          </cell>
          <cell r="F7" t="str">
            <v>0</v>
          </cell>
          <cell r="G7">
            <v>6574.9785301832844</v>
          </cell>
          <cell r="H7">
            <v>8261.9492004164895</v>
          </cell>
          <cell r="I7">
            <v>529.23825489674016</v>
          </cell>
          <cell r="J7">
            <v>74.243573977202686</v>
          </cell>
          <cell r="K7" t="str">
            <v>0</v>
          </cell>
          <cell r="L7">
            <v>6399.1090146501392</v>
          </cell>
          <cell r="M7">
            <v>7002.5908435240854</v>
          </cell>
        </row>
        <row r="8">
          <cell r="C8" t="str">
            <v>Hospitals</v>
          </cell>
          <cell r="D8" t="str">
            <v>0</v>
          </cell>
          <cell r="E8" t="str">
            <v>0</v>
          </cell>
          <cell r="F8" t="str">
            <v>0</v>
          </cell>
          <cell r="G8">
            <v>4207.0500052706375</v>
          </cell>
          <cell r="H8">
            <v>4207.0500052706375</v>
          </cell>
          <cell r="I8" t="str">
            <v>0</v>
          </cell>
          <cell r="J8" t="str">
            <v>0</v>
          </cell>
          <cell r="K8" t="str">
            <v>0</v>
          </cell>
          <cell r="L8">
            <v>4294.6486959100303</v>
          </cell>
          <cell r="M8">
            <v>4294.6486959100303</v>
          </cell>
        </row>
        <row r="9">
          <cell r="C9" t="str">
            <v>PL39 Gases Misc</v>
          </cell>
          <cell r="D9">
            <v>0</v>
          </cell>
          <cell r="E9" t="str">
            <v>0</v>
          </cell>
          <cell r="F9" t="str">
            <v>0</v>
          </cell>
          <cell r="G9">
            <v>80.995243296999959</v>
          </cell>
          <cell r="H9">
            <v>80.995243296999959</v>
          </cell>
          <cell r="I9">
            <v>0</v>
          </cell>
          <cell r="J9" t="str">
            <v>0</v>
          </cell>
          <cell r="K9" t="str">
            <v>0</v>
          </cell>
          <cell r="L9">
            <v>-137.11924784273</v>
          </cell>
          <cell r="M9">
            <v>-137.11924784273</v>
          </cell>
        </row>
        <row r="10">
          <cell r="C10" t="str">
            <v>Electronic MFO</v>
          </cell>
          <cell r="D10">
            <v>-186.91408921543535</v>
          </cell>
          <cell r="E10">
            <v>1858.3580260646222</v>
          </cell>
          <cell r="F10" t="str">
            <v>0</v>
          </cell>
          <cell r="G10" t="str">
            <v>0</v>
          </cell>
          <cell r="H10">
            <v>1671.4439368491862</v>
          </cell>
          <cell r="I10">
            <v>375.54604571815332</v>
          </cell>
          <cell r="J10">
            <v>1678.2464403665454</v>
          </cell>
          <cell r="K10" t="str">
            <v>0</v>
          </cell>
          <cell r="L10" t="str">
            <v>0</v>
          </cell>
          <cell r="M10">
            <v>2053.7924860847002</v>
          </cell>
        </row>
        <row r="11">
          <cell r="C11" t="str">
            <v>A Division</v>
          </cell>
          <cell r="D11">
            <v>10837.446750954463</v>
          </cell>
          <cell r="E11">
            <v>12900.89554023557</v>
          </cell>
          <cell r="F11">
            <v>520.91390917434751</v>
          </cell>
          <cell r="G11">
            <v>25355.221465446772</v>
          </cell>
          <cell r="H11">
            <v>49093.56375663681</v>
          </cell>
          <cell r="I11">
            <v>12601.34523757734</v>
          </cell>
          <cell r="J11">
            <v>8313.3759056450108</v>
          </cell>
          <cell r="K11">
            <v>332.56640363099996</v>
          </cell>
          <cell r="L11">
            <v>22275.629467907158</v>
          </cell>
          <cell r="M11">
            <v>43190.350611129492</v>
          </cell>
        </row>
        <row r="12">
          <cell r="C12" t="str">
            <v>Helium</v>
          </cell>
          <cell r="D12">
            <v>284.69652481070892</v>
          </cell>
          <cell r="E12">
            <v>2827.9241675208664</v>
          </cell>
          <cell r="F12">
            <v>620.09565123019001</v>
          </cell>
          <cell r="G12">
            <v>-0.59434991118800007</v>
          </cell>
          <cell r="H12">
            <v>3112.0263424203858</v>
          </cell>
          <cell r="I12">
            <v>509.3263086269651</v>
          </cell>
          <cell r="J12">
            <v>2343.6413032996097</v>
          </cell>
          <cell r="K12">
            <v>335.88617904500012</v>
          </cell>
          <cell r="L12" t="str">
            <v>0</v>
          </cell>
          <cell r="M12">
            <v>2852.9676119265741</v>
          </cell>
        </row>
        <row r="13">
          <cell r="C13" t="str">
            <v>Metals\General Industries</v>
          </cell>
          <cell r="D13">
            <v>1573.9103490538514</v>
          </cell>
          <cell r="E13">
            <v>1632.8259291196275</v>
          </cell>
          <cell r="F13" t="str">
            <v>0</v>
          </cell>
          <cell r="G13">
            <v>-1.59439527119136</v>
          </cell>
          <cell r="H13">
            <v>3205.1418829022887</v>
          </cell>
          <cell r="I13">
            <v>692.36768076759779</v>
          </cell>
          <cell r="J13">
            <v>350.94159631527367</v>
          </cell>
          <cell r="K13" t="str">
            <v>0</v>
          </cell>
          <cell r="L13" t="str">
            <v>0</v>
          </cell>
          <cell r="M13">
            <v>1043.3092770828728</v>
          </cell>
        </row>
        <row r="14">
          <cell r="C14" t="str">
            <v>Chemicals Process Industry</v>
          </cell>
          <cell r="D14">
            <v>2792.9082564181635</v>
          </cell>
          <cell r="E14">
            <v>5617.3877776636646</v>
          </cell>
          <cell r="F14" t="str">
            <v>0</v>
          </cell>
          <cell r="G14">
            <v>317.91801338447607</v>
          </cell>
          <cell r="H14">
            <v>8728.2140474662956</v>
          </cell>
          <cell r="I14">
            <v>2178.2325464822716</v>
          </cell>
          <cell r="J14">
            <v>2602.1722577209562</v>
          </cell>
          <cell r="K14" t="str">
            <v>0</v>
          </cell>
          <cell r="L14" t="str">
            <v>0</v>
          </cell>
          <cell r="M14">
            <v>4780.4048042032337</v>
          </cell>
        </row>
        <row r="15">
          <cell r="C15" t="str">
            <v>Electronics Industry</v>
          </cell>
          <cell r="D15">
            <v>521.79207194360549</v>
          </cell>
          <cell r="E15">
            <v>-949.37836684175943</v>
          </cell>
          <cell r="F15" t="str">
            <v>0</v>
          </cell>
          <cell r="G15" t="str">
            <v>0</v>
          </cell>
          <cell r="H15">
            <v>-427.58629489815371</v>
          </cell>
          <cell r="I15">
            <v>35.055092093908208</v>
          </cell>
          <cell r="J15">
            <v>-665.47116608319777</v>
          </cell>
          <cell r="K15" t="str">
            <v>0</v>
          </cell>
          <cell r="L15" t="str">
            <v>0</v>
          </cell>
          <cell r="M15">
            <v>-630.41607398928977</v>
          </cell>
        </row>
        <row r="17">
          <cell r="A17" t="str">
            <v>USD AC02</v>
          </cell>
          <cell r="B17" t="str">
            <v>p9ytd</v>
          </cell>
          <cell r="C17" t="str">
            <v>Bulk Gases</v>
          </cell>
          <cell r="D17">
            <v>7470.9895109195086</v>
          </cell>
          <cell r="E17">
            <v>13214.055992301975</v>
          </cell>
          <cell r="F17">
            <v>8.9056178839999749</v>
          </cell>
          <cell r="G17">
            <v>6152.9418258432943</v>
          </cell>
          <cell r="H17">
            <v>26837.987329064767</v>
          </cell>
          <cell r="I17">
            <v>12490.156117299097</v>
          </cell>
          <cell r="J17">
            <v>10140.731445672211</v>
          </cell>
          <cell r="K17">
            <v>-65.170147648999972</v>
          </cell>
          <cell r="L17">
            <v>6229.0655908523313</v>
          </cell>
          <cell r="M17">
            <v>28859.95315382363</v>
          </cell>
        </row>
        <row r="18">
          <cell r="C18" t="str">
            <v>Pack Gases</v>
          </cell>
          <cell r="D18">
            <v>20321.826863340677</v>
          </cell>
          <cell r="E18">
            <v>16440.595283945127</v>
          </cell>
          <cell r="F18">
            <v>959.92449551313234</v>
          </cell>
          <cell r="G18">
            <v>30125.08101364211</v>
          </cell>
          <cell r="H18">
            <v>66887.503160927881</v>
          </cell>
          <cell r="I18">
            <v>17403.605488976125</v>
          </cell>
          <cell r="J18">
            <v>12127.384247804852</v>
          </cell>
          <cell r="K18">
            <v>807.00929619894214</v>
          </cell>
          <cell r="L18">
            <v>25912.103197676584</v>
          </cell>
          <cell r="M18">
            <v>55443.092934457542</v>
          </cell>
        </row>
        <row r="19">
          <cell r="C19" t="str">
            <v>Homecare</v>
          </cell>
          <cell r="D19">
            <v>1779.8013903142726</v>
          </cell>
          <cell r="E19">
            <v>1572.1197042652818</v>
          </cell>
          <cell r="F19" t="str">
            <v>0</v>
          </cell>
          <cell r="G19">
            <v>19979.160280741096</v>
          </cell>
          <cell r="H19">
            <v>23331.081375320657</v>
          </cell>
          <cell r="I19">
            <v>1075.6955116906702</v>
          </cell>
          <cell r="J19">
            <v>743.4409907511731</v>
          </cell>
          <cell r="K19" t="str">
            <v>0</v>
          </cell>
          <cell r="L19">
            <v>18591.579500919874</v>
          </cell>
          <cell r="M19">
            <v>20410.716003361715</v>
          </cell>
        </row>
        <row r="20">
          <cell r="C20" t="str">
            <v>Hospitals</v>
          </cell>
          <cell r="D20" t="str">
            <v>0</v>
          </cell>
          <cell r="E20" t="str">
            <v>0</v>
          </cell>
          <cell r="F20" t="str">
            <v>0</v>
          </cell>
          <cell r="G20">
            <v>13320.568500647933</v>
          </cell>
          <cell r="H20">
            <v>13320.568500647933</v>
          </cell>
          <cell r="I20" t="str">
            <v>0</v>
          </cell>
          <cell r="J20" t="str">
            <v>0</v>
          </cell>
          <cell r="K20" t="str">
            <v>0</v>
          </cell>
          <cell r="L20">
            <v>12564.774170805882</v>
          </cell>
          <cell r="M20">
            <v>12564.774170805882</v>
          </cell>
        </row>
        <row r="21">
          <cell r="C21" t="str">
            <v>PL39 Gases Misc</v>
          </cell>
          <cell r="D21">
            <v>0</v>
          </cell>
          <cell r="E21" t="str">
            <v>0</v>
          </cell>
          <cell r="F21" t="str">
            <v>0</v>
          </cell>
          <cell r="G21">
            <v>23.588819609700291</v>
          </cell>
          <cell r="H21">
            <v>23.588819609700291</v>
          </cell>
          <cell r="I21">
            <v>0</v>
          </cell>
          <cell r="J21" t="str">
            <v>0</v>
          </cell>
          <cell r="K21" t="str">
            <v>0</v>
          </cell>
          <cell r="L21">
            <v>-201.14941979930998</v>
          </cell>
          <cell r="M21">
            <v>-201.14941979930998</v>
          </cell>
        </row>
        <row r="22">
          <cell r="C22" t="str">
            <v>Electronic MFO</v>
          </cell>
          <cell r="D22">
            <v>-804.05320046733959</v>
          </cell>
          <cell r="E22">
            <v>4911.752004010239</v>
          </cell>
          <cell r="F22" t="str">
            <v>0</v>
          </cell>
          <cell r="G22" t="str">
            <v>0</v>
          </cell>
          <cell r="H22">
            <v>4107.6988035428976</v>
          </cell>
          <cell r="I22">
            <v>2569.4834144811107</v>
          </cell>
          <cell r="J22">
            <v>6771.3272947881414</v>
          </cell>
          <cell r="K22" t="str">
            <v>0</v>
          </cell>
          <cell r="L22" t="str">
            <v>0</v>
          </cell>
          <cell r="M22">
            <v>9340.8107092692535</v>
          </cell>
        </row>
        <row r="23">
          <cell r="C23" t="str">
            <v>A Division</v>
          </cell>
          <cell r="D23">
            <v>28604.7074631289</v>
          </cell>
          <cell r="E23">
            <v>36302.39772865142</v>
          </cell>
          <cell r="F23">
            <v>968.83011339713266</v>
          </cell>
          <cell r="G23">
            <v>69601.713438065141</v>
          </cell>
          <cell r="H23">
            <v>134508.81862984542</v>
          </cell>
          <cell r="I23">
            <v>33538.941239506312</v>
          </cell>
          <cell r="J23">
            <v>29778.677223542618</v>
          </cell>
          <cell r="K23">
            <v>741.83914854994225</v>
          </cell>
          <cell r="L23">
            <v>63096.27823176192</v>
          </cell>
          <cell r="M23">
            <v>126413.89669481074</v>
          </cell>
        </row>
        <row r="24">
          <cell r="C24" t="str">
            <v>Helium</v>
          </cell>
          <cell r="D24">
            <v>1302.1958528556095</v>
          </cell>
          <cell r="E24">
            <v>7831.8049747685527</v>
          </cell>
          <cell r="F24">
            <v>1228.4670306425114</v>
          </cell>
          <cell r="G24">
            <v>-1.6729953815079999</v>
          </cell>
          <cell r="H24">
            <v>9132.3278322426522</v>
          </cell>
          <cell r="I24">
            <v>1257.4371592396412</v>
          </cell>
          <cell r="J24">
            <v>7334.9335530847047</v>
          </cell>
          <cell r="K24">
            <v>996.55369371694246</v>
          </cell>
          <cell r="L24" t="str">
            <v>0</v>
          </cell>
          <cell r="M24">
            <v>8592.3707123243457</v>
          </cell>
        </row>
        <row r="25">
          <cell r="C25" t="str">
            <v>Metals\General Industries</v>
          </cell>
          <cell r="D25">
            <v>3848.9793597360649</v>
          </cell>
          <cell r="E25">
            <v>4635.4508268032278</v>
          </cell>
          <cell r="F25" t="str">
            <v>0</v>
          </cell>
          <cell r="G25">
            <v>-4.90264417256736</v>
          </cell>
          <cell r="H25">
            <v>8479.5275423667281</v>
          </cell>
          <cell r="I25">
            <v>1959.0981769494201</v>
          </cell>
          <cell r="J25">
            <v>3514.0498798318968</v>
          </cell>
          <cell r="K25" t="str">
            <v>0</v>
          </cell>
          <cell r="L25" t="str">
            <v>0</v>
          </cell>
          <cell r="M25">
            <v>5473.1480567813151</v>
          </cell>
        </row>
        <row r="26">
          <cell r="C26" t="str">
            <v>Chemicals Process Industry</v>
          </cell>
          <cell r="D26">
            <v>7219.0350337921491</v>
          </cell>
          <cell r="E26">
            <v>13240.826392991103</v>
          </cell>
          <cell r="F26" t="str">
            <v>0</v>
          </cell>
          <cell r="G26">
            <v>288.58117830992245</v>
          </cell>
          <cell r="H26">
            <v>20748.442605093165</v>
          </cell>
          <cell r="I26">
            <v>6858.9055693256832</v>
          </cell>
          <cell r="J26">
            <v>9208.3790610970482</v>
          </cell>
          <cell r="K26" t="str">
            <v>0</v>
          </cell>
          <cell r="L26" t="str">
            <v>0</v>
          </cell>
          <cell r="M26">
            <v>16067.284630422733</v>
          </cell>
        </row>
        <row r="27">
          <cell r="C27" t="str">
            <v>Electronics Industry</v>
          </cell>
          <cell r="D27">
            <v>407.31452728259029</v>
          </cell>
          <cell r="E27">
            <v>-2760.9686752323387</v>
          </cell>
          <cell r="F27" t="str">
            <v>0</v>
          </cell>
          <cell r="G27" t="str">
            <v>0</v>
          </cell>
          <cell r="H27">
            <v>-2353.6541479497482</v>
          </cell>
          <cell r="I27">
            <v>603.13678704741983</v>
          </cell>
          <cell r="J27">
            <v>-1382.2060802446053</v>
          </cell>
          <cell r="K27" t="str">
            <v>0</v>
          </cell>
          <cell r="L27" t="str">
            <v>0</v>
          </cell>
          <cell r="M27">
            <v>-779.0692931971862</v>
          </cell>
        </row>
        <row r="29">
          <cell r="A29" t="str">
            <v>USD BD02</v>
          </cell>
          <cell r="B29" t="str">
            <v>q3</v>
          </cell>
          <cell r="C29" t="str">
            <v>Bulk Gases</v>
          </cell>
          <cell r="D29">
            <v>3378.3171107468124</v>
          </cell>
          <cell r="E29">
            <v>4285.2608776194093</v>
          </cell>
          <cell r="F29">
            <v>10.943608127999996</v>
          </cell>
          <cell r="G29">
            <v>2280.9340927371341</v>
          </cell>
          <cell r="H29">
            <v>9944.5120811033594</v>
          </cell>
          <cell r="I29">
            <v>4779.8129644833598</v>
          </cell>
          <cell r="J29">
            <v>2076.1591279283257</v>
          </cell>
          <cell r="K29">
            <v>-3.1047595559999817</v>
          </cell>
          <cell r="L29">
            <v>2773.907700116652</v>
          </cell>
          <cell r="M29">
            <v>9629.8797925283379</v>
          </cell>
        </row>
        <row r="30">
          <cell r="C30" t="str">
            <v>Pack Gases</v>
          </cell>
          <cell r="D30">
            <v>6905.5592803988884</v>
          </cell>
          <cell r="E30">
            <v>5319.0400134416486</v>
          </cell>
          <cell r="F30">
            <v>510.24883989386831</v>
          </cell>
          <cell r="G30">
            <v>12020.386423567823</v>
          </cell>
          <cell r="H30">
            <v>24244.985717408374</v>
          </cell>
          <cell r="I30">
            <v>6643.2223720834136</v>
          </cell>
          <cell r="J30">
            <v>4332.7020093848105</v>
          </cell>
          <cell r="K30">
            <v>336.4214357269999</v>
          </cell>
          <cell r="L30">
            <v>8754.5918559289967</v>
          </cell>
          <cell r="M30">
            <v>19730.51623739722</v>
          </cell>
        </row>
        <row r="31">
          <cell r="C31" t="str">
            <v>Homecare</v>
          </cell>
          <cell r="D31">
            <v>687.76002484714513</v>
          </cell>
          <cell r="E31">
            <v>948.74165132783742</v>
          </cell>
          <cell r="F31" t="str">
            <v>0</v>
          </cell>
          <cell r="G31">
            <v>6473.4265022167911</v>
          </cell>
          <cell r="H31">
            <v>8109.9281783917722</v>
          </cell>
          <cell r="I31">
            <v>515.17373772771998</v>
          </cell>
          <cell r="J31">
            <v>74.785234458437273</v>
          </cell>
          <cell r="K31" t="str">
            <v>0</v>
          </cell>
          <cell r="L31">
            <v>6302.4841457276489</v>
          </cell>
          <cell r="M31">
            <v>6892.4431179138064</v>
          </cell>
        </row>
        <row r="32">
          <cell r="C32" t="str">
            <v>Hospitals</v>
          </cell>
          <cell r="D32" t="str">
            <v>0</v>
          </cell>
          <cell r="E32" t="str">
            <v>0</v>
          </cell>
          <cell r="F32" t="str">
            <v>0</v>
          </cell>
          <cell r="G32">
            <v>4164.7213062367828</v>
          </cell>
          <cell r="H32">
            <v>4164.7213062367828</v>
          </cell>
          <cell r="I32" t="str">
            <v>0</v>
          </cell>
          <cell r="J32" t="str">
            <v>0</v>
          </cell>
          <cell r="K32" t="str">
            <v>0</v>
          </cell>
          <cell r="L32">
            <v>4248.7544837842497</v>
          </cell>
          <cell r="M32">
            <v>4248.7544837842497</v>
          </cell>
        </row>
        <row r="33">
          <cell r="C33" t="str">
            <v>PL39 Gases Misc</v>
          </cell>
          <cell r="D33">
            <v>0</v>
          </cell>
          <cell r="E33" t="str">
            <v>0</v>
          </cell>
          <cell r="F33" t="str">
            <v>0</v>
          </cell>
          <cell r="G33">
            <v>83.482925359499987</v>
          </cell>
          <cell r="H33">
            <v>83.482925359499987</v>
          </cell>
          <cell r="I33">
            <v>0</v>
          </cell>
          <cell r="J33" t="str">
            <v>0</v>
          </cell>
          <cell r="K33" t="str">
            <v>0</v>
          </cell>
          <cell r="L33">
            <v>-137.525559939</v>
          </cell>
          <cell r="M33">
            <v>-137.525559939</v>
          </cell>
        </row>
        <row r="34">
          <cell r="C34" t="str">
            <v>Electronic MFO</v>
          </cell>
          <cell r="D34">
            <v>-167.15346461801801</v>
          </cell>
          <cell r="E34">
            <v>1869.5468405898118</v>
          </cell>
          <cell r="F34" t="str">
            <v>0</v>
          </cell>
          <cell r="G34" t="str">
            <v>0</v>
          </cell>
          <cell r="H34">
            <v>1702.3933759717952</v>
          </cell>
          <cell r="I34">
            <v>390.36397712603377</v>
          </cell>
          <cell r="J34">
            <v>1691.6046433937245</v>
          </cell>
          <cell r="K34" t="str">
            <v>0</v>
          </cell>
          <cell r="L34" t="str">
            <v>0</v>
          </cell>
          <cell r="M34">
            <v>2081.9686205197595</v>
          </cell>
        </row>
        <row r="35">
          <cell r="C35" t="str">
            <v>A Division</v>
          </cell>
          <cell r="D35">
            <v>10640.623531917829</v>
          </cell>
          <cell r="E35">
            <v>12586.448250177316</v>
          </cell>
          <cell r="F35">
            <v>521.19244802186813</v>
          </cell>
          <cell r="G35">
            <v>25022.950650475035</v>
          </cell>
          <cell r="H35">
            <v>48250.022432570186</v>
          </cell>
          <cell r="I35">
            <v>12328.57360565212</v>
          </cell>
          <cell r="J35">
            <v>8174.5386407632386</v>
          </cell>
          <cell r="K35">
            <v>333.31667617100027</v>
          </cell>
          <cell r="L35">
            <v>21942.053247504973</v>
          </cell>
          <cell r="M35">
            <v>42445.1654939203</v>
          </cell>
        </row>
        <row r="36">
          <cell r="A36" t="str">
            <v>USD BD02</v>
          </cell>
          <cell r="B36" t="str">
            <v>q3</v>
          </cell>
          <cell r="C36" t="str">
            <v>Helium</v>
          </cell>
          <cell r="D36">
            <v>286.91568617248026</v>
          </cell>
          <cell r="E36">
            <v>2813.2482580200995</v>
          </cell>
          <cell r="F36">
            <v>620.33393864593597</v>
          </cell>
          <cell r="G36">
            <v>-0.58750949645999995</v>
          </cell>
          <cell r="H36">
            <v>3099.5764346961196</v>
          </cell>
          <cell r="I36">
            <v>510.45459949697278</v>
          </cell>
          <cell r="J36">
            <v>2336.3791962664504</v>
          </cell>
          <cell r="K36">
            <v>336.63551013900008</v>
          </cell>
          <cell r="L36" t="str">
            <v>0</v>
          </cell>
          <cell r="M36">
            <v>2846.833795763423</v>
          </cell>
        </row>
        <row r="37">
          <cell r="C37" t="str">
            <v>Metals\General Industries</v>
          </cell>
          <cell r="D37">
            <v>1547.8007742092304</v>
          </cell>
          <cell r="E37">
            <v>1595.1064393370566</v>
          </cell>
          <cell r="F37" t="str">
            <v>0</v>
          </cell>
          <cell r="G37">
            <v>-1.56069929865096</v>
          </cell>
          <cell r="H37">
            <v>3141.3465142476384</v>
          </cell>
          <cell r="I37">
            <v>673.88036722895481</v>
          </cell>
          <cell r="J37">
            <v>333.52170788254307</v>
          </cell>
          <cell r="K37" t="str">
            <v>0</v>
          </cell>
          <cell r="L37" t="str">
            <v>0</v>
          </cell>
          <cell r="M37">
            <v>1007.4020751114974</v>
          </cell>
        </row>
        <row r="38">
          <cell r="C38" t="str">
            <v>Chemicals Process Industry</v>
          </cell>
          <cell r="D38">
            <v>2732.9113334412664</v>
          </cell>
          <cell r="E38">
            <v>5425.8970677670932</v>
          </cell>
          <cell r="F38" t="str">
            <v>0</v>
          </cell>
          <cell r="G38">
            <v>308.6310650134958</v>
          </cell>
          <cell r="H38">
            <v>8467.4394662218583</v>
          </cell>
          <cell r="I38">
            <v>2134.7691060911052</v>
          </cell>
          <cell r="J38">
            <v>2513.6565162930951</v>
          </cell>
          <cell r="K38" t="str">
            <v>0</v>
          </cell>
          <cell r="L38" t="str">
            <v>0</v>
          </cell>
          <cell r="M38">
            <v>4648.425622384204</v>
          </cell>
        </row>
        <row r="39">
          <cell r="C39" t="str">
            <v>Electronics Industry</v>
          </cell>
          <cell r="D39">
            <v>491.05095140974515</v>
          </cell>
          <cell r="E39">
            <v>-946.77340704983874</v>
          </cell>
          <cell r="F39" t="str">
            <v>0</v>
          </cell>
          <cell r="G39" t="str">
            <v>0</v>
          </cell>
          <cell r="H39">
            <v>-455.72245564009415</v>
          </cell>
          <cell r="I39">
            <v>34.347996708846075</v>
          </cell>
          <cell r="J39">
            <v>-664.11124711595858</v>
          </cell>
          <cell r="K39" t="str">
            <v>0</v>
          </cell>
          <cell r="L39" t="str">
            <v>0</v>
          </cell>
          <cell r="M39">
            <v>-629.76325040711208</v>
          </cell>
        </row>
        <row r="41">
          <cell r="A41" t="str">
            <v>USD BD02</v>
          </cell>
          <cell r="B41" t="str">
            <v>p9ytd</v>
          </cell>
          <cell r="C41" t="str">
            <v>Bulk Gases</v>
          </cell>
          <cell r="D41">
            <v>7392.6799155042499</v>
          </cell>
          <cell r="E41">
            <v>13206.043642573273</v>
          </cell>
          <cell r="F41">
            <v>8.9023871760000297</v>
          </cell>
          <cell r="G41">
            <v>6228.8278688171249</v>
          </cell>
          <cell r="H41">
            <v>26827.551426894635</v>
          </cell>
          <cell r="I41">
            <v>12311.4929086878</v>
          </cell>
          <cell r="J41">
            <v>10273.689496036877</v>
          </cell>
          <cell r="K41">
            <v>-65.14704717799998</v>
          </cell>
          <cell r="L41">
            <v>6274.1633221525517</v>
          </cell>
          <cell r="M41">
            <v>28859.345726877211</v>
          </cell>
        </row>
        <row r="42">
          <cell r="C42" t="str">
            <v>Pack Gases</v>
          </cell>
          <cell r="D42">
            <v>20203.942148015492</v>
          </cell>
          <cell r="E42">
            <v>16525.585155637345</v>
          </cell>
          <cell r="F42">
            <v>958.65396075976605</v>
          </cell>
          <cell r="G42">
            <v>30463.655916826327</v>
          </cell>
          <cell r="H42">
            <v>67193.183220479172</v>
          </cell>
          <cell r="I42">
            <v>17251.355280525513</v>
          </cell>
          <cell r="J42">
            <v>12264.609576896193</v>
          </cell>
          <cell r="K42">
            <v>806.44331077958077</v>
          </cell>
          <cell r="L42">
            <v>26232.336588439386</v>
          </cell>
          <cell r="M42">
            <v>55748.301445861121</v>
          </cell>
        </row>
        <row r="43">
          <cell r="C43" t="str">
            <v>Homecare</v>
          </cell>
          <cell r="D43">
            <v>1767.4381383380965</v>
          </cell>
          <cell r="E43">
            <v>1574.3090111390516</v>
          </cell>
          <cell r="F43" t="str">
            <v>0</v>
          </cell>
          <cell r="G43">
            <v>20237.016298148839</v>
          </cell>
          <cell r="H43">
            <v>23578.763447625985</v>
          </cell>
          <cell r="I43">
            <v>1061.7664027481803</v>
          </cell>
          <cell r="J43">
            <v>762.23211580485099</v>
          </cell>
          <cell r="K43" t="str">
            <v>0</v>
          </cell>
          <cell r="L43">
            <v>18821.678876968392</v>
          </cell>
          <cell r="M43">
            <v>20645.677395521416</v>
          </cell>
        </row>
        <row r="44">
          <cell r="C44" t="str">
            <v>Hospitals</v>
          </cell>
          <cell r="D44" t="str">
            <v>0</v>
          </cell>
          <cell r="E44" t="str">
            <v>0</v>
          </cell>
          <cell r="F44" t="str">
            <v>0</v>
          </cell>
          <cell r="G44">
            <v>13515.019868071755</v>
          </cell>
          <cell r="H44">
            <v>13515.019868071755</v>
          </cell>
          <cell r="I44" t="str">
            <v>0</v>
          </cell>
          <cell r="J44" t="str">
            <v>0</v>
          </cell>
          <cell r="K44" t="str">
            <v>0</v>
          </cell>
          <cell r="L44">
            <v>12736.549240674143</v>
          </cell>
          <cell r="M44">
            <v>12736.549240674143</v>
          </cell>
        </row>
        <row r="45">
          <cell r="C45" t="str">
            <v>PL39 Gases Misc</v>
          </cell>
          <cell r="D45">
            <v>0</v>
          </cell>
          <cell r="E45" t="str">
            <v>0</v>
          </cell>
          <cell r="F45" t="str">
            <v>0</v>
          </cell>
          <cell r="G45">
            <v>25.307569395000357</v>
          </cell>
          <cell r="H45">
            <v>25.307569395000357</v>
          </cell>
          <cell r="I45">
            <v>0</v>
          </cell>
          <cell r="J45" t="str">
            <v>0</v>
          </cell>
          <cell r="K45" t="str">
            <v>0</v>
          </cell>
          <cell r="L45">
            <v>-211.89667914179995</v>
          </cell>
          <cell r="M45">
            <v>-211.89667914179995</v>
          </cell>
        </row>
        <row r="46">
          <cell r="C46" t="str">
            <v>Electronic MFO</v>
          </cell>
          <cell r="D46">
            <v>-791.32328429130951</v>
          </cell>
          <cell r="E46">
            <v>4915.1327802550059</v>
          </cell>
          <cell r="F46" t="str">
            <v>0</v>
          </cell>
          <cell r="G46" t="str">
            <v>0</v>
          </cell>
          <cell r="H46">
            <v>4123.8094959636937</v>
          </cell>
          <cell r="I46">
            <v>2598.8393943230822</v>
          </cell>
          <cell r="J46">
            <v>6784.8127550458184</v>
          </cell>
          <cell r="K46" t="str">
            <v>0</v>
          </cell>
          <cell r="L46" t="str">
            <v>0</v>
          </cell>
          <cell r="M46">
            <v>9383.6521493688997</v>
          </cell>
        </row>
        <row r="47">
          <cell r="C47" t="str">
            <v>A Division</v>
          </cell>
          <cell r="D47">
            <v>28408.877655838536</v>
          </cell>
          <cell r="E47">
            <v>36384.930686690401</v>
          </cell>
          <cell r="F47">
            <v>967.55634793576587</v>
          </cell>
          <cell r="G47">
            <v>70470.209421166044</v>
          </cell>
          <cell r="H47">
            <v>135264.01776369498</v>
          </cell>
          <cell r="I47">
            <v>33223.454707764118</v>
          </cell>
          <cell r="J47">
            <v>30084.297343401457</v>
          </cell>
          <cell r="K47">
            <v>741.29626360158113</v>
          </cell>
          <cell r="L47">
            <v>63852.740968446597</v>
          </cell>
          <cell r="M47">
            <v>127160.49301961214</v>
          </cell>
        </row>
        <row r="48">
          <cell r="A48" t="str">
            <v>USD BD02</v>
          </cell>
          <cell r="B48" t="str">
            <v>p9ytd</v>
          </cell>
          <cell r="C48" t="str">
            <v>Helium</v>
          </cell>
          <cell r="D48">
            <v>1305.1279805104245</v>
          </cell>
          <cell r="E48">
            <v>7830.1817802952128</v>
          </cell>
          <cell r="F48">
            <v>1227.1105556443226</v>
          </cell>
          <cell r="G48">
            <v>-1.69347796254</v>
          </cell>
          <cell r="H48">
            <v>9133.6162828430988</v>
          </cell>
          <cell r="I48">
            <v>1253.4496554878256</v>
          </cell>
          <cell r="J48">
            <v>7369.4442989957943</v>
          </cell>
          <cell r="K48">
            <v>995.91809963158084</v>
          </cell>
          <cell r="L48" t="str">
            <v>0</v>
          </cell>
          <cell r="M48">
            <v>8622.8939544836194</v>
          </cell>
        </row>
        <row r="49">
          <cell r="C49" t="str">
            <v>Metals\General Industries</v>
          </cell>
          <cell r="D49">
            <v>3821.8156859851233</v>
          </cell>
          <cell r="E49">
            <v>4696.0674851661197</v>
          </cell>
          <cell r="F49" t="str">
            <v>0</v>
          </cell>
          <cell r="G49">
            <v>-4.8677653729255201</v>
          </cell>
          <cell r="H49">
            <v>8513.0154057783202</v>
          </cell>
          <cell r="I49">
            <v>1935.3076930286848</v>
          </cell>
          <cell r="J49">
            <v>3628.9038480312747</v>
          </cell>
          <cell r="K49" t="str">
            <v>0</v>
          </cell>
          <cell r="L49" t="str">
            <v>0</v>
          </cell>
          <cell r="M49">
            <v>5564.2115410599599</v>
          </cell>
        </row>
        <row r="50">
          <cell r="C50" t="str">
            <v>Chemicals Process Industry</v>
          </cell>
          <cell r="D50">
            <v>7156.5226857173366</v>
          </cell>
          <cell r="E50">
            <v>13201.996400050728</v>
          </cell>
          <cell r="F50" t="str">
            <v>0</v>
          </cell>
          <cell r="G50">
            <v>279.30593933379038</v>
          </cell>
          <cell r="H50">
            <v>20637.825025101854</v>
          </cell>
          <cell r="I50">
            <v>6804.5038862437596</v>
          </cell>
          <cell r="J50">
            <v>9367.0581823305656</v>
          </cell>
          <cell r="K50" t="str">
            <v>0</v>
          </cell>
          <cell r="L50" t="str">
            <v>0</v>
          </cell>
          <cell r="M50">
            <v>16171.562068574336</v>
          </cell>
        </row>
        <row r="51">
          <cell r="C51" t="str">
            <v>Electronics Industry</v>
          </cell>
          <cell r="D51">
            <v>377.34182523405059</v>
          </cell>
          <cell r="E51">
            <v>-2754.9317763174072</v>
          </cell>
          <cell r="F51" t="str">
            <v>0</v>
          </cell>
          <cell r="G51" t="str">
            <v>0</v>
          </cell>
          <cell r="H51">
            <v>-2377.5899510833574</v>
          </cell>
          <cell r="I51">
            <v>609.34273598467803</v>
          </cell>
          <cell r="J51">
            <v>-1366.3216475371996</v>
          </cell>
          <cell r="K51" t="str">
            <v>0</v>
          </cell>
          <cell r="L51" t="str">
            <v>0</v>
          </cell>
          <cell r="M51">
            <v>-756.97891155252046</v>
          </cell>
        </row>
      </sheetData>
      <sheetData sheetId="12" refreshError="1">
        <row r="1">
          <cell r="C1" t="str">
            <v>Operating Income</v>
          </cell>
        </row>
        <row r="2">
          <cell r="C2" t="str">
            <v>USD AC02</v>
          </cell>
          <cell r="D2" t="str">
            <v>USD AC02</v>
          </cell>
          <cell r="E2" t="str">
            <v>USD AC02</v>
          </cell>
          <cell r="F2" t="str">
            <v>USD AC02</v>
          </cell>
          <cell r="G2" t="str">
            <v>USD AC02</v>
          </cell>
          <cell r="H2" t="str">
            <v>USD BD02</v>
          </cell>
          <cell r="I2" t="str">
            <v>USD BD02</v>
          </cell>
          <cell r="J2" t="str">
            <v>USD BD02</v>
          </cell>
          <cell r="K2" t="str">
            <v>USD BD02</v>
          </cell>
          <cell r="L2" t="str">
            <v>USD BD02</v>
          </cell>
        </row>
        <row r="3">
          <cell r="C3" t="str">
            <v>AC02</v>
          </cell>
          <cell r="D3" t="str">
            <v>AC01</v>
          </cell>
          <cell r="E3" t="str">
            <v>AC01</v>
          </cell>
          <cell r="F3" t="str">
            <v>AC01</v>
          </cell>
          <cell r="G3" t="str">
            <v>AC01</v>
          </cell>
          <cell r="H3" t="str">
            <v>AC02</v>
          </cell>
          <cell r="I3" t="str">
            <v>AC01</v>
          </cell>
          <cell r="J3" t="str">
            <v>AC01</v>
          </cell>
          <cell r="K3" t="str">
            <v>AC01</v>
          </cell>
          <cell r="L3" t="str">
            <v>AC01</v>
          </cell>
        </row>
        <row r="4">
          <cell r="C4" t="str">
            <v>Mgmt Entities</v>
          </cell>
          <cell r="D4" t="str">
            <v>Western Eur</v>
          </cell>
          <cell r="E4" t="str">
            <v>Central Eur</v>
          </cell>
          <cell r="F4" t="str">
            <v>Southern Eur</v>
          </cell>
          <cell r="G4" t="str">
            <v>Mgmt Entities</v>
          </cell>
          <cell r="H4" t="str">
            <v>Mgmt Entities</v>
          </cell>
          <cell r="I4" t="str">
            <v>Western Eur</v>
          </cell>
          <cell r="J4" t="str">
            <v>Central Eur</v>
          </cell>
          <cell r="K4" t="str">
            <v>Southern Eur</v>
          </cell>
          <cell r="L4" t="str">
            <v>Mgmt Entities</v>
          </cell>
        </row>
        <row r="5">
          <cell r="A5" t="str">
            <v>q3</v>
          </cell>
          <cell r="B5" t="str">
            <v>NMFOTonn</v>
          </cell>
          <cell r="C5">
            <v>11544.0160036917</v>
          </cell>
          <cell r="D5">
            <v>1267.0745905589715</v>
          </cell>
          <cell r="E5">
            <v>-56.558387483600001</v>
          </cell>
          <cell r="F5">
            <v>0</v>
          </cell>
          <cell r="G5">
            <v>1210.5162030753718</v>
          </cell>
          <cell r="H5">
            <v>11184.998422258599</v>
          </cell>
          <cell r="I5">
            <v>1234.3611755613138</v>
          </cell>
          <cell r="J5">
            <v>-53.348554501999999</v>
          </cell>
          <cell r="K5">
            <v>0</v>
          </cell>
          <cell r="L5">
            <v>1181.0126210593144</v>
          </cell>
        </row>
        <row r="6">
          <cell r="B6" t="str">
            <v>Europe Gases Other Than Electronics &amp; CPI -Western only</v>
          </cell>
          <cell r="C6">
            <v>60969.343344567606</v>
          </cell>
          <cell r="D6">
            <v>17359.72950660537</v>
          </cell>
          <cell r="E6">
            <v>2128.5037870692004</v>
          </cell>
          <cell r="F6">
            <v>22495.278624940103</v>
          </cell>
          <cell r="G6">
            <v>41983.511918614677</v>
          </cell>
          <cell r="H6">
            <v>59792.146028741801</v>
          </cell>
          <cell r="I6">
            <v>17071.301648038629</v>
          </cell>
          <cell r="J6">
            <v>1949.93019042332</v>
          </cell>
          <cell r="K6">
            <v>22164.039143955502</v>
          </cell>
          <cell r="L6">
            <v>41185.270982417453</v>
          </cell>
        </row>
        <row r="7">
          <cell r="B7" t="str">
            <v>Gases &amp; Equip</v>
          </cell>
          <cell r="C7">
            <v>60839.575135608604</v>
          </cell>
          <cell r="D7">
            <v>22049.941466982476</v>
          </cell>
          <cell r="E7">
            <v>2128.5037870692004</v>
          </cell>
          <cell r="F7">
            <v>22495.278624940103</v>
          </cell>
          <cell r="G7">
            <v>46673.72387899179</v>
          </cell>
          <cell r="H7">
            <v>59610.157075230803</v>
          </cell>
          <cell r="I7">
            <v>21641.43568152513</v>
          </cell>
          <cell r="J7">
            <v>1949.93019042332</v>
          </cell>
          <cell r="K7">
            <v>22164.039143955502</v>
          </cell>
          <cell r="L7">
            <v>45755.405015903954</v>
          </cell>
        </row>
        <row r="8">
          <cell r="B8" t="str">
            <v>E Process &amp; Equipmt</v>
          </cell>
          <cell r="C8">
            <v>-129.76820895899596</v>
          </cell>
          <cell r="D8">
            <v>-1349.8639170670012</v>
          </cell>
          <cell r="E8">
            <v>0</v>
          </cell>
          <cell r="F8" t="str">
            <v>0</v>
          </cell>
          <cell r="G8">
            <v>-1349.8639170670012</v>
          </cell>
          <cell r="H8">
            <v>-181.9889535109985</v>
          </cell>
          <cell r="I8">
            <v>-1360.4237846369997</v>
          </cell>
          <cell r="J8">
            <v>0</v>
          </cell>
          <cell r="K8" t="str">
            <v>0</v>
          </cell>
          <cell r="L8">
            <v>-1360.4237846369997</v>
          </cell>
        </row>
        <row r="9">
          <cell r="B9" t="str">
            <v>HCPI</v>
          </cell>
          <cell r="C9" t="str">
            <v>0</v>
          </cell>
          <cell r="D9">
            <v>4794.27814145722</v>
          </cell>
          <cell r="E9" t="str">
            <v>0</v>
          </cell>
          <cell r="F9" t="str">
            <v>0</v>
          </cell>
          <cell r="G9">
            <v>4794.27814145722</v>
          </cell>
          <cell r="H9" t="str">
            <v>0</v>
          </cell>
          <cell r="I9">
            <v>4655.5825408567071</v>
          </cell>
          <cell r="J9" t="str">
            <v>0</v>
          </cell>
          <cell r="K9" t="str">
            <v>0</v>
          </cell>
          <cell r="L9">
            <v>4655.5825408567071</v>
          </cell>
        </row>
        <row r="10">
          <cell r="B10" t="str">
            <v>Electronics</v>
          </cell>
          <cell r="C10" t="str">
            <v>0</v>
          </cell>
          <cell r="D10">
            <v>1245.7977359868894</v>
          </cell>
          <cell r="E10" t="str">
            <v>0</v>
          </cell>
          <cell r="F10" t="str">
            <v>0</v>
          </cell>
          <cell r="G10">
            <v>1245.7977359868894</v>
          </cell>
          <cell r="H10" t="str">
            <v>0</v>
          </cell>
          <cell r="I10">
            <v>1274.9752772667944</v>
          </cell>
          <cell r="J10" t="str">
            <v>0</v>
          </cell>
          <cell r="K10" t="str">
            <v>0</v>
          </cell>
          <cell r="L10">
            <v>1274.9752772667944</v>
          </cell>
        </row>
        <row r="12">
          <cell r="A12" t="str">
            <v>p9ytd</v>
          </cell>
          <cell r="B12" t="str">
            <v>NMFOTonn</v>
          </cell>
          <cell r="C12">
            <v>26980.676268635369</v>
          </cell>
          <cell r="D12">
            <v>6328.8314751671405</v>
          </cell>
          <cell r="E12">
            <v>-214.17664461310005</v>
          </cell>
          <cell r="F12">
            <v>0</v>
          </cell>
          <cell r="G12">
            <v>6114.65483055404</v>
          </cell>
          <cell r="H12">
            <v>26869.826468212599</v>
          </cell>
          <cell r="I12">
            <v>6463.9452260048829</v>
          </cell>
          <cell r="J12">
            <v>-206.48959040480003</v>
          </cell>
          <cell r="K12">
            <v>0</v>
          </cell>
          <cell r="L12">
            <v>6257.455635600084</v>
          </cell>
        </row>
        <row r="13">
          <cell r="B13" t="str">
            <v>Europe Gases Other Than Electronics &amp; CPI -Western only</v>
          </cell>
          <cell r="C13">
            <v>161524.28603777281</v>
          </cell>
          <cell r="D13">
            <v>55391.962008562914</v>
          </cell>
          <cell r="E13">
            <v>5065.4200151660807</v>
          </cell>
          <cell r="F13">
            <v>65964.944467070294</v>
          </cell>
          <cell r="G13">
            <v>126422.32649079929</v>
          </cell>
          <cell r="H13">
            <v>162219.73236957082</v>
          </cell>
          <cell r="I13">
            <v>55777.175081362373</v>
          </cell>
          <cell r="J13">
            <v>4777.1382848069406</v>
          </cell>
          <cell r="K13">
            <v>66815.127472226493</v>
          </cell>
          <cell r="L13">
            <v>127369.44083839582</v>
          </cell>
        </row>
        <row r="14">
          <cell r="B14" t="str">
            <v>Gases &amp; Equip</v>
          </cell>
          <cell r="C14">
            <v>158723.16894207982</v>
          </cell>
          <cell r="D14">
            <v>77098.104475526561</v>
          </cell>
          <cell r="E14">
            <v>5895.4200151660798</v>
          </cell>
          <cell r="F14">
            <v>65964.944484711697</v>
          </cell>
          <cell r="G14">
            <v>148958.46897540431</v>
          </cell>
          <cell r="H14">
            <v>159368.61957952482</v>
          </cell>
          <cell r="I14">
            <v>77617.932713158152</v>
          </cell>
          <cell r="J14">
            <v>5607.1382848069397</v>
          </cell>
          <cell r="K14">
            <v>66815.127490397499</v>
          </cell>
          <cell r="L14">
            <v>150040.1984883626</v>
          </cell>
        </row>
        <row r="15">
          <cell r="B15" t="str">
            <v>E Process &amp; Equipmt</v>
          </cell>
          <cell r="C15">
            <v>-2801.1170956929964</v>
          </cell>
          <cell r="D15">
            <v>-2284.8679568279977</v>
          </cell>
          <cell r="E15">
            <v>830</v>
          </cell>
          <cell r="F15" t="str">
            <v>0</v>
          </cell>
          <cell r="G15">
            <v>-1454.8679568279977</v>
          </cell>
          <cell r="H15">
            <v>-2851.1127900459992</v>
          </cell>
          <cell r="I15">
            <v>-2267.5775633590024</v>
          </cell>
          <cell r="J15">
            <v>830</v>
          </cell>
          <cell r="K15" t="str">
            <v>0</v>
          </cell>
          <cell r="L15">
            <v>-1437.5775633590029</v>
          </cell>
        </row>
        <row r="16">
          <cell r="B16" t="str">
            <v>HCPI</v>
          </cell>
          <cell r="C16" t="str">
            <v>0</v>
          </cell>
          <cell r="D16">
            <v>15631.826602531837</v>
          </cell>
          <cell r="E16" t="str">
            <v>0</v>
          </cell>
          <cell r="F16" t="str">
            <v>0</v>
          </cell>
          <cell r="G16">
            <v>15631.826602531837</v>
          </cell>
          <cell r="H16" t="str">
            <v>0</v>
          </cell>
          <cell r="I16">
            <v>15686.138574114393</v>
          </cell>
          <cell r="J16" t="str">
            <v>0</v>
          </cell>
          <cell r="K16" t="str">
            <v>0</v>
          </cell>
          <cell r="L16">
            <v>15686.138574114393</v>
          </cell>
        </row>
        <row r="17">
          <cell r="B17" t="str">
            <v>Electronics</v>
          </cell>
          <cell r="C17" t="str">
            <v>0</v>
          </cell>
          <cell r="D17">
            <v>8359.1838212598068</v>
          </cell>
          <cell r="E17" t="str">
            <v>0</v>
          </cell>
          <cell r="F17" t="str">
            <v>0</v>
          </cell>
          <cell r="G17">
            <v>8359.1838212598068</v>
          </cell>
          <cell r="H17" t="str">
            <v>0</v>
          </cell>
          <cell r="I17">
            <v>8422.1966210403789</v>
          </cell>
          <cell r="J17" t="str">
            <v>0</v>
          </cell>
          <cell r="K17" t="str">
            <v>0</v>
          </cell>
          <cell r="L17">
            <v>8422.1966210403789</v>
          </cell>
        </row>
      </sheetData>
      <sheetData sheetId="13" refreshError="1">
        <row r="1">
          <cell r="C1" t="str">
            <v>Mgmt Entities</v>
          </cell>
        </row>
        <row r="2">
          <cell r="C2" t="str">
            <v>USD AC02</v>
          </cell>
          <cell r="D2" t="str">
            <v>USD AC02</v>
          </cell>
          <cell r="E2" t="str">
            <v>USD AC02</v>
          </cell>
          <cell r="F2" t="str">
            <v>USD AC02</v>
          </cell>
          <cell r="G2" t="str">
            <v>Reported Dollar Value</v>
          </cell>
          <cell r="H2" t="str">
            <v>Reported Dollar Value</v>
          </cell>
          <cell r="I2" t="str">
            <v>USD BD02</v>
          </cell>
          <cell r="J2" t="str">
            <v>USD BD02</v>
          </cell>
        </row>
        <row r="3">
          <cell r="C3" t="str">
            <v>q3</v>
          </cell>
          <cell r="D3" t="str">
            <v>q3</v>
          </cell>
          <cell r="E3" t="str">
            <v>p9ytd</v>
          </cell>
          <cell r="F3" t="str">
            <v>p9ytd</v>
          </cell>
          <cell r="G3" t="str">
            <v>q3</v>
          </cell>
          <cell r="H3" t="str">
            <v>p9ytd</v>
          </cell>
          <cell r="I3" t="str">
            <v>q3</v>
          </cell>
          <cell r="J3" t="str">
            <v>p9ytd</v>
          </cell>
        </row>
        <row r="4">
          <cell r="C4" t="str">
            <v>AC02</v>
          </cell>
          <cell r="D4" t="str">
            <v>AC01</v>
          </cell>
          <cell r="E4" t="str">
            <v>AC02</v>
          </cell>
          <cell r="F4" t="str">
            <v>AC01</v>
          </cell>
          <cell r="G4" t="str">
            <v>AC01</v>
          </cell>
          <cell r="H4" t="str">
            <v>AC01</v>
          </cell>
          <cell r="I4" t="str">
            <v>AC02</v>
          </cell>
          <cell r="J4" t="str">
            <v>AC02</v>
          </cell>
        </row>
        <row r="5">
          <cell r="A5" t="str">
            <v>Western Only Gases</v>
          </cell>
          <cell r="B5" t="str">
            <v>Total Sales</v>
          </cell>
          <cell r="C5">
            <v>279051.70334800612</v>
          </cell>
          <cell r="D5">
            <v>272593.118655228</v>
          </cell>
          <cell r="E5">
            <v>814459.82803334133</v>
          </cell>
          <cell r="F5">
            <v>798112.71006307343</v>
          </cell>
          <cell r="G5">
            <v>259631.98959052446</v>
          </cell>
          <cell r="H5">
            <v>790824.29498653137</v>
          </cell>
          <cell r="I5">
            <v>274320.25201726472</v>
          </cell>
          <cell r="J5">
            <v>818575.12058056961</v>
          </cell>
        </row>
        <row r="6">
          <cell r="B6" t="str">
            <v>Direct Profit</v>
          </cell>
          <cell r="C6">
            <v>109250.12692943882</v>
          </cell>
          <cell r="D6">
            <v>98541.782388038613</v>
          </cell>
          <cell r="E6">
            <v>314597.65962773503</v>
          </cell>
          <cell r="F6">
            <v>297639.69961448025</v>
          </cell>
          <cell r="G6">
            <v>94136.350839487306</v>
          </cell>
          <cell r="H6">
            <v>295029.12006821227</v>
          </cell>
          <cell r="I6">
            <v>107373.2993421077</v>
          </cell>
          <cell r="J6">
            <v>315885.83940813888</v>
          </cell>
        </row>
        <row r="7">
          <cell r="B7" t="str">
            <v>Total Overheads</v>
          </cell>
          <cell r="C7">
            <v>49106.639600239199</v>
          </cell>
          <cell r="D7">
            <v>45339.926655832198</v>
          </cell>
          <cell r="E7">
            <v>149940.65068713759</v>
          </cell>
          <cell r="F7">
            <v>136930.59015885831</v>
          </cell>
          <cell r="G7">
            <v>43532.307804898504</v>
          </cell>
          <cell r="H7">
            <v>136028.83867350791</v>
          </cell>
          <cell r="I7">
            <v>48409.757311441397</v>
          </cell>
          <cell r="J7">
            <v>150572.966027802</v>
          </cell>
        </row>
        <row r="8">
          <cell r="B8" t="str">
            <v>Other (Income)/Expense</v>
          </cell>
          <cell r="C8">
            <v>-2519.3775031687996</v>
          </cell>
          <cell r="D8">
            <v>2605.3783347714998</v>
          </cell>
          <cell r="E8">
            <v>-3768.5018952564992</v>
          </cell>
          <cell r="F8">
            <v>2031.3947471635001</v>
          </cell>
          <cell r="G8">
            <v>2462.1982113580998</v>
          </cell>
          <cell r="H8">
            <v>1983.5097374589002</v>
          </cell>
          <cell r="I8">
            <v>-2521.9559094887995</v>
          </cell>
          <cell r="J8">
            <v>-3791.4421853534004</v>
          </cell>
        </row>
        <row r="9">
          <cell r="B9" t="str">
            <v>Operating Income</v>
          </cell>
          <cell r="C9">
            <v>60969.343344567606</v>
          </cell>
          <cell r="D9">
            <v>48023.587796058782</v>
          </cell>
          <cell r="E9">
            <v>161524.28603777281</v>
          </cell>
          <cell r="F9">
            <v>150413.33691459094</v>
          </cell>
          <cell r="G9">
            <v>45562.859910188941</v>
          </cell>
          <cell r="H9">
            <v>148789.91429308799</v>
          </cell>
          <cell r="I9">
            <v>59792.146028741801</v>
          </cell>
          <cell r="J9">
            <v>162219.73236957082</v>
          </cell>
        </row>
        <row r="10">
          <cell r="B10" t="str">
            <v>Income from Equity Affiliates</v>
          </cell>
          <cell r="C10">
            <v>3059.9792292444999</v>
          </cell>
          <cell r="D10">
            <v>3668.3053825141001</v>
          </cell>
          <cell r="E10">
            <v>16056.348180605599</v>
          </cell>
          <cell r="F10">
            <v>9945.2283064473013</v>
          </cell>
          <cell r="G10">
            <v>3476.9992919188999</v>
          </cell>
          <cell r="H10">
            <v>9832.4205065537008</v>
          </cell>
          <cell r="I10">
            <v>3071.7217668889998</v>
          </cell>
          <cell r="J10">
            <v>16432.5429073095</v>
          </cell>
        </row>
        <row r="11">
          <cell r="A11" t="str">
            <v>E Process &amp; Equipmt</v>
          </cell>
          <cell r="B11" t="str">
            <v>Total Sales</v>
          </cell>
          <cell r="C11">
            <v>14351.685441122003</v>
          </cell>
          <cell r="D11">
            <v>16179.862601463998</v>
          </cell>
          <cell r="E11">
            <v>31009.871900395003</v>
          </cell>
          <cell r="F11">
            <v>44562.720836490997</v>
          </cell>
          <cell r="G11">
            <v>15054.937851214003</v>
          </cell>
          <cell r="H11">
            <v>43665.510364032001</v>
          </cell>
          <cell r="I11">
            <v>13603.478899821001</v>
          </cell>
          <cell r="J11">
            <v>30077.087764355001</v>
          </cell>
        </row>
        <row r="12">
          <cell r="B12" t="str">
            <v>Direct Profit</v>
          </cell>
          <cell r="C12">
            <v>3268.5191347040045</v>
          </cell>
          <cell r="D12">
            <v>2352.6282007859986</v>
          </cell>
          <cell r="E12">
            <v>5905.3195041940035</v>
          </cell>
          <cell r="F12">
            <v>5677.4669343720034</v>
          </cell>
          <cell r="G12">
            <v>2175.7569918030022</v>
          </cell>
          <cell r="H12">
            <v>5493.0181918669987</v>
          </cell>
          <cell r="I12">
            <v>3101.5077830480004</v>
          </cell>
          <cell r="J12">
            <v>5712.1390609780001</v>
          </cell>
        </row>
        <row r="13">
          <cell r="B13" t="str">
            <v>Total Overheads</v>
          </cell>
          <cell r="C13">
            <v>3303.1686216829999</v>
          </cell>
          <cell r="D13">
            <v>2519.1311295259998</v>
          </cell>
          <cell r="E13">
            <v>9370.0658558230007</v>
          </cell>
          <cell r="F13">
            <v>6613.0583120920001</v>
          </cell>
          <cell r="G13">
            <v>2389.8516721209999</v>
          </cell>
          <cell r="H13">
            <v>6481.1863603390002</v>
          </cell>
          <cell r="I13">
            <v>3184.5235952969997</v>
          </cell>
          <cell r="J13">
            <v>9218.6621623239989</v>
          </cell>
        </row>
        <row r="14">
          <cell r="B14" t="str">
            <v>Other (Income)/Expense</v>
          </cell>
          <cell r="C14">
            <v>-25.513467619999979</v>
          </cell>
          <cell r="D14">
            <v>84.739247327000015</v>
          </cell>
          <cell r="E14">
            <v>-755.90760233599974</v>
          </cell>
          <cell r="F14">
            <v>-680.23775039200007</v>
          </cell>
          <cell r="G14">
            <v>77.140887210000017</v>
          </cell>
          <cell r="H14">
            <v>-687.50238332800006</v>
          </cell>
          <cell r="I14">
            <v>-22.800227937999999</v>
          </cell>
          <cell r="J14">
            <v>-753.80872580000005</v>
          </cell>
        </row>
        <row r="15">
          <cell r="B15" t="str">
            <v>Operating Income</v>
          </cell>
          <cell r="C15">
            <v>-129.76820895899596</v>
          </cell>
          <cell r="D15">
            <v>-1349.8639170670012</v>
          </cell>
          <cell r="E15">
            <v>-2801.1170956929964</v>
          </cell>
          <cell r="F15">
            <v>-1454.8679568279977</v>
          </cell>
          <cell r="G15">
            <v>-1365.9354561279983</v>
          </cell>
          <cell r="H15">
            <v>-1471.4132088440019</v>
          </cell>
          <cell r="I15">
            <v>-181.9889535109985</v>
          </cell>
          <cell r="J15">
            <v>-2851.1127900459992</v>
          </cell>
        </row>
        <row r="16">
          <cell r="B16" t="str">
            <v>Income from Equity Affiliates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</row>
        <row r="17">
          <cell r="A17" t="str">
            <v>F Non Div</v>
          </cell>
          <cell r="B17" t="str">
            <v>ZNAA Conv (Gain)/Loss</v>
          </cell>
          <cell r="C17">
            <v>-526.06700000000001</v>
          </cell>
          <cell r="D17">
            <v>362.28573</v>
          </cell>
          <cell r="E17">
            <v>226.32861</v>
          </cell>
          <cell r="F17">
            <v>1807.8645199999996</v>
          </cell>
          <cell r="G17">
            <v>362.28573</v>
          </cell>
          <cell r="H17">
            <v>1807.8645199999996</v>
          </cell>
          <cell r="I17">
            <v>-526.06700000000001</v>
          </cell>
          <cell r="J17">
            <v>226.32861</v>
          </cell>
        </row>
        <row r="19">
          <cell r="A19" t="str">
            <v>Western Only Gases</v>
          </cell>
          <cell r="B19" t="str">
            <v>ZEAA Demurrage Income</v>
          </cell>
          <cell r="C19">
            <v>-23434.5143264703</v>
          </cell>
          <cell r="D19">
            <v>-20584.989406076209</v>
          </cell>
          <cell r="E19">
            <v>-68613.201683808089</v>
          </cell>
          <cell r="F19">
            <v>-60916.570258516447</v>
          </cell>
          <cell r="G19">
            <v>20346.212253367899</v>
          </cell>
          <cell r="H19">
            <v>62266.6985906888</v>
          </cell>
          <cell r="I19">
            <v>-23021.995942607497</v>
          </cell>
          <cell r="J19">
            <v>-68806.383073834688</v>
          </cell>
        </row>
        <row r="20">
          <cell r="A20" t="str">
            <v>E Process &amp; Equipmt</v>
          </cell>
          <cell r="B20" t="str">
            <v>ZEAA Demurrage Income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</row>
        <row r="23">
          <cell r="A23" t="str">
            <v>HCPI</v>
          </cell>
          <cell r="B23" t="str">
            <v>Total Sales</v>
          </cell>
          <cell r="C23" t="str">
            <v>0</v>
          </cell>
          <cell r="D23">
            <v>39984.656782974293</v>
          </cell>
          <cell r="E23" t="str">
            <v>0</v>
          </cell>
          <cell r="F23">
            <v>119800.94442083708</v>
          </cell>
          <cell r="G23">
            <v>38060.977451506908</v>
          </cell>
          <cell r="H23">
            <v>118928.21713388432</v>
          </cell>
          <cell r="I23" t="str">
            <v>0</v>
          </cell>
          <cell r="J23" t="str">
            <v>0</v>
          </cell>
        </row>
        <row r="24">
          <cell r="B24" t="str">
            <v>Direct Profit</v>
          </cell>
          <cell r="C24" t="str">
            <v>0</v>
          </cell>
          <cell r="D24">
            <v>7505.8187484947466</v>
          </cell>
          <cell r="E24" t="str">
            <v>0</v>
          </cell>
          <cell r="F24">
            <v>24048.967811878709</v>
          </cell>
          <cell r="G24">
            <v>7102.0467590506851</v>
          </cell>
          <cell r="H24">
            <v>23848.854167641224</v>
          </cell>
          <cell r="I24" t="str">
            <v>0</v>
          </cell>
          <cell r="J24" t="str">
            <v>0</v>
          </cell>
        </row>
        <row r="25">
          <cell r="B25" t="str">
            <v>Total Overheads</v>
          </cell>
          <cell r="C25" t="str">
            <v>0</v>
          </cell>
          <cell r="D25">
            <v>2339.2274736880458</v>
          </cell>
          <cell r="E25" t="str">
            <v>0</v>
          </cell>
          <cell r="F25">
            <v>7368.1008596299871</v>
          </cell>
          <cell r="G25">
            <v>2253.6440854338443</v>
          </cell>
          <cell r="H25">
            <v>7329.9094079139832</v>
          </cell>
          <cell r="I25" t="str">
            <v>0</v>
          </cell>
          <cell r="J25" t="str">
            <v>0</v>
          </cell>
        </row>
        <row r="26">
          <cell r="B26" t="str">
            <v>Other (Income)/Expense</v>
          </cell>
          <cell r="C26" t="str">
            <v>0</v>
          </cell>
          <cell r="D26">
            <v>1.8117217934931986</v>
          </cell>
          <cell r="E26" t="str">
            <v>0</v>
          </cell>
          <cell r="F26">
            <v>-62.478280865443139</v>
          </cell>
          <cell r="G26">
            <v>2.0203935102663557</v>
          </cell>
          <cell r="H26">
            <v>-62.334593629748113</v>
          </cell>
          <cell r="I26" t="str">
            <v>0</v>
          </cell>
          <cell r="J26" t="str">
            <v>0</v>
          </cell>
        </row>
        <row r="27">
          <cell r="B27" t="str">
            <v>Operating Income</v>
          </cell>
          <cell r="C27" t="str">
            <v>0</v>
          </cell>
          <cell r="D27">
            <v>4794.27814145722</v>
          </cell>
          <cell r="E27" t="str">
            <v>0</v>
          </cell>
          <cell r="F27">
            <v>15631.826602531837</v>
          </cell>
          <cell r="G27">
            <v>4475.8814751703858</v>
          </cell>
          <cell r="H27">
            <v>15469.761514635691</v>
          </cell>
          <cell r="I27" t="str">
            <v>0</v>
          </cell>
          <cell r="J27" t="str">
            <v>0</v>
          </cell>
        </row>
        <row r="28">
          <cell r="B28" t="str">
            <v>Income from Equity Affiliates</v>
          </cell>
          <cell r="C28" t="str">
            <v>0</v>
          </cell>
          <cell r="D28">
            <v>371.53223976672024</v>
          </cell>
          <cell r="E28" t="str">
            <v>0</v>
          </cell>
          <cell r="F28">
            <v>578.52124381112685</v>
          </cell>
          <cell r="G28">
            <v>349.16890534848693</v>
          </cell>
          <cell r="H28">
            <v>551.09373304334736</v>
          </cell>
          <cell r="I28" t="str">
            <v>0</v>
          </cell>
          <cell r="J28" t="str">
            <v>0</v>
          </cell>
        </row>
        <row r="30">
          <cell r="A30" t="str">
            <v>Electronics</v>
          </cell>
          <cell r="B30" t="str">
            <v>Total Sales</v>
          </cell>
          <cell r="C30" t="str">
            <v>0</v>
          </cell>
          <cell r="D30">
            <v>19677.839802260591</v>
          </cell>
          <cell r="E30" t="str">
            <v>0</v>
          </cell>
          <cell r="F30">
            <v>56657.290822515934</v>
          </cell>
          <cell r="G30">
            <v>18887.699745611666</v>
          </cell>
          <cell r="H30">
            <v>56237.614874605933</v>
          </cell>
          <cell r="I30" t="str">
            <v>0</v>
          </cell>
          <cell r="J30" t="str">
            <v>0</v>
          </cell>
        </row>
        <row r="31">
          <cell r="B31" t="str">
            <v>Direct Profit</v>
          </cell>
          <cell r="C31" t="str">
            <v>0</v>
          </cell>
          <cell r="D31">
            <v>3764.686531216802</v>
          </cell>
          <cell r="E31" t="str">
            <v>0</v>
          </cell>
          <cell r="F31">
            <v>16094.884384432647</v>
          </cell>
          <cell r="G31">
            <v>3755.3555130289133</v>
          </cell>
          <cell r="H31">
            <v>16148.458253677723</v>
          </cell>
          <cell r="I31" t="str">
            <v>0</v>
          </cell>
          <cell r="J31" t="str">
            <v>0</v>
          </cell>
        </row>
        <row r="32">
          <cell r="B32" t="str">
            <v>Total Overheads</v>
          </cell>
          <cell r="C32" t="str">
            <v>0</v>
          </cell>
          <cell r="D32">
            <v>1884.4573280273526</v>
          </cell>
          <cell r="E32" t="str">
            <v>0</v>
          </cell>
          <cell r="F32">
            <v>5791.5804857614085</v>
          </cell>
          <cell r="G32">
            <v>1827.542605083147</v>
          </cell>
          <cell r="H32">
            <v>5770.1823280077006</v>
          </cell>
          <cell r="I32" t="str">
            <v>0</v>
          </cell>
          <cell r="J32" t="str">
            <v>0</v>
          </cell>
        </row>
        <row r="33">
          <cell r="B33" t="str">
            <v>Other (Income)/Expense</v>
          </cell>
          <cell r="C33" t="str">
            <v>0</v>
          </cell>
          <cell r="D33">
            <v>-0.21911263868200237</v>
          </cell>
          <cell r="E33" t="str">
            <v>0</v>
          </cell>
          <cell r="F33">
            <v>40.252900270238783</v>
          </cell>
          <cell r="G33">
            <v>-0.58637938641677856</v>
          </cell>
          <cell r="H33">
            <v>41.013473487555011</v>
          </cell>
          <cell r="I33" t="str">
            <v>0</v>
          </cell>
          <cell r="J33" t="str">
            <v>0</v>
          </cell>
        </row>
        <row r="34">
          <cell r="B34" t="str">
            <v>Operating Income</v>
          </cell>
          <cell r="C34" t="str">
            <v>0</v>
          </cell>
          <cell r="D34">
            <v>1245.7977359868894</v>
          </cell>
          <cell r="E34" t="str">
            <v>0</v>
          </cell>
          <cell r="F34">
            <v>8359.1838212598068</v>
          </cell>
          <cell r="G34">
            <v>1293.7488316331969</v>
          </cell>
          <cell r="H34">
            <v>8433.395436307519</v>
          </cell>
          <cell r="I34" t="str">
            <v>0</v>
          </cell>
          <cell r="J34" t="str">
            <v>0</v>
          </cell>
        </row>
        <row r="35">
          <cell r="B35" t="str">
            <v>Income from Equity Affiliates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</row>
      </sheetData>
      <sheetData sheetId="14" refreshError="1">
        <row r="1">
          <cell r="B1" t="str">
            <v>OP Plan FY02</v>
          </cell>
          <cell r="C1" t="str">
            <v>Fully Costed P&amp;L</v>
          </cell>
          <cell r="D1" t="str">
            <v>Budget 02</v>
          </cell>
          <cell r="E1" t="str">
            <v>Gases incl CPI &amp; Electronics</v>
          </cell>
        </row>
        <row r="2">
          <cell r="B2" t="str">
            <v>Operating Income</v>
          </cell>
          <cell r="C2" t="str">
            <v>Operating Income</v>
          </cell>
          <cell r="D2" t="str">
            <v>Income from Equity Affiliates</v>
          </cell>
        </row>
        <row r="3">
          <cell r="B3" t="str">
            <v>q3</v>
          </cell>
          <cell r="C3" t="str">
            <v>p9ytd</v>
          </cell>
          <cell r="D3" t="str">
            <v>q3</v>
          </cell>
          <cell r="E3" t="str">
            <v>p9ytd</v>
          </cell>
        </row>
        <row r="4">
          <cell r="A4" t="str">
            <v>UK Bulk</v>
          </cell>
          <cell r="B4">
            <v>5411.9608489252514</v>
          </cell>
          <cell r="C4">
            <v>11295.95624114748</v>
          </cell>
          <cell r="D4">
            <v>0</v>
          </cell>
          <cell r="E4">
            <v>0</v>
          </cell>
        </row>
        <row r="5">
          <cell r="A5" t="str">
            <v>UK Packaged Gases ex Helium</v>
          </cell>
          <cell r="B5">
            <v>6291.2230596175677</v>
          </cell>
          <cell r="C5">
            <v>18360.252498446414</v>
          </cell>
          <cell r="D5">
            <v>129</v>
          </cell>
          <cell r="E5">
            <v>387</v>
          </cell>
        </row>
        <row r="6">
          <cell r="A6" t="str">
            <v>Merchant UK &amp; Ireland</v>
          </cell>
          <cell r="B6">
            <v>11703.183908542818</v>
          </cell>
          <cell r="C6">
            <v>29656.208739593891</v>
          </cell>
          <cell r="D6">
            <v>129</v>
          </cell>
          <cell r="E6">
            <v>387</v>
          </cell>
        </row>
        <row r="7">
          <cell r="A7" t="str">
            <v>Continental Bulk</v>
          </cell>
          <cell r="B7">
            <v>4101.2941510592736</v>
          </cell>
          <cell r="C7">
            <v>14363.454799887822</v>
          </cell>
          <cell r="D7">
            <v>0</v>
          </cell>
          <cell r="E7">
            <v>0</v>
          </cell>
        </row>
        <row r="8">
          <cell r="A8" t="str">
            <v>Continental Packaged Gases ex Helium &amp; APME</v>
          </cell>
          <cell r="B8">
            <v>2606.405249564295</v>
          </cell>
          <cell r="C8">
            <v>6312.9137721552925</v>
          </cell>
          <cell r="D8">
            <v>151.75</v>
          </cell>
          <cell r="E8">
            <v>455.25</v>
          </cell>
        </row>
        <row r="9">
          <cell r="A9" t="str">
            <v>Continent</v>
          </cell>
          <cell r="B9">
            <v>6707.6994006235691</v>
          </cell>
          <cell r="C9">
            <v>20676.368572043117</v>
          </cell>
          <cell r="D9">
            <v>151.75</v>
          </cell>
          <cell r="E9">
            <v>455.25</v>
          </cell>
        </row>
        <row r="10">
          <cell r="A10" t="str">
            <v>NE Helium &amp; APME</v>
          </cell>
          <cell r="B10">
            <v>3043.9107290959923</v>
          </cell>
          <cell r="C10">
            <v>7947.3849315929601</v>
          </cell>
          <cell r="D10">
            <v>0</v>
          </cell>
          <cell r="E10">
            <v>0</v>
          </cell>
        </row>
        <row r="11">
          <cell r="A11" t="str">
            <v>NE Homecare</v>
          </cell>
          <cell r="B11">
            <v>1962.0824278588652</v>
          </cell>
          <cell r="C11">
            <v>5043.9532082698888</v>
          </cell>
          <cell r="D11">
            <v>0</v>
          </cell>
          <cell r="E11">
            <v>0</v>
          </cell>
        </row>
        <row r="12">
          <cell r="A12" t="str">
            <v>Carburos Bulk</v>
          </cell>
          <cell r="B12">
            <v>3361.310014820031</v>
          </cell>
          <cell r="C12">
            <v>8086.131008103991</v>
          </cell>
          <cell r="D12">
            <v>0</v>
          </cell>
          <cell r="E12">
            <v>0</v>
          </cell>
        </row>
        <row r="13">
          <cell r="A13" t="str">
            <v>Carburos Packaged Gases</v>
          </cell>
          <cell r="B13">
            <v>10231.534288969735</v>
          </cell>
          <cell r="C13">
            <v>29272.062776689323</v>
          </cell>
          <cell r="D13">
            <v>0</v>
          </cell>
          <cell r="E13">
            <v>0</v>
          </cell>
        </row>
        <row r="14">
          <cell r="A14" t="str">
            <v>Carburos Medical</v>
          </cell>
          <cell r="B14">
            <v>11383.495594132124</v>
          </cell>
          <cell r="C14">
            <v>33581.560185171118</v>
          </cell>
          <cell r="D14">
            <v>0</v>
          </cell>
          <cell r="E14">
            <v>0</v>
          </cell>
        </row>
        <row r="15">
          <cell r="A15" t="str">
            <v>Carburos Metallicos</v>
          </cell>
          <cell r="B15">
            <v>24976.339897921891</v>
          </cell>
          <cell r="C15">
            <v>70939.753969964426</v>
          </cell>
          <cell r="D15">
            <v>0</v>
          </cell>
          <cell r="E15">
            <v>0</v>
          </cell>
        </row>
        <row r="16">
          <cell r="A16" t="str">
            <v>GI Metals Tonnage</v>
          </cell>
          <cell r="B16">
            <v>2824.5101181115911</v>
          </cell>
          <cell r="C16">
            <v>7480.9661774542183</v>
          </cell>
          <cell r="D16">
            <v>200</v>
          </cell>
          <cell r="E16">
            <v>600</v>
          </cell>
        </row>
        <row r="17">
          <cell r="A17" t="str">
            <v>Non Divisional &amp; EA Income</v>
          </cell>
          <cell r="B17">
            <v>-2439.5498656906411</v>
          </cell>
          <cell r="C17">
            <v>-1306.3504332319462</v>
          </cell>
          <cell r="D17">
            <v>3450</v>
          </cell>
          <cell r="E17">
            <v>10350</v>
          </cell>
        </row>
        <row r="18">
          <cell r="A18" t="str">
            <v>CPI</v>
          </cell>
          <cell r="B18">
            <v>8043.4174865752248</v>
          </cell>
          <cell r="C18">
            <v>23116.430190060837</v>
          </cell>
          <cell r="D18">
            <v>200</v>
          </cell>
          <cell r="E18">
            <v>600</v>
          </cell>
        </row>
        <row r="19">
          <cell r="A19" t="str">
            <v>Total Electronics</v>
          </cell>
          <cell r="B19">
            <v>1552.3313300821146</v>
          </cell>
          <cell r="C19">
            <v>3690.9534694114873</v>
          </cell>
          <cell r="D19">
            <v>0</v>
          </cell>
          <cell r="E19">
            <v>0</v>
          </cell>
        </row>
        <row r="20">
          <cell r="A20" t="str">
            <v>Business P&amp;L</v>
          </cell>
          <cell r="B20">
            <v>58373.925433121432</v>
          </cell>
          <cell r="C20">
            <v>167245.66882515885</v>
          </cell>
          <cell r="D20">
            <v>4130.75</v>
          </cell>
          <cell r="E20">
            <v>12392.25</v>
          </cell>
        </row>
        <row r="21">
          <cell r="A21" t="str">
            <v>Support Services costs</v>
          </cell>
          <cell r="B21" t="str">
            <v>0</v>
          </cell>
          <cell r="C21" t="str">
            <v>0</v>
          </cell>
          <cell r="D21" t="str">
            <v>0</v>
          </cell>
          <cell r="E21" t="str">
            <v>0</v>
          </cell>
        </row>
        <row r="22">
          <cell r="A22" t="str">
            <v>Total incl Support Services</v>
          </cell>
          <cell r="B22">
            <v>58373.925433121432</v>
          </cell>
          <cell r="C22">
            <v>167245.66882515885</v>
          </cell>
          <cell r="D22">
            <v>4130.75</v>
          </cell>
          <cell r="E22">
            <v>12392.25</v>
          </cell>
        </row>
      </sheetData>
      <sheetData sheetId="15" refreshError="1">
        <row r="1">
          <cell r="C1" t="str">
            <v>OP Plan FY02</v>
          </cell>
          <cell r="D1" t="str">
            <v>Business P&amp;L</v>
          </cell>
          <cell r="E1" t="str">
            <v>Fully Costed P&amp;L</v>
          </cell>
        </row>
        <row r="2">
          <cell r="C2" t="str">
            <v>q3</v>
          </cell>
          <cell r="D2" t="str">
            <v>p9ytd</v>
          </cell>
        </row>
        <row r="4">
          <cell r="A4" t="str">
            <v>Gases excl CPI &amp; Electronics</v>
          </cell>
          <cell r="B4" t="str">
            <v>Total Revenue</v>
          </cell>
          <cell r="C4">
            <v>249213.26036624535</v>
          </cell>
          <cell r="D4">
            <v>745175.48801443109</v>
          </cell>
        </row>
        <row r="5">
          <cell r="A5" t="str">
            <v>Gases excl CPI &amp; Electronics</v>
          </cell>
          <cell r="B5" t="str">
            <v>Direct Profit</v>
          </cell>
          <cell r="C5">
            <v>95105.359117359942</v>
          </cell>
          <cell r="D5">
            <v>278439.76528833574</v>
          </cell>
        </row>
        <row r="6">
          <cell r="A6" t="str">
            <v>Gases excl CPI &amp; Electronics</v>
          </cell>
          <cell r="B6" t="str">
            <v>Overheads</v>
          </cell>
          <cell r="C6">
            <v>44493.901484920105</v>
          </cell>
          <cell r="D6">
            <v>133852.29907881736</v>
          </cell>
        </row>
        <row r="7">
          <cell r="A7" t="str">
            <v>Gases excl CPI &amp; Electronics</v>
          </cell>
          <cell r="B7" t="str">
            <v>Research &amp; Development</v>
          </cell>
          <cell r="C7">
            <v>1803</v>
          </cell>
          <cell r="D7">
            <v>5409</v>
          </cell>
        </row>
        <row r="8">
          <cell r="A8" t="str">
            <v>Gases excl CPI &amp; Electronics</v>
          </cell>
          <cell r="B8" t="str">
            <v>Other (Income)/Expense</v>
          </cell>
          <cell r="C8">
            <v>30.281015975726405</v>
          </cell>
          <cell r="D8">
            <v>-1259.8189561681584</v>
          </cell>
        </row>
        <row r="9">
          <cell r="A9" t="str">
            <v>Gases excl CPI &amp; Electronics</v>
          </cell>
          <cell r="B9" t="str">
            <v>Operating Income</v>
          </cell>
          <cell r="C9">
            <v>48778.176616464087</v>
          </cell>
          <cell r="D9">
            <v>140438.28516568657</v>
          </cell>
        </row>
        <row r="10">
          <cell r="A10" t="str">
            <v>Gases excl CPI &amp; Electronics</v>
          </cell>
          <cell r="B10" t="str">
            <v>Income from Equity Affiliates</v>
          </cell>
          <cell r="C10">
            <v>3930.75</v>
          </cell>
          <cell r="D10">
            <v>11792.25</v>
          </cell>
        </row>
        <row r="12">
          <cell r="A12" t="str">
            <v>Gases incl CPI &amp; Electronics</v>
          </cell>
          <cell r="B12" t="str">
            <v>Total Revenue</v>
          </cell>
          <cell r="C12">
            <v>315157.67604932713</v>
          </cell>
          <cell r="D12">
            <v>928387.26984708197</v>
          </cell>
        </row>
        <row r="13">
          <cell r="A13" t="str">
            <v>Gases incl CPI &amp; Electronics</v>
          </cell>
          <cell r="B13" t="str">
            <v>Direct Profit</v>
          </cell>
          <cell r="C13">
            <v>110617.12976272478</v>
          </cell>
          <cell r="D13">
            <v>322567.35781215702</v>
          </cell>
        </row>
        <row r="14">
          <cell r="A14" t="str">
            <v>Gases incl CPI &amp; Electronics</v>
          </cell>
          <cell r="B14" t="str">
            <v>Overheads</v>
          </cell>
          <cell r="C14">
            <v>49680.923313627609</v>
          </cell>
          <cell r="D14">
            <v>148985.5079431663</v>
          </cell>
        </row>
        <row r="15">
          <cell r="A15" t="str">
            <v>Gases incl CPI &amp; Electronics</v>
          </cell>
          <cell r="B15" t="str">
            <v>Research &amp; Development</v>
          </cell>
          <cell r="C15">
            <v>2532</v>
          </cell>
          <cell r="D15">
            <v>7596</v>
          </cell>
        </row>
        <row r="16">
          <cell r="A16" t="str">
            <v>Gases incl CPI &amp; Electronics</v>
          </cell>
          <cell r="B16" t="str">
            <v>Other (Income)/Expense</v>
          </cell>
          <cell r="C16">
            <v>30.281015975726405</v>
          </cell>
          <cell r="D16">
            <v>-1259.8189561681584</v>
          </cell>
        </row>
        <row r="17">
          <cell r="A17" t="str">
            <v>Gases incl CPI &amp; Electronics</v>
          </cell>
          <cell r="B17" t="str">
            <v>Operating Income</v>
          </cell>
          <cell r="C17">
            <v>58373.925433121432</v>
          </cell>
          <cell r="D17">
            <v>167245.66882515885</v>
          </cell>
        </row>
        <row r="18">
          <cell r="A18" t="str">
            <v>Gases incl CPI &amp; Electronics</v>
          </cell>
          <cell r="B18" t="str">
            <v>Income from Equity Affiliates</v>
          </cell>
          <cell r="C18">
            <v>4130.75</v>
          </cell>
          <cell r="D18">
            <v>12392.25</v>
          </cell>
        </row>
      </sheetData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Op Income by Prodline"/>
      <sheetName val="Apcons Op Inc"/>
      <sheetName val="Apcons P&amp;L"/>
      <sheetName val="Apres Retrieve"/>
      <sheetName val="ApresSS"/>
      <sheetName val="Plan"/>
      <sheetName val="EUPA"/>
    </sheetNames>
    <sheetDataSet>
      <sheetData sheetId="0"/>
      <sheetData sheetId="1"/>
      <sheetData sheetId="2" refreshError="1">
        <row r="2">
          <cell r="D2" t="str">
            <v>USD AC02</v>
          </cell>
          <cell r="E2" t="str">
            <v>USD BD02</v>
          </cell>
          <cell r="F2" t="str">
            <v>USD AC02</v>
          </cell>
          <cell r="G2" t="str">
            <v>USD AC02</v>
          </cell>
          <cell r="H2" t="str">
            <v>USD AC02</v>
          </cell>
          <cell r="I2" t="str">
            <v>USD AC02</v>
          </cell>
        </row>
        <row r="3">
          <cell r="D3" t="str">
            <v>AC02</v>
          </cell>
          <cell r="E3" t="str">
            <v>AC02</v>
          </cell>
          <cell r="F3" t="str">
            <v>AC01</v>
          </cell>
          <cell r="G3" t="str">
            <v>AC01</v>
          </cell>
          <cell r="H3" t="str">
            <v>AC01</v>
          </cell>
          <cell r="I3" t="str">
            <v>AC01</v>
          </cell>
        </row>
        <row r="4">
          <cell r="D4" t="str">
            <v>Mgmt Entities</v>
          </cell>
          <cell r="E4" t="str">
            <v>Mgmt Entities</v>
          </cell>
          <cell r="F4" t="str">
            <v>Western Eur</v>
          </cell>
          <cell r="G4" t="str">
            <v>Central Eur</v>
          </cell>
          <cell r="H4" t="str">
            <v>Southern Eur</v>
          </cell>
          <cell r="I4" t="str">
            <v>Mgmt Entities</v>
          </cell>
        </row>
        <row r="5">
          <cell r="A5" t="str">
            <v>BcOpInc</v>
          </cell>
          <cell r="B5" t="str">
            <v>Quarter 3</v>
          </cell>
          <cell r="C5" t="str">
            <v>NMFOTonn</v>
          </cell>
          <cell r="D5">
            <v>14634.163437510098</v>
          </cell>
          <cell r="E5">
            <v>14251.794128845602</v>
          </cell>
          <cell r="F5">
            <v>2273.1268484445945</v>
          </cell>
          <cell r="G5">
            <v>-7.6451174836</v>
          </cell>
          <cell r="H5">
            <v>0</v>
          </cell>
          <cell r="I5">
            <v>2265.4817309609944</v>
          </cell>
        </row>
        <row r="6">
          <cell r="C6" t="str">
            <v>Europe Gases Other Than Electronics &amp; CPI -Western only</v>
          </cell>
          <cell r="D6">
            <v>81036.618348575488</v>
          </cell>
          <cell r="E6">
            <v>79669.625039327802</v>
          </cell>
          <cell r="F6">
            <v>30434.63451010397</v>
          </cell>
          <cell r="G6">
            <v>2303.2529392992005</v>
          </cell>
          <cell r="H6">
            <v>24068.680421840101</v>
          </cell>
          <cell r="I6">
            <v>56806.567871243264</v>
          </cell>
        </row>
        <row r="7">
          <cell r="C7" t="str">
            <v>Gases &amp; Equip</v>
          </cell>
          <cell r="D7">
            <v>81498.694249616499</v>
          </cell>
          <cell r="E7">
            <v>80079.48019581681</v>
          </cell>
          <cell r="F7">
            <v>39089.58726727248</v>
          </cell>
          <cell r="G7">
            <v>2303.2529392992005</v>
          </cell>
          <cell r="H7">
            <v>24068.680421840101</v>
          </cell>
          <cell r="I7">
            <v>65461.520628411781</v>
          </cell>
        </row>
        <row r="8">
          <cell r="C8" t="str">
            <v>E Process &amp; Equipmt</v>
          </cell>
          <cell r="D8">
            <v>462.07590104100382</v>
          </cell>
          <cell r="E8">
            <v>409.8551564890015</v>
          </cell>
          <cell r="F8">
            <v>-929.4343070670011</v>
          </cell>
          <cell r="G8">
            <v>0</v>
          </cell>
          <cell r="H8" t="str">
            <v>0</v>
          </cell>
          <cell r="I8">
            <v>-929.4343070670011</v>
          </cell>
        </row>
        <row r="9">
          <cell r="A9" t="str">
            <v>BcOpInc</v>
          </cell>
          <cell r="B9" t="str">
            <v>June Year to Date</v>
          </cell>
          <cell r="C9" t="str">
            <v>NMFOTonn</v>
          </cell>
          <cell r="D9">
            <v>36350.469612117566</v>
          </cell>
          <cell r="E9">
            <v>36239.352368463602</v>
          </cell>
          <cell r="F9">
            <v>9406.376510715425</v>
          </cell>
          <cell r="G9">
            <v>-67.179004613099991</v>
          </cell>
          <cell r="H9">
            <v>0</v>
          </cell>
          <cell r="I9">
            <v>9339.197506102324</v>
          </cell>
        </row>
        <row r="10">
          <cell r="C10" t="str">
            <v>Europe Gases Other Than Electronics &amp; CPI -Western only</v>
          </cell>
          <cell r="D10">
            <v>222983.51255251898</v>
          </cell>
          <cell r="E10">
            <v>223654.69664394832</v>
          </cell>
          <cell r="F10">
            <v>95123.699481699296</v>
          </cell>
          <cell r="G10">
            <v>5634.4874837583802</v>
          </cell>
          <cell r="H10">
            <v>70703.89391452531</v>
          </cell>
          <cell r="I10">
            <v>171462.08087998297</v>
          </cell>
        </row>
        <row r="11">
          <cell r="C11" t="str">
            <v>Gases &amp; Equip</v>
          </cell>
          <cell r="D11">
            <v>221942.29376682598</v>
          </cell>
          <cell r="E11">
            <v>222563.48216390234</v>
          </cell>
          <cell r="F11">
            <v>129000.64904121685</v>
          </cell>
          <cell r="G11">
            <v>6464.4874837583802</v>
          </cell>
          <cell r="H11">
            <v>70703.893932166699</v>
          </cell>
          <cell r="I11">
            <v>206169.03045714193</v>
          </cell>
        </row>
        <row r="12">
          <cell r="C12" t="str">
            <v>E Process &amp; Equipmt</v>
          </cell>
          <cell r="D12">
            <v>-1041.2187856929972</v>
          </cell>
          <cell r="E12">
            <v>-1091.2144800459994</v>
          </cell>
          <cell r="F12">
            <v>-1018.9892168279969</v>
          </cell>
          <cell r="G12">
            <v>830</v>
          </cell>
          <cell r="H12" t="str">
            <v>0</v>
          </cell>
          <cell r="I12">
            <v>-188.98921682799721</v>
          </cell>
        </row>
        <row r="14">
          <cell r="A14" t="str">
            <v>EUSSOpInc</v>
          </cell>
          <cell r="B14" t="str">
            <v>Quarter 3</v>
          </cell>
          <cell r="C14" t="str">
            <v>NMFOTonn</v>
          </cell>
          <cell r="D14">
            <v>1408.1093938183999</v>
          </cell>
          <cell r="E14">
            <v>1384.7576665870001</v>
          </cell>
          <cell r="F14">
            <v>452.69818528462349</v>
          </cell>
          <cell r="G14" t="str">
            <v>0</v>
          </cell>
          <cell r="H14" t="str">
            <v>0</v>
          </cell>
          <cell r="I14">
            <v>452.69818528462349</v>
          </cell>
        </row>
        <row r="15">
          <cell r="A15" t="str">
            <v>EUSSOpInc</v>
          </cell>
          <cell r="B15" t="str">
            <v>June Year to Date</v>
          </cell>
          <cell r="C15" t="str">
            <v>NMFOTonn</v>
          </cell>
          <cell r="D15">
            <v>4343.2392034821996</v>
          </cell>
          <cell r="E15">
            <v>4342.971760251</v>
          </cell>
          <cell r="F15">
            <v>1436.2967905912838</v>
          </cell>
          <cell r="G15" t="str">
            <v>0</v>
          </cell>
          <cell r="H15" t="str">
            <v>0</v>
          </cell>
          <cell r="I15">
            <v>1436.2967905912838</v>
          </cell>
        </row>
        <row r="16">
          <cell r="A16" t="str">
            <v>EUSSOpInc</v>
          </cell>
          <cell r="B16" t="str">
            <v>Quarter 3</v>
          </cell>
          <cell r="C16" t="str">
            <v>B Southern Eur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</row>
        <row r="17">
          <cell r="A17" t="str">
            <v>EUSSOpInc</v>
          </cell>
          <cell r="B17" t="str">
            <v>June Year to Date</v>
          </cell>
          <cell r="C17" t="str">
            <v>B Southern Eur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</row>
        <row r="18">
          <cell r="A18" t="str">
            <v>EUSSOpInc</v>
          </cell>
          <cell r="B18" t="str">
            <v>Quarter 3</v>
          </cell>
          <cell r="C18" t="str">
            <v>F Non Div</v>
          </cell>
          <cell r="D18">
            <v>210.99790840000003</v>
          </cell>
          <cell r="E18">
            <v>203.7098713</v>
          </cell>
          <cell r="F18">
            <v>172.14961612999997</v>
          </cell>
          <cell r="G18" t="str">
            <v>0</v>
          </cell>
          <cell r="H18" t="str">
            <v>0</v>
          </cell>
          <cell r="I18">
            <v>172.14961612999997</v>
          </cell>
        </row>
        <row r="19">
          <cell r="A19" t="str">
            <v>EUSSOpInc</v>
          </cell>
          <cell r="B19" t="str">
            <v>June Year to Date</v>
          </cell>
          <cell r="C19" t="str">
            <v>F Non Div</v>
          </cell>
          <cell r="D19">
            <v>210.99790840000003</v>
          </cell>
          <cell r="E19">
            <v>203.7098713</v>
          </cell>
          <cell r="F19">
            <v>649.42878468059996</v>
          </cell>
          <cell r="G19" t="str">
            <v>0</v>
          </cell>
          <cell r="H19" t="str">
            <v>0</v>
          </cell>
          <cell r="I19">
            <v>649.42878468059996</v>
          </cell>
        </row>
        <row r="22">
          <cell r="A22" t="str">
            <v>USSSOpInc</v>
          </cell>
          <cell r="B22" t="str">
            <v>Quarter 3</v>
          </cell>
          <cell r="C22" t="str">
            <v>NMFOTonn</v>
          </cell>
          <cell r="D22">
            <v>1682.0380399999999</v>
          </cell>
          <cell r="E22">
            <v>1682.0380399999999</v>
          </cell>
          <cell r="F22">
            <v>553.35407260099987</v>
          </cell>
          <cell r="G22">
            <v>48.913269999999997</v>
          </cell>
          <cell r="H22" t="str">
            <v>0</v>
          </cell>
          <cell r="I22">
            <v>602.26734260099988</v>
          </cell>
        </row>
        <row r="23">
          <cell r="A23" t="str">
            <v>USSSOpInc</v>
          </cell>
          <cell r="B23" t="str">
            <v>June Year to Date</v>
          </cell>
          <cell r="C23" t="str">
            <v>NMFOTonn</v>
          </cell>
          <cell r="D23">
            <v>5026.5541400000002</v>
          </cell>
          <cell r="E23">
            <v>5026.5541400000002</v>
          </cell>
          <cell r="F23">
            <v>1641.2482449569998</v>
          </cell>
          <cell r="G23">
            <v>146.99764000000002</v>
          </cell>
          <cell r="H23" t="str">
            <v>0</v>
          </cell>
          <cell r="I23">
            <v>1788.2458849569998</v>
          </cell>
        </row>
        <row r="24">
          <cell r="A24" t="str">
            <v>USSSOpInc</v>
          </cell>
          <cell r="B24" t="str">
            <v>Quarter 3</v>
          </cell>
          <cell r="C24" t="str">
            <v>B Southern Eur</v>
          </cell>
          <cell r="D24">
            <v>149.38800000000001</v>
          </cell>
          <cell r="E24">
            <v>149.38800000000001</v>
          </cell>
          <cell r="F24" t="str">
            <v>0</v>
          </cell>
          <cell r="G24" t="str">
            <v>0</v>
          </cell>
          <cell r="H24" t="str">
            <v>0</v>
          </cell>
          <cell r="I24">
            <v>150.93069333333332</v>
          </cell>
        </row>
        <row r="25">
          <cell r="A25" t="str">
            <v>USSSOpInc</v>
          </cell>
          <cell r="B25" t="str">
            <v>June Year to Date</v>
          </cell>
          <cell r="C25" t="str">
            <v>B Southern Eur</v>
          </cell>
          <cell r="D25">
            <v>448.16399999999999</v>
          </cell>
          <cell r="E25">
            <v>448.16399999999999</v>
          </cell>
          <cell r="F25" t="str">
            <v>0</v>
          </cell>
          <cell r="G25" t="str">
            <v>0</v>
          </cell>
          <cell r="H25" t="str">
            <v>0</v>
          </cell>
          <cell r="I25">
            <v>475.01776000000007</v>
          </cell>
        </row>
        <row r="26">
          <cell r="A26" t="str">
            <v>USSSOpInc</v>
          </cell>
          <cell r="B26" t="str">
            <v>Quarter 3</v>
          </cell>
          <cell r="C26" t="str">
            <v>F Non Div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</row>
        <row r="27">
          <cell r="A27" t="str">
            <v>USSSOpInc</v>
          </cell>
          <cell r="B27" t="str">
            <v>June Year to Date</v>
          </cell>
          <cell r="C27" t="str">
            <v>F Non Div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</row>
        <row r="29">
          <cell r="A29" t="str">
            <v>EAQVSZZEUPA  - Eqty tfr-Corp.Fee Corp Costs</v>
          </cell>
          <cell r="B29" t="str">
            <v>Quarter 3</v>
          </cell>
          <cell r="C29" t="str">
            <v>A Merch Gases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19.201879999999999</v>
          </cell>
          <cell r="I29">
            <v>19.201879999999999</v>
          </cell>
        </row>
        <row r="30">
          <cell r="A30" t="str">
            <v>EAJVPZZEUPA  - Eqty tfr-Corp.Fee R&amp;D</v>
          </cell>
          <cell r="B30" t="str">
            <v>Quarter 3</v>
          </cell>
          <cell r="C30" t="str">
            <v>A Merch Gases</v>
          </cell>
          <cell r="D30">
            <v>149.38800000000001</v>
          </cell>
          <cell r="E30">
            <v>149.38800000000001</v>
          </cell>
          <cell r="F30" t="str">
            <v>0</v>
          </cell>
          <cell r="G30" t="str">
            <v>0</v>
          </cell>
          <cell r="H30">
            <v>128.07608999999999</v>
          </cell>
          <cell r="I30">
            <v>128.07608999999999</v>
          </cell>
        </row>
        <row r="32">
          <cell r="A32" t="str">
            <v>EAQVSZZEUPA  - Eqty tfr-Corp.Fee Corp Costs</v>
          </cell>
          <cell r="B32" t="str">
            <v>June Year to Date</v>
          </cell>
          <cell r="C32" t="str">
            <v>A Merch Gases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>
            <v>57.605629999999998</v>
          </cell>
          <cell r="I32">
            <v>57.605629999999998</v>
          </cell>
        </row>
        <row r="33">
          <cell r="A33" t="str">
            <v>EAJVPZZEUPA  - Eqty tfr-Corp.Fee R&amp;D</v>
          </cell>
          <cell r="B33" t="str">
            <v>June Year to Date</v>
          </cell>
          <cell r="C33" t="str">
            <v>A Merch Gases</v>
          </cell>
          <cell r="D33">
            <v>448.16399999999999</v>
          </cell>
          <cell r="E33">
            <v>448.16399999999999</v>
          </cell>
          <cell r="F33" t="str">
            <v>0</v>
          </cell>
          <cell r="G33" t="str">
            <v>0</v>
          </cell>
          <cell r="H33">
            <v>384.22819000000004</v>
          </cell>
          <cell r="I33">
            <v>384.22819000000004</v>
          </cell>
        </row>
      </sheetData>
      <sheetData sheetId="3"/>
      <sheetData sheetId="4"/>
      <sheetData sheetId="5" refreshError="1">
        <row r="1">
          <cell r="D1" t="str">
            <v>Europe</v>
          </cell>
          <cell r="E1" t="str">
            <v>DataType</v>
          </cell>
        </row>
        <row r="2">
          <cell r="D2" t="str">
            <v>AC02</v>
          </cell>
          <cell r="E2" t="str">
            <v>AC02</v>
          </cell>
          <cell r="F2" t="str">
            <v>AC01</v>
          </cell>
          <cell r="G2" t="str">
            <v>AC01</v>
          </cell>
        </row>
        <row r="3">
          <cell r="D3" t="str">
            <v>Quarter 3</v>
          </cell>
          <cell r="E3" t="str">
            <v>June Year to Date</v>
          </cell>
          <cell r="F3" t="str">
            <v>Quarter 3</v>
          </cell>
          <cell r="G3" t="str">
            <v>June Year to Date</v>
          </cell>
        </row>
        <row r="4">
          <cell r="A4" t="str">
            <v>USD AC02</v>
          </cell>
          <cell r="B4" t="str">
            <v>EUSSOpInc</v>
          </cell>
          <cell r="C4" t="str">
            <v>Electronic MFO</v>
          </cell>
          <cell r="D4">
            <v>568.66666132501462</v>
          </cell>
          <cell r="E4">
            <v>1682.1497886023128</v>
          </cell>
          <cell r="F4">
            <v>525.98444182599997</v>
          </cell>
          <cell r="G4">
            <v>1578.5721007799157</v>
          </cell>
        </row>
        <row r="5">
          <cell r="C5" t="str">
            <v>A Division</v>
          </cell>
          <cell r="D5">
            <v>10001.959612385423</v>
          </cell>
          <cell r="E5">
            <v>31679.005983464893</v>
          </cell>
          <cell r="F5">
            <v>9301.2660106200001</v>
          </cell>
          <cell r="G5">
            <v>28247.91765729255</v>
          </cell>
        </row>
        <row r="6">
          <cell r="C6" t="str">
            <v>Metals\General Industries</v>
          </cell>
          <cell r="D6">
            <v>366.05095611073108</v>
          </cell>
          <cell r="E6">
            <v>1134.2317367557405</v>
          </cell>
          <cell r="F6">
            <v>495.90214027564804</v>
          </cell>
          <cell r="G6">
            <v>1587.7816412948675</v>
          </cell>
        </row>
        <row r="7">
          <cell r="A7" t="str">
            <v>USD AC02</v>
          </cell>
          <cell r="B7" t="str">
            <v>USSSOpInc</v>
          </cell>
          <cell r="C7" t="str">
            <v>Electronic MFO</v>
          </cell>
          <cell r="D7">
            <v>686.70835857999998</v>
          </cell>
          <cell r="E7">
            <v>2053.2683558999997</v>
          </cell>
          <cell r="F7">
            <v>596.93880375200001</v>
          </cell>
          <cell r="G7">
            <v>1792.35505171</v>
          </cell>
        </row>
        <row r="8">
          <cell r="C8" t="str">
            <v>A Division</v>
          </cell>
          <cell r="D8">
            <v>6614.7820900000006</v>
          </cell>
          <cell r="E8">
            <v>19746.482310000003</v>
          </cell>
          <cell r="F8">
            <v>5259.3628999740004</v>
          </cell>
          <cell r="G8">
            <v>15813.723760013003</v>
          </cell>
        </row>
        <row r="9">
          <cell r="C9" t="str">
            <v>Metals\General Industries</v>
          </cell>
          <cell r="D9">
            <v>470.79221922699998</v>
          </cell>
          <cell r="E9">
            <v>1408.6407008589999</v>
          </cell>
          <cell r="F9">
            <v>621.52336694499991</v>
          </cell>
          <cell r="G9">
            <v>1867.9338792220003</v>
          </cell>
        </row>
        <row r="10">
          <cell r="A10" t="str">
            <v>USD BD02</v>
          </cell>
          <cell r="B10" t="str">
            <v>EUSSOpInc</v>
          </cell>
          <cell r="C10" t="str">
            <v>Electronic MFO</v>
          </cell>
          <cell r="D10">
            <v>559.1490618969882</v>
          </cell>
          <cell r="E10">
            <v>1681.5083040433422</v>
          </cell>
          <cell r="F10">
            <v>516.30680120400007</v>
          </cell>
          <cell r="G10">
            <v>1574.5496215093913</v>
          </cell>
        </row>
        <row r="11">
          <cell r="C11" t="str">
            <v>A Division</v>
          </cell>
          <cell r="D11">
            <v>9842.8033829517954</v>
          </cell>
          <cell r="E11">
            <v>31662.291922674478</v>
          </cell>
          <cell r="F11">
            <v>9126.4889449999991</v>
          </cell>
          <cell r="G11">
            <v>28176.821466793794</v>
          </cell>
        </row>
        <row r="12">
          <cell r="C12" t="str">
            <v>Metals\General Industries</v>
          </cell>
          <cell r="D12">
            <v>360.02337376922304</v>
          </cell>
          <cell r="E12">
            <v>1134.4738965570309</v>
          </cell>
          <cell r="F12">
            <v>486.92756261909994</v>
          </cell>
          <cell r="G12">
            <v>1587.2323159159193</v>
          </cell>
        </row>
        <row r="13">
          <cell r="A13" t="str">
            <v>USD BD02</v>
          </cell>
          <cell r="B13" t="str">
            <v>USSSOpInc</v>
          </cell>
          <cell r="C13" t="str">
            <v>Electronic MFO</v>
          </cell>
          <cell r="D13">
            <v>686.70835857999998</v>
          </cell>
          <cell r="E13">
            <v>2053.2683558999997</v>
          </cell>
          <cell r="F13">
            <v>596.93880375200001</v>
          </cell>
          <cell r="G13">
            <v>1792.35505171</v>
          </cell>
        </row>
        <row r="14">
          <cell r="C14" t="str">
            <v>A Division</v>
          </cell>
          <cell r="D14">
            <v>6614.7820900000006</v>
          </cell>
          <cell r="E14">
            <v>19746.482310000003</v>
          </cell>
          <cell r="F14">
            <v>5259.3628999740004</v>
          </cell>
          <cell r="G14">
            <v>15813.723760013003</v>
          </cell>
        </row>
        <row r="15">
          <cell r="C15" t="str">
            <v>Metals\General Industries</v>
          </cell>
          <cell r="D15">
            <v>470.79221922699998</v>
          </cell>
          <cell r="E15">
            <v>1408.6407008589999</v>
          </cell>
          <cell r="F15">
            <v>621.52336694499991</v>
          </cell>
          <cell r="G15">
            <v>1867.9338792220003</v>
          </cell>
        </row>
      </sheetData>
      <sheetData sheetId="6" refreshError="1">
        <row r="1">
          <cell r="C1" t="str">
            <v>OP Plan FY02</v>
          </cell>
          <cell r="D1" t="str">
            <v>Operating Income</v>
          </cell>
          <cell r="E1" t="str">
            <v>Gases excl CPI &amp; Electronics</v>
          </cell>
        </row>
        <row r="2">
          <cell r="C2" t="str">
            <v>Qtr 3</v>
          </cell>
          <cell r="D2" t="str">
            <v>June Year to Date</v>
          </cell>
        </row>
        <row r="3">
          <cell r="A3" t="str">
            <v>Business Excl. Support Services</v>
          </cell>
          <cell r="B3" t="str">
            <v>UK Bulk</v>
          </cell>
          <cell r="C3">
            <v>8254.6151317825952</v>
          </cell>
          <cell r="D3">
            <v>19682.613388738464</v>
          </cell>
        </row>
        <row r="4">
          <cell r="B4" t="str">
            <v>UK Packaged Gases ex Helium</v>
          </cell>
          <cell r="C4">
            <v>8969.3430666804197</v>
          </cell>
          <cell r="D4">
            <v>26238.029200041256</v>
          </cell>
        </row>
        <row r="5">
          <cell r="B5" t="str">
            <v>Merchant UK &amp; Ireland</v>
          </cell>
          <cell r="C5">
            <v>17223.958198463013</v>
          </cell>
          <cell r="D5">
            <v>45920.642588779723</v>
          </cell>
        </row>
        <row r="6">
          <cell r="B6" t="str">
            <v>Continental Bulk</v>
          </cell>
          <cell r="C6">
            <v>7885.5157850179439</v>
          </cell>
          <cell r="D6">
            <v>25526.608604840963</v>
          </cell>
        </row>
        <row r="7">
          <cell r="B7" t="str">
            <v>Continental Packaged Gases ex Helium &amp; APME</v>
          </cell>
          <cell r="C7">
            <v>6097.8392532973685</v>
          </cell>
          <cell r="D7">
            <v>16570.277999226866</v>
          </cell>
        </row>
        <row r="8">
          <cell r="B8" t="str">
            <v>Continent</v>
          </cell>
          <cell r="C8">
            <v>13983.355038315312</v>
          </cell>
          <cell r="D8">
            <v>42096.886604067826</v>
          </cell>
        </row>
        <row r="9">
          <cell r="B9" t="str">
            <v>NE Helium &amp; APME</v>
          </cell>
          <cell r="C9">
            <v>3847.5901831358956</v>
          </cell>
          <cell r="D9">
            <v>10322.724559911567</v>
          </cell>
        </row>
        <row r="10">
          <cell r="B10" t="str">
            <v>NE Homecare</v>
          </cell>
          <cell r="C10">
            <v>2445.0563231474143</v>
          </cell>
          <cell r="D10">
            <v>6476.5757293490042</v>
          </cell>
        </row>
        <row r="11">
          <cell r="B11" t="str">
            <v>Carburos Bulk</v>
          </cell>
          <cell r="C11">
            <v>3789.7691603888829</v>
          </cell>
          <cell r="D11">
            <v>9369.9739445473297</v>
          </cell>
        </row>
        <row r="12">
          <cell r="B12" t="str">
            <v>Carburos Packaged Gases</v>
          </cell>
          <cell r="C12">
            <v>11080.433116289325</v>
          </cell>
          <cell r="D12">
            <v>31815.53680809533</v>
          </cell>
        </row>
        <row r="13">
          <cell r="B13" t="str">
            <v>Carburos Medical</v>
          </cell>
          <cell r="C13">
            <v>12174.357555337941</v>
          </cell>
          <cell r="D13">
            <v>35951.230518288467</v>
          </cell>
        </row>
        <row r="14">
          <cell r="B14" t="str">
            <v>Carburos Metallicos</v>
          </cell>
          <cell r="C14">
            <v>27044.559832016152</v>
          </cell>
          <cell r="D14">
            <v>77136.741270931132</v>
          </cell>
        </row>
        <row r="15">
          <cell r="B15" t="str">
            <v>GI Metals Tonnage</v>
          </cell>
          <cell r="C15">
            <v>3673.7645559282737</v>
          </cell>
          <cell r="D15">
            <v>10000.321253991717</v>
          </cell>
        </row>
        <row r="16">
          <cell r="B16" t="str">
            <v>Non Divisional &amp; EA Income</v>
          </cell>
          <cell r="C16">
            <v>-2125</v>
          </cell>
          <cell r="D16">
            <v>-375.00000000000068</v>
          </cell>
        </row>
        <row r="17">
          <cell r="B17" t="str">
            <v>CPI</v>
          </cell>
          <cell r="C17" t="str">
            <v>0</v>
          </cell>
          <cell r="D17" t="str">
            <v>0</v>
          </cell>
        </row>
        <row r="18">
          <cell r="B18" t="str">
            <v>Total Electronics</v>
          </cell>
          <cell r="C18" t="str">
            <v>0</v>
          </cell>
          <cell r="D18" t="str">
            <v>0</v>
          </cell>
        </row>
        <row r="19">
          <cell r="B19" t="str">
            <v>Business P&amp;L</v>
          </cell>
          <cell r="C19">
            <v>66093.284131006061</v>
          </cell>
          <cell r="D19">
            <v>191578.89200703095</v>
          </cell>
        </row>
        <row r="20">
          <cell r="B20" t="str">
            <v>Total incl Support Services</v>
          </cell>
          <cell r="C20">
            <v>48778.255607222571</v>
          </cell>
          <cell r="D20">
            <v>140438.52213796202</v>
          </cell>
        </row>
        <row r="21">
          <cell r="A21" t="str">
            <v>US Allocated costs</v>
          </cell>
          <cell r="B21" t="str">
            <v>Support Services costs</v>
          </cell>
          <cell r="C21">
            <v>-6548.7794964171308</v>
          </cell>
          <cell r="D21">
            <v>-19646.338489251397</v>
          </cell>
        </row>
        <row r="22">
          <cell r="A22" t="str">
            <v>European Functional costs</v>
          </cell>
          <cell r="B22" t="str">
            <v>Support Services costs</v>
          </cell>
          <cell r="C22">
            <v>-10766.249027366361</v>
          </cell>
          <cell r="D22">
            <v>-31494.031379817567</v>
          </cell>
        </row>
      </sheetData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Highlights"/>
      <sheetName val="Operating Plan Scorecard (KPI)"/>
      <sheetName val="Action Plan Summary FY02"/>
      <sheetName val="ELE-Merch-Aging Trends"/>
      <sheetName val="ELE-Tonn-Aging Trends"/>
      <sheetName val="Int and Moto AR"/>
      <sheetName val="ManagedOH -Q2"/>
      <sheetName val="Asset Mngnt Summary"/>
      <sheetName val="Current Negotiations"/>
      <sheetName val="Megasys"/>
      <sheetName val="Capital Spending"/>
      <sheetName val="Key Issues"/>
      <sheetName val="SS#2 Forecast"/>
      <sheetName val="SS#1 v SS#2"/>
      <sheetName val="Commitments to REG"/>
      <sheetName val="Q4 FY01 Mitigation Steps"/>
      <sheetName val="FY03-05 Targets"/>
      <sheetName val="Division Qtrly % Change"/>
      <sheetName val="ESG &amp; APEC Qtrly % Change (2)"/>
      <sheetName val="ESG &amp; APEC Qtrly % Change"/>
      <sheetName val="Op Income Roll Forward"/>
      <sheetName val="Product Line Trends"/>
      <sheetName val="Revised Product Volume Index"/>
      <sheetName val="Product Volume Index"/>
      <sheetName val="ESG Pricing "/>
      <sheetName val="Fab Equipment Forecast"/>
      <sheetName val="Dataquest Forecast Comparison"/>
      <sheetName val="MSI"/>
      <sheetName val="HardProductivity"/>
      <sheetName val="Graph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>
        <row r="41">
          <cell r="C41">
            <v>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MPOWER SUMMARY "/>
      <sheetName val="MANPOWER "/>
      <sheetName val="FY02 OHDS"/>
      <sheetName val="COST SUMMARY"/>
      <sheetName val="RFME25"/>
      <sheetName val="RFME46"/>
      <sheetName val="RFSE01"/>
      <sheetName val="RFSE18"/>
      <sheetName val="RFSE22"/>
      <sheetName val="RFSE25"/>
      <sheetName val="ISRAEL"/>
      <sheetName val="SALES RFSE87"/>
      <sheetName val="RFSE90"/>
      <sheetName val="RGGE25"/>
      <sheetName val="RGPE39"/>
      <sheetName val="RGPE46"/>
      <sheetName val="RXDR25"/>
      <sheetName val="RXDT25"/>
      <sheetName val="RXDU01"/>
      <sheetName val="NIJMEGAN"/>
      <sheetName val="RXDU25"/>
      <sheetName val="RXDU46"/>
      <sheetName val="RXDU87"/>
      <sheetName val="RXDU90"/>
      <sheetName val="RXDU91"/>
      <sheetName val="RXDS25"/>
      <sheetName val="MONZA ADMIN"/>
      <sheetName val="ENG HOURS"/>
      <sheetName val="ELECOHDSO2"/>
      <sheetName val="MPOWER_SUMMARY_"/>
      <sheetName val="MANPOWER_"/>
      <sheetName val="FY02_OHDS"/>
      <sheetName val="COST_SUMMARY"/>
      <sheetName val="SALES_RFSE87"/>
      <sheetName val="MONZA_ADMIN"/>
      <sheetName val="ENG_HOURS"/>
      <sheetName val="Book Basis"/>
      <sheetName val="PSED P&amp;L(OLD)"/>
      <sheetName val="Graph Data"/>
      <sheetName val="BALRESR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COST CENTRE:</v>
          </cell>
          <cell r="B3" t="str">
            <v xml:space="preserve">RFME 25 </v>
          </cell>
          <cell r="C3" t="str">
            <v>ELECTRONICS MARKETING</v>
          </cell>
          <cell r="F3" t="str">
            <v>S LOWE</v>
          </cell>
        </row>
        <row r="4">
          <cell r="B4" t="str">
            <v>------------------------------------------------------------ Whole local currency --------------------------------------------------------------------</v>
          </cell>
        </row>
        <row r="5">
          <cell r="A5" t="str">
            <v>DESCRIPTION</v>
          </cell>
          <cell r="B5" t="str">
            <v>AP Fixed Labour</v>
          </cell>
          <cell r="C5" t="str">
            <v>Variable Labour</v>
          </cell>
          <cell r="D5" t="str">
            <v>Personnel related costs</v>
          </cell>
          <cell r="E5" t="str">
            <v>Travel</v>
          </cell>
          <cell r="F5" t="str">
            <v>Computer/ Telecom Maint'nance</v>
          </cell>
          <cell r="G5" t="str">
            <v>PR &amp; Advertising</v>
          </cell>
          <cell r="H5" t="str">
            <v>Sales Support</v>
          </cell>
          <cell r="I5" t="str">
            <v>Market Rsrch &amp; Direct Mktg</v>
          </cell>
          <cell r="J5" t="str">
            <v>Private Networks</v>
          </cell>
          <cell r="K5" t="str">
            <v>Proposal &amp; Trial Costs</v>
          </cell>
          <cell r="L5" t="str">
            <v>Other Controllable</v>
          </cell>
          <cell r="M5" t="str">
            <v>Chg in Space</v>
          </cell>
          <cell r="N5" t="str">
            <v>Chg in MIS</v>
          </cell>
          <cell r="O5" t="str">
            <v>Chg in Elec Window</v>
          </cell>
          <cell r="P5" t="str">
            <v>Chg in Phones</v>
          </cell>
          <cell r="Q5" t="str">
            <v>Chg in Other Corp</v>
          </cell>
          <cell r="R5" t="str">
            <v>Chg in Other Non Corp</v>
          </cell>
          <cell r="S5" t="str">
            <v>Chg out Elec Win</v>
          </cell>
          <cell r="T5" t="str">
            <v>Chg out to Projects</v>
          </cell>
          <cell r="U5" t="str">
            <v>Chg out Phones</v>
          </cell>
        </row>
        <row r="6">
          <cell r="A6" t="str">
            <v>ACCOUNTS</v>
          </cell>
          <cell r="B6" t="str">
            <v>10@ to 12@, excl Variable Labour</v>
          </cell>
          <cell r="C6" t="str">
            <v>11000, 11600, 11700</v>
          </cell>
          <cell r="D6" t="str">
            <v>13@, 14@, 15@, 53200(APF)</v>
          </cell>
          <cell r="E6" t="str">
            <v>19@, incl 472@</v>
          </cell>
          <cell r="F6" t="str">
            <v>362@</v>
          </cell>
          <cell r="G6" t="str">
            <v>461@ TO 465@</v>
          </cell>
          <cell r="H6" t="str">
            <v>466@ TO 468@</v>
          </cell>
          <cell r="I6" t="str">
            <v>469@</v>
          </cell>
          <cell r="J6">
            <v>40100</v>
          </cell>
          <cell r="K6" t="str">
            <v>471@</v>
          </cell>
          <cell r="L6" t="str">
            <v>All controllable not spiked out</v>
          </cell>
          <cell r="M6">
            <v>90000</v>
          </cell>
          <cell r="N6">
            <v>91140</v>
          </cell>
          <cell r="O6">
            <v>91141</v>
          </cell>
          <cell r="P6">
            <v>90100</v>
          </cell>
          <cell r="Q6">
            <v>91200</v>
          </cell>
          <cell r="R6" t="str">
            <v>Other 91, 92-8</v>
          </cell>
          <cell r="S6">
            <v>99141</v>
          </cell>
          <cell r="T6">
            <v>99920</v>
          </cell>
          <cell r="U6">
            <v>99690</v>
          </cell>
        </row>
        <row r="7">
          <cell r="A7" t="str">
            <v xml:space="preserve"> 8 MTH ACTUAL</v>
          </cell>
          <cell r="B7">
            <v>107572</v>
          </cell>
          <cell r="C7">
            <v>3500</v>
          </cell>
          <cell r="D7">
            <v>34573</v>
          </cell>
          <cell r="E7">
            <v>14834</v>
          </cell>
          <cell r="F7">
            <v>0</v>
          </cell>
          <cell r="G7">
            <v>51613</v>
          </cell>
          <cell r="H7">
            <v>0</v>
          </cell>
          <cell r="I7">
            <v>0</v>
          </cell>
          <cell r="J7">
            <v>2319</v>
          </cell>
          <cell r="K7">
            <v>0</v>
          </cell>
          <cell r="L7">
            <v>4311</v>
          </cell>
          <cell r="M7">
            <v>20428</v>
          </cell>
          <cell r="N7">
            <v>696</v>
          </cell>
          <cell r="O7">
            <v>9792</v>
          </cell>
          <cell r="P7">
            <v>2376</v>
          </cell>
          <cell r="Q7">
            <v>0</v>
          </cell>
          <cell r="R7">
            <v>0</v>
          </cell>
          <cell r="S7">
            <v>6760</v>
          </cell>
          <cell r="T7">
            <v>0</v>
          </cell>
          <cell r="U7">
            <v>0</v>
          </cell>
        </row>
        <row r="9">
          <cell r="A9" t="str">
            <v>FORECAST</v>
          </cell>
          <cell r="B9">
            <v>161358</v>
          </cell>
          <cell r="C9">
            <v>5250</v>
          </cell>
          <cell r="D9">
            <v>51859.5</v>
          </cell>
          <cell r="E9">
            <v>22251</v>
          </cell>
          <cell r="F9">
            <v>0</v>
          </cell>
          <cell r="G9">
            <v>77419.5</v>
          </cell>
          <cell r="H9">
            <v>0</v>
          </cell>
          <cell r="I9">
            <v>0</v>
          </cell>
          <cell r="J9">
            <v>3478.5</v>
          </cell>
          <cell r="K9">
            <v>0</v>
          </cell>
          <cell r="L9">
            <v>6466.5</v>
          </cell>
          <cell r="M9">
            <v>30642</v>
          </cell>
          <cell r="N9">
            <v>1044</v>
          </cell>
          <cell r="O9">
            <v>14688</v>
          </cell>
          <cell r="P9">
            <v>3564</v>
          </cell>
          <cell r="Q9">
            <v>0</v>
          </cell>
          <cell r="R9">
            <v>0</v>
          </cell>
          <cell r="S9">
            <v>10140</v>
          </cell>
          <cell r="T9">
            <v>0</v>
          </cell>
          <cell r="U9">
            <v>0</v>
          </cell>
        </row>
        <row r="11">
          <cell r="A11" t="str">
            <v>1ST 8 MTH ACTUAL</v>
          </cell>
          <cell r="L11" t="str">
            <v xml:space="preserve"> </v>
          </cell>
          <cell r="M11" t="str">
            <v xml:space="preserve"> </v>
          </cell>
          <cell r="N11" t="str">
            <v xml:space="preserve"> </v>
          </cell>
          <cell r="O11" t="str">
            <v xml:space="preserve"> </v>
          </cell>
        </row>
        <row r="12">
          <cell r="A12" t="str">
            <v xml:space="preserve"> </v>
          </cell>
          <cell r="K12" t="str">
            <v xml:space="preserve"> </v>
          </cell>
        </row>
        <row r="13">
          <cell r="A13" t="str">
            <v>N ROBERSTON TRF</v>
          </cell>
          <cell r="B13">
            <v>-13071</v>
          </cell>
        </row>
        <row r="14">
          <cell r="A14" t="str">
            <v>I WAINWRIGHT</v>
          </cell>
          <cell r="B14">
            <v>-4337</v>
          </cell>
        </row>
        <row r="23">
          <cell r="A23" t="str">
            <v>LAST 4 MTHS ONGOING</v>
          </cell>
        </row>
        <row r="25">
          <cell r="A25" t="str">
            <v xml:space="preserve">SALARY ADJ </v>
          </cell>
          <cell r="B25">
            <v>-8704</v>
          </cell>
        </row>
        <row r="26">
          <cell r="A26" t="str">
            <v>CDP</v>
          </cell>
          <cell r="C26">
            <v>8650</v>
          </cell>
        </row>
        <row r="27">
          <cell r="A27" t="str">
            <v>Relocation cost M.Clune FY00</v>
          </cell>
          <cell r="D27">
            <v>-9937</v>
          </cell>
        </row>
        <row r="32">
          <cell r="A32" t="str">
            <v xml:space="preserve"> </v>
          </cell>
        </row>
        <row r="40">
          <cell r="A40" t="str">
            <v>Q2-Q4 ADJUST</v>
          </cell>
          <cell r="B40">
            <v>-26112</v>
          </cell>
          <cell r="C40">
            <v>8650</v>
          </cell>
          <cell r="D40">
            <v>-9937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2">
          <cell r="A42" t="str">
            <v>FY01 PROJECTION</v>
          </cell>
          <cell r="B42">
            <v>135246</v>
          </cell>
          <cell r="C42">
            <v>13900</v>
          </cell>
          <cell r="D42">
            <v>41922.5</v>
          </cell>
          <cell r="E42">
            <v>22251</v>
          </cell>
          <cell r="F42">
            <v>0</v>
          </cell>
          <cell r="G42">
            <v>77419.5</v>
          </cell>
          <cell r="H42">
            <v>0</v>
          </cell>
          <cell r="I42">
            <v>0</v>
          </cell>
          <cell r="J42">
            <v>3478.5</v>
          </cell>
          <cell r="K42">
            <v>0</v>
          </cell>
          <cell r="L42">
            <v>6466.5</v>
          </cell>
          <cell r="M42">
            <v>30642</v>
          </cell>
          <cell r="N42">
            <v>1044</v>
          </cell>
          <cell r="O42">
            <v>14688</v>
          </cell>
          <cell r="P42">
            <v>3564</v>
          </cell>
          <cell r="Q42">
            <v>0</v>
          </cell>
          <cell r="R42">
            <v>0</v>
          </cell>
          <cell r="S42">
            <v>10140</v>
          </cell>
          <cell r="T42">
            <v>0</v>
          </cell>
          <cell r="U42">
            <v>0</v>
          </cell>
        </row>
        <row r="44">
          <cell r="A44" t="str">
            <v xml:space="preserve">Full Yr Effect of One Offs &amp; Ongoing </v>
          </cell>
        </row>
        <row r="54">
          <cell r="A54" t="str">
            <v>Relocation cost M.Clune FY00</v>
          </cell>
          <cell r="D54">
            <v>-19874</v>
          </cell>
        </row>
        <row r="64">
          <cell r="A64" t="str">
            <v>FULL YR ADJUSTMENTS</v>
          </cell>
          <cell r="B64">
            <v>0</v>
          </cell>
          <cell r="C64">
            <v>0</v>
          </cell>
          <cell r="D64">
            <v>-19874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6">
          <cell r="A66" t="str">
            <v>FY02 BASE</v>
          </cell>
          <cell r="B66">
            <v>135246</v>
          </cell>
          <cell r="C66">
            <v>13900</v>
          </cell>
          <cell r="D66">
            <v>22048.5</v>
          </cell>
          <cell r="E66">
            <v>22251</v>
          </cell>
          <cell r="F66">
            <v>0</v>
          </cell>
          <cell r="G66">
            <v>77419.5</v>
          </cell>
          <cell r="H66">
            <v>0</v>
          </cell>
          <cell r="I66">
            <v>0</v>
          </cell>
          <cell r="J66">
            <v>3478.5</v>
          </cell>
          <cell r="K66">
            <v>0</v>
          </cell>
          <cell r="L66">
            <v>6466.5</v>
          </cell>
          <cell r="M66">
            <v>30642</v>
          </cell>
          <cell r="N66">
            <v>1044</v>
          </cell>
          <cell r="O66">
            <v>14688</v>
          </cell>
          <cell r="P66">
            <v>3564</v>
          </cell>
          <cell r="Q66">
            <v>0</v>
          </cell>
          <cell r="R66">
            <v>0</v>
          </cell>
          <cell r="S66">
            <v>10140</v>
          </cell>
          <cell r="T66">
            <v>0</v>
          </cell>
          <cell r="U66">
            <v>0</v>
          </cell>
        </row>
        <row r="69">
          <cell r="A69" t="str">
            <v>depreciation PCs</v>
          </cell>
        </row>
        <row r="70">
          <cell r="A70" t="str">
            <v>Electronic window charge</v>
          </cell>
        </row>
        <row r="71">
          <cell r="A71" t="str">
            <v>Salary add. manpower (see below)</v>
          </cell>
        </row>
        <row r="91">
          <cell r="A91" t="str">
            <v>Salary Inflation estimate</v>
          </cell>
          <cell r="B91">
            <v>6086.07</v>
          </cell>
          <cell r="C91" t="str">
            <v>-</v>
          </cell>
          <cell r="D91" t="str">
            <v>-</v>
          </cell>
          <cell r="E91" t="str">
            <v>-</v>
          </cell>
          <cell r="F91" t="str">
            <v>-</v>
          </cell>
          <cell r="G91" t="str">
            <v>-</v>
          </cell>
          <cell r="H91" t="str">
            <v>-</v>
          </cell>
          <cell r="I91" t="str">
            <v>-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</row>
        <row r="93">
          <cell r="A93" t="str">
            <v>ADDITIONAL/DISCRETIONARY</v>
          </cell>
          <cell r="B93">
            <v>6086.07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5">
          <cell r="A95" t="str">
            <v>FY02 BUDGET TOTAL</v>
          </cell>
          <cell r="B95">
            <v>141332.07</v>
          </cell>
          <cell r="C95">
            <v>13900</v>
          </cell>
          <cell r="D95">
            <v>22048.5</v>
          </cell>
          <cell r="E95">
            <v>22251</v>
          </cell>
          <cell r="F95">
            <v>0</v>
          </cell>
          <cell r="G95">
            <v>77419.5</v>
          </cell>
          <cell r="H95">
            <v>0</v>
          </cell>
          <cell r="I95">
            <v>0</v>
          </cell>
          <cell r="J95">
            <v>3478.5</v>
          </cell>
          <cell r="K95">
            <v>0</v>
          </cell>
          <cell r="L95">
            <v>6466.5</v>
          </cell>
          <cell r="M95">
            <v>30642</v>
          </cell>
          <cell r="N95">
            <v>1044</v>
          </cell>
          <cell r="O95">
            <v>14688</v>
          </cell>
          <cell r="P95">
            <v>3564</v>
          </cell>
          <cell r="Q95">
            <v>0</v>
          </cell>
          <cell r="R95">
            <v>0</v>
          </cell>
          <cell r="S95">
            <v>10140</v>
          </cell>
          <cell r="T95">
            <v>0</v>
          </cell>
          <cell r="U95">
            <v>0</v>
          </cell>
        </row>
        <row r="105">
          <cell r="A105" t="str">
            <v>COST CENTRE:</v>
          </cell>
          <cell r="B105" t="str">
            <v xml:space="preserve">RFME 25 </v>
          </cell>
        </row>
        <row r="106">
          <cell r="A106" t="str">
            <v>MANAGER:</v>
          </cell>
          <cell r="B106" t="str">
            <v>S LOWE</v>
          </cell>
        </row>
        <row r="107">
          <cell r="A107" t="str">
            <v>DESCRIPTION OF ACTIVITIES:</v>
          </cell>
          <cell r="B107" t="str">
            <v>ELECTRONICS MARKETING</v>
          </cell>
        </row>
        <row r="109">
          <cell r="A109" t="str">
            <v xml:space="preserve">MANPOWER </v>
          </cell>
        </row>
        <row r="110">
          <cell r="A110" t="str">
            <v>Permanent Staff</v>
          </cell>
          <cell r="D110" t="str">
            <v>Sept 01 Proj'n</v>
          </cell>
          <cell r="H110" t="str">
            <v>FY02 Budget</v>
          </cell>
        </row>
        <row r="112">
          <cell r="A112" t="str">
            <v>Full Name</v>
          </cell>
          <cell r="D112" t="str">
            <v>Count</v>
          </cell>
          <cell r="H112" t="str">
            <v>Count</v>
          </cell>
        </row>
        <row r="115">
          <cell r="A115" t="str">
            <v>S LOWE</v>
          </cell>
          <cell r="D115">
            <v>1</v>
          </cell>
          <cell r="H115">
            <v>1</v>
          </cell>
        </row>
        <row r="116">
          <cell r="A116" t="str">
            <v>C WESTON</v>
          </cell>
          <cell r="D116">
            <v>1</v>
          </cell>
          <cell r="H116">
            <v>1</v>
          </cell>
        </row>
        <row r="117">
          <cell r="A117" t="str">
            <v xml:space="preserve">M CLUNE </v>
          </cell>
          <cell r="D117">
            <v>1</v>
          </cell>
          <cell r="H117">
            <v>1</v>
          </cell>
        </row>
        <row r="118">
          <cell r="A118" t="str">
            <v>H DUMELOW</v>
          </cell>
          <cell r="D118">
            <v>1</v>
          </cell>
          <cell r="H118">
            <v>1</v>
          </cell>
        </row>
        <row r="136">
          <cell r="H136" t="str">
            <v xml:space="preserve">          </v>
          </cell>
        </row>
        <row r="137">
          <cell r="A137" t="str">
            <v>Total</v>
          </cell>
          <cell r="D137">
            <v>4</v>
          </cell>
          <cell r="H137">
            <v>4</v>
          </cell>
        </row>
        <row r="139">
          <cell r="A139" t="str">
            <v xml:space="preserve">Vacancies </v>
          </cell>
        </row>
        <row r="140">
          <cell r="A140" t="str">
            <v>C T MANAGER</v>
          </cell>
          <cell r="D140">
            <v>0</v>
          </cell>
          <cell r="H140">
            <v>1</v>
          </cell>
          <cell r="L140" t="str">
            <v xml:space="preserve">  </v>
          </cell>
          <cell r="M140" t="str">
            <v xml:space="preserve">  </v>
          </cell>
          <cell r="N140" t="str">
            <v xml:space="preserve">  </v>
          </cell>
          <cell r="Q140" t="str">
            <v xml:space="preserve">  </v>
          </cell>
        </row>
        <row r="141">
          <cell r="A141" t="str">
            <v>BASED CREWE/KEUIMEE/HERSHAM</v>
          </cell>
        </row>
        <row r="143">
          <cell r="H143" t="str">
            <v xml:space="preserve">          </v>
          </cell>
          <cell r="L143" t="str">
            <v xml:space="preserve">  </v>
          </cell>
          <cell r="M143" t="str">
            <v xml:space="preserve">  </v>
          </cell>
          <cell r="N143" t="str">
            <v xml:space="preserve">  </v>
          </cell>
          <cell r="Q143" t="str">
            <v xml:space="preserve">  </v>
          </cell>
        </row>
        <row r="144">
          <cell r="H144" t="str">
            <v xml:space="preserve">          </v>
          </cell>
          <cell r="L144" t="str">
            <v xml:space="preserve">       </v>
          </cell>
          <cell r="M144" t="str">
            <v xml:space="preserve">       </v>
          </cell>
          <cell r="N144" t="str">
            <v xml:space="preserve">       </v>
          </cell>
          <cell r="Q144" t="str">
            <v xml:space="preserve">       </v>
          </cell>
        </row>
        <row r="145">
          <cell r="A145" t="str">
            <v>Total Vacancies</v>
          </cell>
          <cell r="D145">
            <v>0</v>
          </cell>
          <cell r="H145">
            <v>1</v>
          </cell>
          <cell r="M145">
            <v>0</v>
          </cell>
          <cell r="N145">
            <v>0</v>
          </cell>
          <cell r="Q145" t="str">
            <v xml:space="preserve">  </v>
          </cell>
        </row>
        <row r="147">
          <cell r="A147" t="str">
            <v>Additional Heads</v>
          </cell>
        </row>
        <row r="151">
          <cell r="A151" t="str">
            <v xml:space="preserve"> </v>
          </cell>
          <cell r="M151" t="str">
            <v xml:space="preserve"> </v>
          </cell>
          <cell r="N151" t="str">
            <v xml:space="preserve"> </v>
          </cell>
          <cell r="Q151" t="str">
            <v xml:space="preserve"> </v>
          </cell>
        </row>
        <row r="152">
          <cell r="H152" t="str">
            <v xml:space="preserve">          </v>
          </cell>
          <cell r="M152" t="str">
            <v xml:space="preserve">       </v>
          </cell>
          <cell r="N152" t="str">
            <v xml:space="preserve">       </v>
          </cell>
          <cell r="Q152" t="str">
            <v xml:space="preserve">       </v>
          </cell>
        </row>
        <row r="153">
          <cell r="A153" t="str">
            <v>Total</v>
          </cell>
          <cell r="H153">
            <v>0</v>
          </cell>
          <cell r="M153">
            <v>0</v>
          </cell>
          <cell r="N153">
            <v>0</v>
          </cell>
          <cell r="Q153" t="str">
            <v xml:space="preserve">  </v>
          </cell>
        </row>
        <row r="155">
          <cell r="A155" t="str">
            <v>Total Permanent Staff</v>
          </cell>
          <cell r="D155">
            <v>4</v>
          </cell>
          <cell r="H155">
            <v>5</v>
          </cell>
          <cell r="M155">
            <v>0</v>
          </cell>
          <cell r="N155">
            <v>0</v>
          </cell>
        </row>
        <row r="157">
          <cell r="A157" t="str">
            <v>Temp/Contract Total</v>
          </cell>
        </row>
        <row r="158">
          <cell r="H158" t="str">
            <v xml:space="preserve">          </v>
          </cell>
          <cell r="L158" t="str">
            <v xml:space="preserve">       </v>
          </cell>
          <cell r="M158" t="str">
            <v xml:space="preserve">       </v>
          </cell>
          <cell r="N158" t="str">
            <v xml:space="preserve">       </v>
          </cell>
          <cell r="Q158" t="str">
            <v xml:space="preserve">       </v>
          </cell>
        </row>
        <row r="159">
          <cell r="A159" t="str">
            <v>CDPs Total</v>
          </cell>
          <cell r="D159">
            <v>1</v>
          </cell>
          <cell r="M159">
            <v>0</v>
          </cell>
          <cell r="N159">
            <v>0</v>
          </cell>
          <cell r="Q159" t="str">
            <v xml:space="preserve"> 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ly CO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igh Level"/>
      <sheetName val="PC GTL Gasif"/>
      <sheetName val="Slides after this sheet"/>
      <sheetName val="CPI Cover"/>
      <sheetName val="Index"/>
      <sheetName val="Highlights"/>
      <sheetName val="Qrtrly Profile"/>
      <sheetName val="Overview"/>
      <sheetName val="Comm Proj Cap Spend"/>
      <sheetName val="FTE-HyCO"/>
      <sheetName val="BU"/>
      <sheetName val="Prob Sum"/>
      <sheetName val="Details"/>
      <sheetName val="Prob Adj"/>
      <sheetName val="Equity Detail"/>
      <sheetName val="BAR CPI"/>
      <sheetName val="CA Slide"/>
      <sheetName val="Uncomm Proj Base Orders"/>
      <sheetName val="Uncomm Proj Base Cap Spend"/>
      <sheetName val="Uncomm Proj New Growth"/>
      <sheetName val="FY02 Q3-Q4 V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109">
          <cell r="Y109">
            <v>63026.824000000001</v>
          </cell>
          <cell r="AD109">
            <v>129064</v>
          </cell>
          <cell r="AE109">
            <v>62436</v>
          </cell>
          <cell r="AF109">
            <v>7930</v>
          </cell>
        </row>
        <row r="137">
          <cell r="Y137">
            <v>46206.964486081932</v>
          </cell>
          <cell r="AD137">
            <v>22172.1</v>
          </cell>
          <cell r="AE137">
            <v>0</v>
          </cell>
        </row>
        <row r="156">
          <cell r="Y156">
            <v>7353.1</v>
          </cell>
          <cell r="AD156">
            <v>8165</v>
          </cell>
          <cell r="AE156">
            <v>291</v>
          </cell>
          <cell r="AF156">
            <v>0</v>
          </cell>
        </row>
        <row r="176">
          <cell r="Y176">
            <v>117342.88848608194</v>
          </cell>
          <cell r="AD176">
            <v>160276.1</v>
          </cell>
          <cell r="AE176">
            <v>63088</v>
          </cell>
          <cell r="AF176">
            <v>7930</v>
          </cell>
        </row>
        <row r="358">
          <cell r="Y358">
            <v>117342.88848608194</v>
          </cell>
          <cell r="AD358">
            <v>160000</v>
          </cell>
          <cell r="AE358">
            <v>200000</v>
          </cell>
          <cell r="AF358">
            <v>250000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igh Level"/>
      <sheetName val="PC GTL Gasif"/>
      <sheetName val="Slides after this sheet"/>
      <sheetName val="CPI Cover"/>
      <sheetName val="Index"/>
      <sheetName val="Overview"/>
      <sheetName val="Comm Proj Cap Spend"/>
      <sheetName val="Qrtrly Profile"/>
      <sheetName val="Uncomm Proj Base Orders"/>
      <sheetName val="Uncomm Proj Base Cap Spend"/>
      <sheetName val="Uncomm Proj New Growth"/>
      <sheetName val="FTE-HyCO"/>
      <sheetName val="BU"/>
      <sheetName val="CA Slide"/>
      <sheetName val="Equity Detail"/>
      <sheetName val="BAR CPI"/>
      <sheetName val="Prob Adj"/>
      <sheetName val="Details"/>
      <sheetName val="Multiple Case"/>
      <sheetName val="Applegro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145">
          <cell r="AB145">
            <v>0</v>
          </cell>
        </row>
        <row r="215">
          <cell r="Y215">
            <v>13800</v>
          </cell>
          <cell r="Z215">
            <v>174290</v>
          </cell>
          <cell r="AA215">
            <v>343510</v>
          </cell>
          <cell r="AB215">
            <v>480285</v>
          </cell>
        </row>
        <row r="238">
          <cell r="Y238">
            <v>248</v>
          </cell>
          <cell r="Z238">
            <v>17901.123685837971</v>
          </cell>
          <cell r="AA238">
            <v>39785.082457225319</v>
          </cell>
          <cell r="AB238">
            <v>105083</v>
          </cell>
        </row>
        <row r="251">
          <cell r="Y251">
            <v>23</v>
          </cell>
          <cell r="Z251">
            <v>9499</v>
          </cell>
          <cell r="AA251">
            <v>64435</v>
          </cell>
          <cell r="AB251">
            <v>0</v>
          </cell>
        </row>
        <row r="258">
          <cell r="Y258">
            <v>0</v>
          </cell>
          <cell r="Z258">
            <v>300</v>
          </cell>
          <cell r="AA258">
            <v>3200</v>
          </cell>
          <cell r="AB258">
            <v>0</v>
          </cell>
        </row>
        <row r="279">
          <cell r="Y279">
            <v>0</v>
          </cell>
          <cell r="Z279">
            <v>66879</v>
          </cell>
        </row>
      </sheetData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"/>
      <sheetName val="nov"/>
      <sheetName val="dec"/>
      <sheetName val="motointel"/>
      <sheetName val="jan"/>
      <sheetName val="FEB"/>
      <sheetName val="M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igh Level"/>
      <sheetName val="Changes"/>
      <sheetName val="BAR CPI"/>
      <sheetName val="Details"/>
      <sheetName val="PC GTL Gasif"/>
      <sheetName val="Slides after this sheet"/>
      <sheetName val="CPI Cover"/>
      <sheetName val="Index"/>
      <sheetName val="Overview"/>
      <sheetName val="Qrtrly Profile"/>
      <sheetName val="Comm Proj Cap Spend"/>
      <sheetName val="Uncomm Proj Base Orders"/>
      <sheetName val="Uncomm Proj Base Cap Spend"/>
      <sheetName val="Uncomm Proj New Growth"/>
      <sheetName val="FTE-HyCO"/>
    </sheetNames>
    <sheetDataSet>
      <sheetData sheetId="0"/>
      <sheetData sheetId="1" refreshError="1"/>
      <sheetData sheetId="2" refreshError="1"/>
      <sheetData sheetId="3" refreshError="1"/>
      <sheetData sheetId="4" refreshError="1">
        <row r="126">
          <cell r="Y126">
            <v>207</v>
          </cell>
          <cell r="Z126">
            <v>0</v>
          </cell>
          <cell r="AA126">
            <v>0</v>
          </cell>
        </row>
        <row r="129">
          <cell r="Y129">
            <v>85</v>
          </cell>
        </row>
        <row r="132">
          <cell r="U132">
            <v>47444.98039215686</v>
          </cell>
          <cell r="V132">
            <v>39303.392156862741</v>
          </cell>
          <cell r="W132">
            <v>17127.529411764706</v>
          </cell>
          <cell r="X132">
            <v>9679.5294117647063</v>
          </cell>
        </row>
        <row r="230">
          <cell r="U230">
            <v>1398</v>
          </cell>
          <cell r="V230">
            <v>23510.58</v>
          </cell>
          <cell r="W230">
            <v>35979.160000000003</v>
          </cell>
          <cell r="X230">
            <v>63445.47</v>
          </cell>
        </row>
        <row r="234">
          <cell r="U234">
            <v>-960.16169230373202</v>
          </cell>
          <cell r="V234">
            <v>-19183.724889102661</v>
          </cell>
          <cell r="W234">
            <v>-29533.962209010984</v>
          </cell>
          <cell r="X234">
            <v>-53905.168436971697</v>
          </cell>
        </row>
        <row r="244">
          <cell r="U244">
            <v>1943.3785092177945</v>
          </cell>
          <cell r="V244">
            <v>1446.0988012285436</v>
          </cell>
          <cell r="W244">
            <v>5053.1736916121708</v>
          </cell>
          <cell r="X244">
            <v>10074.038460343438</v>
          </cell>
        </row>
        <row r="253">
          <cell r="U253">
            <v>72.87669409566729</v>
          </cell>
          <cell r="V253">
            <v>54.228705046070445</v>
          </cell>
          <cell r="W253">
            <v>189.49401343545651</v>
          </cell>
          <cell r="X253">
            <v>377.77644226287885</v>
          </cell>
        </row>
        <row r="255">
          <cell r="P255">
            <v>27730.387322703657</v>
          </cell>
          <cell r="Q255">
            <v>21524.665066186339</v>
          </cell>
          <cell r="R255">
            <v>23616.369039921192</v>
          </cell>
          <cell r="S255">
            <v>49375.270871985158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buros"/>
      <sheetName val="Equipment"/>
      <sheetName val="Central Europe"/>
      <sheetName val="Tonnage"/>
      <sheetName val="Merchant"/>
    </sheetNames>
    <sheetDataSet>
      <sheetData sheetId="0" refreshError="1">
        <row r="196">
          <cell r="B196" t="str">
            <v>SEPTEMBER FY 98</v>
          </cell>
          <cell r="H196" t="str">
            <v>As of 31st August 1999</v>
          </cell>
        </row>
        <row r="197">
          <cell r="M197" t="str">
            <v>PAST DUE</v>
          </cell>
          <cell r="W197" t="str">
            <v>Total Bad &amp;</v>
          </cell>
        </row>
        <row r="198">
          <cell r="B198" t="str">
            <v>CURRENCY</v>
          </cell>
          <cell r="C198" t="str">
            <v>SALES</v>
          </cell>
          <cell r="D198" t="str">
            <v>TAR</v>
          </cell>
          <cell r="E198" t="str">
            <v>DSO</v>
          </cell>
          <cell r="F198" t="str">
            <v>PAST DUE</v>
          </cell>
          <cell r="H198" t="str">
            <v>SALES</v>
          </cell>
          <cell r="I198" t="str">
            <v>TAR</v>
          </cell>
          <cell r="J198" t="str">
            <v>DSO</v>
          </cell>
          <cell r="K198" t="str">
            <v>TOTAL PAST DUE</v>
          </cell>
          <cell r="M198" t="str">
            <v>0-30 Days PD</v>
          </cell>
          <cell r="O198" t="str">
            <v>31-60 Days PD</v>
          </cell>
          <cell r="Q198" t="str">
            <v>61-90 Days PD</v>
          </cell>
          <cell r="S198" t="str">
            <v>91-180 Days PD</v>
          </cell>
          <cell r="U198" t="str">
            <v>180 + Days PD</v>
          </cell>
          <cell r="W198" t="str">
            <v>Doubtfull debt (BDD)</v>
          </cell>
          <cell r="X198" t="str">
            <v>Provision for BDD</v>
          </cell>
        </row>
        <row r="199">
          <cell r="C199" t="str">
            <v>LCL</v>
          </cell>
          <cell r="D199" t="str">
            <v>LCL</v>
          </cell>
          <cell r="E199" t="str">
            <v>Days</v>
          </cell>
          <cell r="F199" t="str">
            <v>LCL</v>
          </cell>
          <cell r="G199" t="str">
            <v>%</v>
          </cell>
          <cell r="H199" t="str">
            <v>LCL</v>
          </cell>
          <cell r="I199" t="str">
            <v>LCL</v>
          </cell>
          <cell r="J199" t="str">
            <v>Days</v>
          </cell>
          <cell r="K199" t="str">
            <v>LCL</v>
          </cell>
          <cell r="L199" t="str">
            <v>%</v>
          </cell>
          <cell r="M199" t="str">
            <v>LCL</v>
          </cell>
          <cell r="N199" t="str">
            <v>%</v>
          </cell>
          <cell r="O199" t="str">
            <v>LCL</v>
          </cell>
          <cell r="P199" t="str">
            <v>%</v>
          </cell>
          <cell r="Q199" t="str">
            <v>LCL</v>
          </cell>
          <cell r="R199" t="str">
            <v>%</v>
          </cell>
          <cell r="S199" t="str">
            <v>LCL</v>
          </cell>
          <cell r="T199" t="str">
            <v>%</v>
          </cell>
          <cell r="U199" t="str">
            <v>LCL</v>
          </cell>
          <cell r="V199" t="str">
            <v>%</v>
          </cell>
          <cell r="W199" t="str">
            <v>LCL</v>
          </cell>
          <cell r="X199" t="str">
            <v>LCL</v>
          </cell>
        </row>
        <row r="200">
          <cell r="A200" t="str">
            <v>ENERGY</v>
          </cell>
          <cell r="B200" t="str">
            <v>PTAS.</v>
          </cell>
          <cell r="C200">
            <v>37431</v>
          </cell>
          <cell r="D200">
            <v>93096</v>
          </cell>
          <cell r="E200">
            <v>80</v>
          </cell>
          <cell r="F200">
            <v>0</v>
          </cell>
          <cell r="G200">
            <v>0</v>
          </cell>
          <cell r="H200">
            <v>35769</v>
          </cell>
          <cell r="I200">
            <v>85620</v>
          </cell>
          <cell r="J200">
            <v>85.334192240268649</v>
          </cell>
          <cell r="K200">
            <v>0</v>
          </cell>
          <cell r="L200">
            <v>0</v>
          </cell>
          <cell r="M200">
            <v>0</v>
          </cell>
          <cell r="N200" t="e">
            <v>#DIV/0!</v>
          </cell>
          <cell r="O200">
            <v>0</v>
          </cell>
          <cell r="P200" t="e">
            <v>#DIV/0!</v>
          </cell>
          <cell r="Q200">
            <v>0</v>
          </cell>
          <cell r="R200" t="e">
            <v>#DIV/0!</v>
          </cell>
          <cell r="S200">
            <v>0</v>
          </cell>
          <cell r="T200" t="e">
            <v>#DIV/0!</v>
          </cell>
          <cell r="U200">
            <v>0</v>
          </cell>
          <cell r="V200" t="e">
            <v>#DIV/0!</v>
          </cell>
        </row>
        <row r="201">
          <cell r="A201" t="str">
            <v>BULK</v>
          </cell>
          <cell r="B201" t="str">
            <v>PTAS.</v>
          </cell>
          <cell r="C201">
            <v>920382</v>
          </cell>
          <cell r="D201">
            <v>2870434</v>
          </cell>
          <cell r="E201">
            <v>96</v>
          </cell>
          <cell r="F201">
            <v>31614</v>
          </cell>
          <cell r="G201">
            <v>1.1013665529324137</v>
          </cell>
          <cell r="H201">
            <v>822076</v>
          </cell>
          <cell r="I201">
            <v>3302061</v>
          </cell>
          <cell r="J201">
            <v>105.287567497895</v>
          </cell>
          <cell r="K201">
            <v>51513</v>
          </cell>
          <cell r="L201">
            <v>1.5600256930444349</v>
          </cell>
          <cell r="M201">
            <v>5869</v>
          </cell>
          <cell r="N201">
            <v>11.393240541222605</v>
          </cell>
          <cell r="O201">
            <v>32556</v>
          </cell>
          <cell r="P201">
            <v>63.199580688369927</v>
          </cell>
          <cell r="Q201">
            <v>10301</v>
          </cell>
          <cell r="R201">
            <v>19.996893987925379</v>
          </cell>
          <cell r="S201">
            <v>2787</v>
          </cell>
          <cell r="T201">
            <v>5.4102847824820923</v>
          </cell>
          <cell r="U201">
            <v>0</v>
          </cell>
          <cell r="V201">
            <v>0</v>
          </cell>
          <cell r="W201">
            <v>100403</v>
          </cell>
          <cell r="X201">
            <v>20000</v>
          </cell>
        </row>
        <row r="202">
          <cell r="A202" t="str">
            <v>PACKAGED GASES</v>
          </cell>
          <cell r="B202" t="str">
            <v>PTAS.</v>
          </cell>
          <cell r="C202">
            <v>1824323</v>
          </cell>
          <cell r="D202">
            <v>5232806</v>
          </cell>
          <cell r="E202">
            <v>94</v>
          </cell>
          <cell r="F202">
            <v>184460</v>
          </cell>
          <cell r="G202">
            <v>3.525068576973807</v>
          </cell>
          <cell r="H202">
            <v>1401706</v>
          </cell>
          <cell r="I202">
            <v>5207494</v>
          </cell>
          <cell r="J202">
            <v>94.296202054343425</v>
          </cell>
          <cell r="K202">
            <v>173060</v>
          </cell>
          <cell r="L202">
            <v>3.3232875544359728</v>
          </cell>
          <cell r="M202">
            <v>4202</v>
          </cell>
          <cell r="N202">
            <v>2.4280596324973995</v>
          </cell>
          <cell r="O202">
            <v>65805</v>
          </cell>
          <cell r="P202">
            <v>38.024384606494863</v>
          </cell>
          <cell r="Q202">
            <v>32130</v>
          </cell>
          <cell r="R202">
            <v>18.56581532416503</v>
          </cell>
          <cell r="S202">
            <v>44326</v>
          </cell>
          <cell r="T202">
            <v>25.613082168034207</v>
          </cell>
          <cell r="U202">
            <v>26597</v>
          </cell>
          <cell r="V202">
            <v>15.368658268808504</v>
          </cell>
          <cell r="W202">
            <v>229578</v>
          </cell>
          <cell r="X202">
            <v>60837</v>
          </cell>
        </row>
        <row r="203">
          <cell r="A203" t="str">
            <v>WELDING</v>
          </cell>
          <cell r="B203" t="str">
            <v>PTAS.</v>
          </cell>
          <cell r="C203">
            <v>264100</v>
          </cell>
          <cell r="D203">
            <v>749468</v>
          </cell>
          <cell r="E203">
            <v>131</v>
          </cell>
          <cell r="F203">
            <v>5964</v>
          </cell>
          <cell r="G203">
            <v>0.79576446225856201</v>
          </cell>
          <cell r="H203">
            <v>99690</v>
          </cell>
          <cell r="I203">
            <v>793350</v>
          </cell>
          <cell r="J203">
            <v>141.30651264589326</v>
          </cell>
          <cell r="K203">
            <v>37893</v>
          </cell>
          <cell r="L203">
            <v>4.7763282283985635</v>
          </cell>
          <cell r="M203">
            <v>1006</v>
          </cell>
          <cell r="N203">
            <v>2.6548439025677566</v>
          </cell>
          <cell r="O203">
            <v>28200</v>
          </cell>
          <cell r="P203">
            <v>74.420077586889406</v>
          </cell>
          <cell r="Q203">
            <v>4563</v>
          </cell>
          <cell r="R203">
            <v>12.041801915921146</v>
          </cell>
          <cell r="S203">
            <v>4124</v>
          </cell>
          <cell r="T203">
            <v>10.883276594621698</v>
          </cell>
          <cell r="U203">
            <v>0</v>
          </cell>
          <cell r="V203">
            <v>0</v>
          </cell>
          <cell r="W203">
            <v>229140</v>
          </cell>
          <cell r="X203">
            <v>39500</v>
          </cell>
        </row>
        <row r="204">
          <cell r="A204" t="str">
            <v>HOME CARE</v>
          </cell>
          <cell r="B204" t="str">
            <v>PTAS.</v>
          </cell>
          <cell r="C204">
            <v>766535</v>
          </cell>
          <cell r="D204">
            <v>3205692</v>
          </cell>
          <cell r="E204">
            <v>124</v>
          </cell>
          <cell r="F204">
            <v>1237787</v>
          </cell>
          <cell r="G204">
            <v>38.612162366191136</v>
          </cell>
          <cell r="H204">
            <v>936440</v>
          </cell>
          <cell r="I204">
            <v>3776873</v>
          </cell>
          <cell r="J204">
            <v>124.10441310223069</v>
          </cell>
          <cell r="K204">
            <v>1605469</v>
          </cell>
          <cell r="L204">
            <v>42.507889463055818</v>
          </cell>
          <cell r="M204">
            <v>0</v>
          </cell>
          <cell r="N204">
            <v>0</v>
          </cell>
          <cell r="O204">
            <v>126972</v>
          </cell>
          <cell r="P204">
            <v>7.9087170166474721</v>
          </cell>
          <cell r="Q204">
            <v>60194</v>
          </cell>
          <cell r="R204">
            <v>3.749309391835034</v>
          </cell>
          <cell r="S204">
            <v>334581</v>
          </cell>
          <cell r="T204">
            <v>20.840078506654443</v>
          </cell>
          <cell r="U204">
            <v>1083722</v>
          </cell>
          <cell r="V204">
            <v>67.501895084863051</v>
          </cell>
          <cell r="W204">
            <v>281</v>
          </cell>
          <cell r="X204">
            <v>1000</v>
          </cell>
        </row>
        <row r="205">
          <cell r="A205" t="str">
            <v>HOSPITALS</v>
          </cell>
          <cell r="B205" t="str">
            <v>PTAS.</v>
          </cell>
          <cell r="C205">
            <v>598547</v>
          </cell>
          <cell r="D205">
            <v>3966384</v>
          </cell>
          <cell r="E205">
            <v>204</v>
          </cell>
          <cell r="F205">
            <v>1629030</v>
          </cell>
          <cell r="G205">
            <v>41.070909927026733</v>
          </cell>
          <cell r="H205">
            <v>587265</v>
          </cell>
          <cell r="I205">
            <v>4510025</v>
          </cell>
          <cell r="J205">
            <v>226.11690999100122</v>
          </cell>
          <cell r="K205">
            <v>1963416</v>
          </cell>
          <cell r="L205">
            <v>43.534481516177848</v>
          </cell>
          <cell r="M205">
            <v>50</v>
          </cell>
          <cell r="N205">
            <v>2.5465820793963171E-3</v>
          </cell>
          <cell r="O205">
            <v>228098</v>
          </cell>
          <cell r="P205">
            <v>11.617405582922824</v>
          </cell>
          <cell r="Q205">
            <v>149629</v>
          </cell>
          <cell r="R205">
            <v>7.620850599159831</v>
          </cell>
          <cell r="S205">
            <v>343388</v>
          </cell>
          <cell r="T205">
            <v>17.489314541594851</v>
          </cell>
          <cell r="U205">
            <v>1242251</v>
          </cell>
          <cell r="V205">
            <v>63.269882694243094</v>
          </cell>
          <cell r="W205">
            <v>67806</v>
          </cell>
          <cell r="X205">
            <v>4000</v>
          </cell>
        </row>
        <row r="206">
          <cell r="A206" t="str">
            <v>TOTAL</v>
          </cell>
          <cell r="C206">
            <v>4411318</v>
          </cell>
          <cell r="D206">
            <v>16117880</v>
          </cell>
          <cell r="E206">
            <v>122</v>
          </cell>
          <cell r="F206">
            <v>3088855</v>
          </cell>
          <cell r="G206">
            <v>19.164151861162882</v>
          </cell>
          <cell r="H206">
            <v>3882946</v>
          </cell>
          <cell r="I206">
            <v>17675423</v>
          </cell>
          <cell r="J206">
            <v>123.13044929691931</v>
          </cell>
          <cell r="K206">
            <v>3831351</v>
          </cell>
          <cell r="L206">
            <v>21.676148853693629</v>
          </cell>
          <cell r="M206">
            <v>11127</v>
          </cell>
          <cell r="N206">
            <v>0.29041975010903465</v>
          </cell>
          <cell r="O206">
            <v>481631</v>
          </cell>
          <cell r="P206">
            <v>12.570787693427201</v>
          </cell>
          <cell r="Q206">
            <v>256817</v>
          </cell>
          <cell r="R206">
            <v>6.7030402591670661</v>
          </cell>
          <cell r="S206">
            <v>729206</v>
          </cell>
          <cell r="T206">
            <v>19.032607558012828</v>
          </cell>
          <cell r="U206">
            <v>2352570</v>
          </cell>
          <cell r="V206">
            <v>61.403144739283874</v>
          </cell>
          <cell r="W206">
            <v>627208</v>
          </cell>
          <cell r="X206">
            <v>125337</v>
          </cell>
        </row>
        <row r="208">
          <cell r="B208" t="str">
            <v>SEPTEMBER FY 98</v>
          </cell>
          <cell r="H208" t="str">
            <v>As of 30th September 1999</v>
          </cell>
        </row>
        <row r="209">
          <cell r="M209" t="str">
            <v>PAST DUE</v>
          </cell>
          <cell r="W209" t="str">
            <v>Total Bad &amp;</v>
          </cell>
        </row>
        <row r="210">
          <cell r="B210" t="str">
            <v>CURRENCY</v>
          </cell>
          <cell r="C210" t="str">
            <v>SALES</v>
          </cell>
          <cell r="D210" t="str">
            <v>TAR</v>
          </cell>
          <cell r="E210" t="str">
            <v>DSO</v>
          </cell>
          <cell r="F210" t="str">
            <v>PAST DUE</v>
          </cell>
          <cell r="H210" t="str">
            <v>SALES</v>
          </cell>
          <cell r="I210" t="str">
            <v>TAR</v>
          </cell>
          <cell r="J210" t="str">
            <v>DSO</v>
          </cell>
          <cell r="K210" t="str">
            <v>TOTAL PAST DUE</v>
          </cell>
          <cell r="M210" t="str">
            <v>0-30 Days PD</v>
          </cell>
          <cell r="O210" t="str">
            <v>31-60 Days PD</v>
          </cell>
          <cell r="Q210" t="str">
            <v>61-90 Days PD</v>
          </cell>
          <cell r="S210" t="str">
            <v>91-180 Days PD</v>
          </cell>
          <cell r="U210" t="str">
            <v>180 + Days PD</v>
          </cell>
          <cell r="W210" t="str">
            <v>Doubtfull debt (BDD)</v>
          </cell>
          <cell r="X210" t="str">
            <v>Provision for BDD</v>
          </cell>
        </row>
        <row r="211">
          <cell r="C211" t="str">
            <v>LCL</v>
          </cell>
          <cell r="D211" t="str">
            <v>LCL</v>
          </cell>
          <cell r="E211" t="str">
            <v>Days</v>
          </cell>
          <cell r="F211" t="str">
            <v>LCL</v>
          </cell>
          <cell r="G211" t="str">
            <v>%</v>
          </cell>
          <cell r="H211" t="str">
            <v>LCL</v>
          </cell>
          <cell r="I211" t="str">
            <v>LCL</v>
          </cell>
          <cell r="J211" t="str">
            <v>Days</v>
          </cell>
          <cell r="K211" t="str">
            <v>LCL</v>
          </cell>
          <cell r="L211" t="str">
            <v>%</v>
          </cell>
          <cell r="M211" t="str">
            <v>LCL</v>
          </cell>
          <cell r="N211" t="str">
            <v>%</v>
          </cell>
          <cell r="O211" t="str">
            <v>LCL</v>
          </cell>
          <cell r="P211" t="str">
            <v>%</v>
          </cell>
          <cell r="Q211" t="str">
            <v>LCL</v>
          </cell>
          <cell r="R211" t="str">
            <v>%</v>
          </cell>
          <cell r="S211" t="str">
            <v>LCL</v>
          </cell>
          <cell r="T211" t="str">
            <v>%</v>
          </cell>
          <cell r="U211" t="str">
            <v>LCL</v>
          </cell>
          <cell r="V211" t="str">
            <v>%</v>
          </cell>
          <cell r="W211" t="str">
            <v>LCL</v>
          </cell>
          <cell r="X211" t="str">
            <v>LCL</v>
          </cell>
        </row>
        <row r="212">
          <cell r="A212" t="str">
            <v>ENERGY</v>
          </cell>
          <cell r="B212" t="str">
            <v>PTAS.</v>
          </cell>
          <cell r="C212">
            <v>37431</v>
          </cell>
          <cell r="D212">
            <v>93096</v>
          </cell>
          <cell r="E212">
            <v>80</v>
          </cell>
          <cell r="F212">
            <v>0</v>
          </cell>
          <cell r="G212">
            <v>0</v>
          </cell>
          <cell r="H212">
            <v>32610</v>
          </cell>
          <cell r="I212">
            <v>85243</v>
          </cell>
          <cell r="J212">
            <v>78.592189169173494</v>
          </cell>
          <cell r="K212">
            <v>0</v>
          </cell>
          <cell r="L212">
            <v>0</v>
          </cell>
          <cell r="M212">
            <v>0</v>
          </cell>
          <cell r="N212" t="e">
            <v>#DIV/0!</v>
          </cell>
          <cell r="O212">
            <v>0</v>
          </cell>
          <cell r="P212" t="e">
            <v>#DIV/0!</v>
          </cell>
          <cell r="Q212">
            <v>0</v>
          </cell>
          <cell r="R212" t="e">
            <v>#DIV/0!</v>
          </cell>
          <cell r="S212">
            <v>0</v>
          </cell>
          <cell r="T212" t="e">
            <v>#DIV/0!</v>
          </cell>
          <cell r="U212">
            <v>0</v>
          </cell>
          <cell r="V212" t="e">
            <v>#DIV/0!</v>
          </cell>
          <cell r="X212">
            <v>0</v>
          </cell>
        </row>
        <row r="213">
          <cell r="A213" t="str">
            <v>BULK</v>
          </cell>
          <cell r="B213" t="str">
            <v>PTAS.</v>
          </cell>
          <cell r="C213">
            <v>920382</v>
          </cell>
          <cell r="D213">
            <v>2870434</v>
          </cell>
          <cell r="E213">
            <v>96</v>
          </cell>
          <cell r="F213">
            <v>31614</v>
          </cell>
          <cell r="G213">
            <v>1.1013665529324137</v>
          </cell>
          <cell r="H213">
            <v>963487</v>
          </cell>
          <cell r="I213">
            <v>3144182</v>
          </cell>
          <cell r="J213">
            <v>105.12813259312217</v>
          </cell>
          <cell r="K213">
            <v>47430</v>
          </cell>
          <cell r="L213">
            <v>1.5085004621233757</v>
          </cell>
          <cell r="M213">
            <v>1172</v>
          </cell>
          <cell r="N213">
            <v>2.4710099093400801</v>
          </cell>
          <cell r="O213">
            <v>10362</v>
          </cell>
          <cell r="P213">
            <v>21.846932321315624</v>
          </cell>
          <cell r="Q213">
            <v>5199</v>
          </cell>
          <cell r="R213">
            <v>10.961416824794433</v>
          </cell>
          <cell r="S213">
            <v>11265</v>
          </cell>
          <cell r="T213">
            <v>23.750790638836179</v>
          </cell>
          <cell r="U213">
            <v>19432</v>
          </cell>
          <cell r="V213">
            <v>40.969850305713685</v>
          </cell>
          <cell r="W213">
            <v>81347</v>
          </cell>
          <cell r="X213">
            <v>27462.122118767802</v>
          </cell>
        </row>
        <row r="214">
          <cell r="A214" t="str">
            <v>PACKAGED GASES</v>
          </cell>
          <cell r="B214" t="str">
            <v>PTAS.</v>
          </cell>
          <cell r="C214">
            <v>1824323</v>
          </cell>
          <cell r="D214">
            <v>5232806</v>
          </cell>
          <cell r="E214">
            <v>94</v>
          </cell>
          <cell r="F214">
            <v>184460</v>
          </cell>
          <cell r="G214">
            <v>3.525068576973807</v>
          </cell>
          <cell r="H214">
            <v>1882798</v>
          </cell>
          <cell r="I214">
            <v>5065526</v>
          </cell>
          <cell r="J214">
            <v>93.174500846313705</v>
          </cell>
          <cell r="K214">
            <v>116292</v>
          </cell>
          <cell r="L214">
            <v>2.2957536887580874</v>
          </cell>
          <cell r="M214">
            <v>5720</v>
          </cell>
          <cell r="N214">
            <v>4.9186530457813094</v>
          </cell>
          <cell r="O214">
            <v>51569</v>
          </cell>
          <cell r="P214">
            <v>44.344408901730127</v>
          </cell>
          <cell r="Q214">
            <v>26305</v>
          </cell>
          <cell r="R214">
            <v>22.619784679943592</v>
          </cell>
          <cell r="S214">
            <v>25990</v>
          </cell>
          <cell r="T214">
            <v>22.348914800674166</v>
          </cell>
          <cell r="U214">
            <v>6708</v>
          </cell>
          <cell r="V214">
            <v>5.7682385718708078</v>
          </cell>
          <cell r="W214">
            <v>200326</v>
          </cell>
          <cell r="X214">
            <v>83535.656166973844</v>
          </cell>
        </row>
        <row r="215">
          <cell r="A215" t="str">
            <v>WELDING</v>
          </cell>
          <cell r="B215" t="str">
            <v>PTAS.</v>
          </cell>
          <cell r="C215">
            <v>264100</v>
          </cell>
          <cell r="D215">
            <v>749468</v>
          </cell>
          <cell r="E215">
            <v>131</v>
          </cell>
          <cell r="F215">
            <v>5964</v>
          </cell>
          <cell r="G215">
            <v>0.79576446225856201</v>
          </cell>
          <cell r="H215">
            <v>168004</v>
          </cell>
          <cell r="I215">
            <v>692121</v>
          </cell>
          <cell r="J215">
            <v>153.83858705669337</v>
          </cell>
          <cell r="K215">
            <v>15845</v>
          </cell>
          <cell r="L215">
            <v>2.2893395807958439</v>
          </cell>
          <cell r="M215">
            <v>735</v>
          </cell>
          <cell r="N215">
            <v>4.6386872830545913</v>
          </cell>
          <cell r="O215">
            <v>-1991</v>
          </cell>
          <cell r="P215">
            <v>-12.565478068791416</v>
          </cell>
          <cell r="Q215">
            <v>5863</v>
          </cell>
          <cell r="R215">
            <v>37.002208898706215</v>
          </cell>
          <cell r="S215">
            <v>13858</v>
          </cell>
          <cell r="T215">
            <v>87.459766487851056</v>
          </cell>
          <cell r="U215">
            <v>-2620</v>
          </cell>
          <cell r="V215">
            <v>-16.53518460082045</v>
          </cell>
          <cell r="W215">
            <v>106529</v>
          </cell>
          <cell r="X215">
            <v>54237.691184566407</v>
          </cell>
        </row>
        <row r="216">
          <cell r="A216" t="str">
            <v>HOME CARE</v>
          </cell>
          <cell r="B216" t="str">
            <v>PTAS.</v>
          </cell>
          <cell r="C216">
            <v>766535</v>
          </cell>
          <cell r="D216">
            <v>3205692</v>
          </cell>
          <cell r="E216">
            <v>124</v>
          </cell>
          <cell r="F216">
            <v>1237787</v>
          </cell>
          <cell r="G216">
            <v>38.612162366191136</v>
          </cell>
          <cell r="H216">
            <v>931939</v>
          </cell>
          <cell r="I216">
            <v>3724750</v>
          </cell>
          <cell r="J216">
            <v>122.45928439688416</v>
          </cell>
          <cell r="K216">
            <v>1358411</v>
          </cell>
          <cell r="L216">
            <v>36.469857037385061</v>
          </cell>
          <cell r="M216">
            <v>0</v>
          </cell>
          <cell r="N216">
            <v>0</v>
          </cell>
          <cell r="O216">
            <v>125343</v>
          </cell>
          <cell r="P216">
            <v>9.2271779306851904</v>
          </cell>
          <cell r="Q216">
            <v>40343</v>
          </cell>
          <cell r="R216">
            <v>2.9698669990157618</v>
          </cell>
          <cell r="S216">
            <v>105619</v>
          </cell>
          <cell r="T216">
            <v>7.7751873328469809</v>
          </cell>
          <cell r="U216">
            <v>1087106</v>
          </cell>
          <cell r="V216">
            <v>80.027767737452066</v>
          </cell>
          <cell r="W216">
            <v>137</v>
          </cell>
          <cell r="X216">
            <v>1373.1061059383901</v>
          </cell>
        </row>
        <row r="217">
          <cell r="A217" t="str">
            <v>HOSPITALS</v>
          </cell>
          <cell r="B217" t="str">
            <v>PTAS.</v>
          </cell>
          <cell r="C217">
            <v>598547</v>
          </cell>
          <cell r="D217">
            <v>3966384</v>
          </cell>
          <cell r="E217">
            <v>204</v>
          </cell>
          <cell r="F217">
            <v>1629030</v>
          </cell>
          <cell r="G217">
            <v>41.070909927026733</v>
          </cell>
          <cell r="H217">
            <v>621764</v>
          </cell>
          <cell r="I217">
            <v>4517087</v>
          </cell>
          <cell r="J217">
            <v>226.82713339173571</v>
          </cell>
          <cell r="K217">
            <v>2059802</v>
          </cell>
          <cell r="L217">
            <v>45.600228642928506</v>
          </cell>
          <cell r="M217">
            <v>597</v>
          </cell>
          <cell r="N217">
            <v>2.8983368304332163E-2</v>
          </cell>
          <cell r="O217">
            <v>222933</v>
          </cell>
          <cell r="P217">
            <v>10.823030563131795</v>
          </cell>
          <cell r="Q217">
            <v>162384</v>
          </cell>
          <cell r="R217">
            <v>7.8834761787783485</v>
          </cell>
          <cell r="S217">
            <v>367964</v>
          </cell>
          <cell r="T217">
            <v>17.864047126859766</v>
          </cell>
          <cell r="U217">
            <v>1305924</v>
          </cell>
          <cell r="V217">
            <v>63.400462762925756</v>
          </cell>
          <cell r="W217">
            <v>61434</v>
          </cell>
          <cell r="X217">
            <v>5492.4244237535604</v>
          </cell>
        </row>
        <row r="218">
          <cell r="A218" t="str">
            <v>TOTAL</v>
          </cell>
          <cell r="C218">
            <v>4411318</v>
          </cell>
          <cell r="D218">
            <v>16117880</v>
          </cell>
          <cell r="E218">
            <v>122</v>
          </cell>
          <cell r="F218">
            <v>3088855</v>
          </cell>
          <cell r="G218">
            <v>19.164151861162882</v>
          </cell>
          <cell r="H218">
            <v>4600602</v>
          </cell>
          <cell r="I218">
            <v>17228909</v>
          </cell>
          <cell r="J218">
            <v>122.59509409113379</v>
          </cell>
          <cell r="K218">
            <v>3597780</v>
          </cell>
          <cell r="L218">
            <v>20.882227655854471</v>
          </cell>
          <cell r="M218">
            <v>8224</v>
          </cell>
          <cell r="N218">
            <v>0.22858540544446854</v>
          </cell>
          <cell r="O218">
            <v>408216</v>
          </cell>
          <cell r="P218">
            <v>11.346330236979471</v>
          </cell>
          <cell r="Q218">
            <v>240094</v>
          </cell>
          <cell r="R218">
            <v>6.6733930368171492</v>
          </cell>
          <cell r="S218">
            <v>524696</v>
          </cell>
          <cell r="T218">
            <v>14.583882282963383</v>
          </cell>
          <cell r="U218">
            <v>2416550</v>
          </cell>
          <cell r="V218">
            <v>67.167809037795536</v>
          </cell>
          <cell r="W218">
            <v>449773</v>
          </cell>
          <cell r="X218">
            <v>172101</v>
          </cell>
        </row>
        <row r="220">
          <cell r="B220" t="str">
            <v>SEPTEMBER FY 98</v>
          </cell>
          <cell r="H220" t="str">
            <v>As of 31st October 1999</v>
          </cell>
        </row>
        <row r="221">
          <cell r="M221" t="str">
            <v>PAST DUE</v>
          </cell>
          <cell r="W221" t="str">
            <v>Total Bad &amp;</v>
          </cell>
        </row>
        <row r="222">
          <cell r="B222" t="str">
            <v>CURRENCY</v>
          </cell>
          <cell r="C222" t="str">
            <v>SALES</v>
          </cell>
          <cell r="D222" t="str">
            <v>TAR</v>
          </cell>
          <cell r="E222" t="str">
            <v>DSO</v>
          </cell>
          <cell r="F222" t="str">
            <v>PAST DUE</v>
          </cell>
          <cell r="H222" t="str">
            <v>SALES</v>
          </cell>
          <cell r="I222" t="str">
            <v>TAR</v>
          </cell>
          <cell r="J222" t="str">
            <v>DSO</v>
          </cell>
          <cell r="K222" t="str">
            <v>TOTAL PAST DUE</v>
          </cell>
          <cell r="M222" t="str">
            <v>0-30 Days PD</v>
          </cell>
          <cell r="O222" t="str">
            <v>31-60 Days PD</v>
          </cell>
          <cell r="Q222" t="str">
            <v>61-90 Days PD</v>
          </cell>
          <cell r="S222" t="str">
            <v>91-180 Days PD</v>
          </cell>
          <cell r="U222" t="str">
            <v>180 + Days PD</v>
          </cell>
          <cell r="W222" t="str">
            <v>Doubtfull debt (BDD)</v>
          </cell>
          <cell r="X222" t="str">
            <v>Provision for BDD</v>
          </cell>
        </row>
        <row r="223">
          <cell r="C223" t="str">
            <v>LCL</v>
          </cell>
          <cell r="D223" t="str">
            <v>LCL</v>
          </cell>
          <cell r="E223" t="str">
            <v>Days</v>
          </cell>
          <cell r="F223" t="str">
            <v>LCL</v>
          </cell>
          <cell r="G223" t="str">
            <v>%</v>
          </cell>
          <cell r="H223" t="str">
            <v>LCL</v>
          </cell>
          <cell r="I223" t="str">
            <v>LCL</v>
          </cell>
          <cell r="J223" t="str">
            <v>Days</v>
          </cell>
          <cell r="K223" t="str">
            <v>LCL</v>
          </cell>
          <cell r="L223" t="str">
            <v>%</v>
          </cell>
          <cell r="M223" t="str">
            <v>LCL</v>
          </cell>
          <cell r="N223" t="str">
            <v>%</v>
          </cell>
          <cell r="O223" t="str">
            <v>LCL</v>
          </cell>
          <cell r="P223" t="str">
            <v>%</v>
          </cell>
          <cell r="Q223" t="str">
            <v>LCL</v>
          </cell>
          <cell r="R223" t="str">
            <v>%</v>
          </cell>
          <cell r="S223" t="str">
            <v>LCL</v>
          </cell>
          <cell r="T223" t="str">
            <v>%</v>
          </cell>
          <cell r="U223" t="str">
            <v>LCL</v>
          </cell>
          <cell r="V223" t="str">
            <v>%</v>
          </cell>
          <cell r="W223" t="str">
            <v>LCL</v>
          </cell>
          <cell r="X223" t="str">
            <v>LCL</v>
          </cell>
        </row>
        <row r="224">
          <cell r="A224" t="str">
            <v>ENERGY</v>
          </cell>
          <cell r="B224" t="str">
            <v>PTAS.</v>
          </cell>
          <cell r="C224">
            <v>37431</v>
          </cell>
          <cell r="D224">
            <v>93096</v>
          </cell>
          <cell r="E224">
            <v>80</v>
          </cell>
          <cell r="F224">
            <v>0</v>
          </cell>
          <cell r="G224">
            <v>0</v>
          </cell>
          <cell r="H224">
            <v>35820</v>
          </cell>
          <cell r="I224">
            <v>85206</v>
          </cell>
          <cell r="J224">
            <v>75.363320825215851</v>
          </cell>
          <cell r="K224">
            <v>0</v>
          </cell>
          <cell r="L224">
            <v>0</v>
          </cell>
          <cell r="M224">
            <v>0</v>
          </cell>
          <cell r="N224" t="e">
            <v>#DIV/0!</v>
          </cell>
          <cell r="P224" t="e">
            <v>#DIV/0!</v>
          </cell>
          <cell r="R224" t="e">
            <v>#DIV/0!</v>
          </cell>
          <cell r="T224" t="e">
            <v>#DIV/0!</v>
          </cell>
          <cell r="V224" t="e">
            <v>#DIV/0!</v>
          </cell>
        </row>
        <row r="225">
          <cell r="A225" t="str">
            <v>BULK</v>
          </cell>
          <cell r="B225" t="str">
            <v>PTAS.</v>
          </cell>
          <cell r="C225">
            <v>920382</v>
          </cell>
          <cell r="D225">
            <v>2870434</v>
          </cell>
          <cell r="E225">
            <v>96</v>
          </cell>
          <cell r="F225">
            <v>31614</v>
          </cell>
          <cell r="G225">
            <v>1.1013665529324137</v>
          </cell>
          <cell r="H225">
            <v>915820</v>
          </cell>
          <cell r="I225">
            <v>3147695</v>
          </cell>
          <cell r="J225">
            <v>108.91239734116439</v>
          </cell>
          <cell r="K225">
            <v>74242</v>
          </cell>
          <cell r="L225">
            <v>2.3586147959062105</v>
          </cell>
          <cell r="M225">
            <v>2487</v>
          </cell>
          <cell r="N225">
            <v>3.3498558767274589</v>
          </cell>
          <cell r="O225">
            <v>36343</v>
          </cell>
          <cell r="P225">
            <v>48.95207564451389</v>
          </cell>
          <cell r="Q225">
            <v>5046</v>
          </cell>
          <cell r="R225">
            <v>6.7966918994639149</v>
          </cell>
          <cell r="S225">
            <v>13040</v>
          </cell>
          <cell r="T225">
            <v>17.564181999407342</v>
          </cell>
          <cell r="U225">
            <v>17326</v>
          </cell>
          <cell r="V225">
            <v>23.337194579887395</v>
          </cell>
          <cell r="W225">
            <v>80577</v>
          </cell>
          <cell r="X225">
            <v>1875</v>
          </cell>
        </row>
        <row r="226">
          <cell r="A226" t="str">
            <v>PACKAGED GASES</v>
          </cell>
          <cell r="B226" t="str">
            <v>PTAS.</v>
          </cell>
          <cell r="C226">
            <v>1824323</v>
          </cell>
          <cell r="D226">
            <v>5232806</v>
          </cell>
          <cell r="E226">
            <v>94</v>
          </cell>
          <cell r="F226">
            <v>184460</v>
          </cell>
          <cell r="G226">
            <v>3.525068576973807</v>
          </cell>
          <cell r="H226">
            <v>1797228</v>
          </cell>
          <cell r="I226">
            <v>5352886</v>
          </cell>
          <cell r="J226">
            <v>94.297466034546218</v>
          </cell>
          <cell r="K226">
            <v>120685</v>
          </cell>
          <cell r="L226">
            <v>2.2545781845531554</v>
          </cell>
          <cell r="M226">
            <v>5364</v>
          </cell>
          <cell r="N226">
            <v>4.4446285785308861</v>
          </cell>
          <cell r="O226">
            <v>56276</v>
          </cell>
          <cell r="P226">
            <v>46.630484318680864</v>
          </cell>
          <cell r="Q226">
            <v>20746</v>
          </cell>
          <cell r="R226">
            <v>17.190205907942165</v>
          </cell>
          <cell r="S226">
            <v>31516</v>
          </cell>
          <cell r="T226">
            <v>26.114264407341427</v>
          </cell>
          <cell r="U226">
            <v>6783</v>
          </cell>
          <cell r="V226">
            <v>5.6204167875046611</v>
          </cell>
          <cell r="W226">
            <v>199678</v>
          </cell>
          <cell r="X226">
            <v>4646</v>
          </cell>
        </row>
        <row r="227">
          <cell r="A227" t="str">
            <v>WELDING</v>
          </cell>
          <cell r="B227" t="str">
            <v>PTAS.</v>
          </cell>
          <cell r="C227">
            <v>264100</v>
          </cell>
          <cell r="D227">
            <v>749468</v>
          </cell>
          <cell r="E227">
            <v>131</v>
          </cell>
          <cell r="F227">
            <v>5964</v>
          </cell>
          <cell r="G227">
            <v>0.79576446225856201</v>
          </cell>
          <cell r="H227">
            <v>177604</v>
          </cell>
          <cell r="I227">
            <v>684638</v>
          </cell>
          <cell r="J227">
            <v>149.45050131222985</v>
          </cell>
          <cell r="K227">
            <v>34186</v>
          </cell>
          <cell r="L227">
            <v>4.9932957270849707</v>
          </cell>
          <cell r="M227">
            <v>1272</v>
          </cell>
          <cell r="N227">
            <v>3.720821388872638</v>
          </cell>
          <cell r="O227">
            <v>21658</v>
          </cell>
          <cell r="P227">
            <v>63.353419528461941</v>
          </cell>
          <cell r="Q227">
            <v>-3096</v>
          </cell>
          <cell r="R227">
            <v>-9.0563388521617032</v>
          </cell>
          <cell r="S227">
            <v>14082</v>
          </cell>
          <cell r="T227">
            <v>41.192300941906048</v>
          </cell>
          <cell r="U227">
            <v>270</v>
          </cell>
          <cell r="V227">
            <v>0.78979699292107874</v>
          </cell>
          <cell r="W227">
            <v>105915</v>
          </cell>
          <cell r="X227">
            <v>2464</v>
          </cell>
        </row>
        <row r="228">
          <cell r="A228" t="str">
            <v>HOME CARE</v>
          </cell>
          <cell r="B228" t="str">
            <v>PTAS.</v>
          </cell>
          <cell r="C228">
            <v>766535</v>
          </cell>
          <cell r="D228">
            <v>3205692</v>
          </cell>
          <cell r="E228">
            <v>124</v>
          </cell>
          <cell r="F228">
            <v>1237787</v>
          </cell>
          <cell r="G228">
            <v>38.612162366191136</v>
          </cell>
          <cell r="H228">
            <v>618659</v>
          </cell>
          <cell r="I228">
            <v>3869038</v>
          </cell>
          <cell r="J228">
            <v>140.2070537992048</v>
          </cell>
          <cell r="K228">
            <v>1663920</v>
          </cell>
          <cell r="L228">
            <v>43.006039227322141</v>
          </cell>
          <cell r="M228">
            <v>116</v>
          </cell>
          <cell r="N228">
            <v>6.9714890138948991E-3</v>
          </cell>
          <cell r="O228">
            <v>358652</v>
          </cell>
          <cell r="P228">
            <v>21.554642050098565</v>
          </cell>
          <cell r="Q228">
            <v>94630</v>
          </cell>
          <cell r="R228">
            <v>5.6871724602144331</v>
          </cell>
          <cell r="S228">
            <v>91871</v>
          </cell>
          <cell r="T228">
            <v>5.5213591999615366</v>
          </cell>
          <cell r="U228">
            <v>1118651</v>
          </cell>
          <cell r="V228">
            <v>67.229854800711578</v>
          </cell>
          <cell r="W228">
            <v>137</v>
          </cell>
          <cell r="X228">
            <v>3</v>
          </cell>
        </row>
        <row r="229">
          <cell r="A229" t="str">
            <v>HOSPITALS</v>
          </cell>
          <cell r="B229" t="str">
            <v>PTAS.</v>
          </cell>
          <cell r="C229">
            <v>598547</v>
          </cell>
          <cell r="D229">
            <v>3966384</v>
          </cell>
          <cell r="E229">
            <v>204</v>
          </cell>
          <cell r="F229">
            <v>1629030</v>
          </cell>
          <cell r="G229">
            <v>41.070909927026733</v>
          </cell>
          <cell r="H229">
            <v>655957</v>
          </cell>
          <cell r="I229">
            <v>4413124</v>
          </cell>
          <cell r="J229">
            <v>221.00285864523025</v>
          </cell>
          <cell r="K229">
            <v>2095341</v>
          </cell>
          <cell r="L229">
            <v>47.479767167204002</v>
          </cell>
          <cell r="M229">
            <v>709</v>
          </cell>
          <cell r="N229">
            <v>3.3836974506774795E-2</v>
          </cell>
          <cell r="O229">
            <v>186380</v>
          </cell>
          <cell r="P229">
            <v>8.8949722264776945</v>
          </cell>
          <cell r="Q229">
            <v>153508</v>
          </cell>
          <cell r="R229">
            <v>7.3261583675401756</v>
          </cell>
          <cell r="S229">
            <v>358052</v>
          </cell>
          <cell r="T229">
            <v>17.088006200422747</v>
          </cell>
          <cell r="U229">
            <v>1396692</v>
          </cell>
          <cell r="V229">
            <v>66.657026231052612</v>
          </cell>
          <cell r="W229">
            <v>61434</v>
          </cell>
          <cell r="X229">
            <v>1429</v>
          </cell>
        </row>
        <row r="230">
          <cell r="A230" t="str">
            <v>TOTAL</v>
          </cell>
          <cell r="C230">
            <v>4411318</v>
          </cell>
          <cell r="D230">
            <v>16117880</v>
          </cell>
          <cell r="E230">
            <v>122</v>
          </cell>
          <cell r="F230">
            <v>3088855</v>
          </cell>
          <cell r="G230">
            <v>19.164151861162882</v>
          </cell>
          <cell r="H230">
            <v>4201088</v>
          </cell>
          <cell r="I230">
            <v>17552587</v>
          </cell>
          <cell r="J230">
            <v>126.82104944385739</v>
          </cell>
          <cell r="K230">
            <v>3988374</v>
          </cell>
          <cell r="L230">
            <v>22.722428323528607</v>
          </cell>
          <cell r="M230">
            <v>9948</v>
          </cell>
          <cell r="N230">
            <v>0.24942495362771899</v>
          </cell>
          <cell r="O230">
            <v>659309</v>
          </cell>
          <cell r="P230">
            <v>16.530771687910914</v>
          </cell>
          <cell r="Q230">
            <v>270834</v>
          </cell>
          <cell r="R230">
            <v>6.790586840652356</v>
          </cell>
          <cell r="S230">
            <v>508561</v>
          </cell>
          <cell r="T230">
            <v>12.751086031550701</v>
          </cell>
          <cell r="U230">
            <v>2539722</v>
          </cell>
          <cell r="V230">
            <v>63.678130486258311</v>
          </cell>
          <cell r="W230">
            <v>447741</v>
          </cell>
          <cell r="X230">
            <v>10417</v>
          </cell>
        </row>
        <row r="232">
          <cell r="B232" t="str">
            <v>SEPTEMBER FY 98</v>
          </cell>
          <cell r="H232" t="str">
            <v>As of 30th November 1999</v>
          </cell>
        </row>
        <row r="233">
          <cell r="M233" t="str">
            <v>PAST DUE</v>
          </cell>
          <cell r="W233" t="str">
            <v>Total Bad &amp;</v>
          </cell>
        </row>
        <row r="234">
          <cell r="B234" t="str">
            <v>CURRENCY</v>
          </cell>
          <cell r="C234" t="str">
            <v>SALES</v>
          </cell>
          <cell r="D234" t="str">
            <v>TAR</v>
          </cell>
          <cell r="E234" t="str">
            <v>DSO</v>
          </cell>
          <cell r="F234" t="str">
            <v>PAST DUE</v>
          </cell>
          <cell r="H234" t="str">
            <v>SALES</v>
          </cell>
          <cell r="I234" t="str">
            <v>TAR</v>
          </cell>
          <cell r="J234" t="str">
            <v>DSO</v>
          </cell>
          <cell r="K234" t="str">
            <v>TOTAL PAST DUE</v>
          </cell>
          <cell r="M234" t="str">
            <v>0-30 Days PD</v>
          </cell>
          <cell r="O234" t="str">
            <v>31-60 Days PD</v>
          </cell>
          <cell r="Q234" t="str">
            <v>61-90 Days PD</v>
          </cell>
          <cell r="S234" t="str">
            <v>91-180 Days PD</v>
          </cell>
          <cell r="U234" t="str">
            <v>180 + Days PD</v>
          </cell>
          <cell r="W234" t="str">
            <v>Doubtfull debt (BDD)</v>
          </cell>
          <cell r="X234" t="str">
            <v>Provision for BDD</v>
          </cell>
        </row>
        <row r="235">
          <cell r="C235" t="str">
            <v>LCL</v>
          </cell>
          <cell r="D235" t="str">
            <v>LCL</v>
          </cell>
          <cell r="E235" t="str">
            <v>Days</v>
          </cell>
          <cell r="F235" t="str">
            <v>LCL</v>
          </cell>
          <cell r="G235" t="str">
            <v>%</v>
          </cell>
          <cell r="H235" t="str">
            <v>LCL</v>
          </cell>
          <cell r="I235" t="str">
            <v>LCL</v>
          </cell>
          <cell r="J235" t="str">
            <v>Days</v>
          </cell>
          <cell r="K235" t="str">
            <v>LCL</v>
          </cell>
          <cell r="L235" t="str">
            <v>%</v>
          </cell>
          <cell r="M235" t="str">
            <v>LCL</v>
          </cell>
          <cell r="N235" t="str">
            <v>%</v>
          </cell>
          <cell r="O235" t="str">
            <v>LCL</v>
          </cell>
          <cell r="P235" t="str">
            <v>%</v>
          </cell>
          <cell r="Q235" t="str">
            <v>LCL</v>
          </cell>
          <cell r="R235" t="str">
            <v>%</v>
          </cell>
          <cell r="S235" t="str">
            <v>LCL</v>
          </cell>
          <cell r="T235" t="str">
            <v>%</v>
          </cell>
          <cell r="U235" t="str">
            <v>LCL</v>
          </cell>
          <cell r="V235" t="str">
            <v>%</v>
          </cell>
          <cell r="W235" t="str">
            <v>LCL</v>
          </cell>
          <cell r="X235" t="str">
            <v>LCL</v>
          </cell>
        </row>
        <row r="236">
          <cell r="A236" t="str">
            <v>ENERGY</v>
          </cell>
          <cell r="B236" t="str">
            <v>PTAS.</v>
          </cell>
          <cell r="C236">
            <v>37431</v>
          </cell>
          <cell r="D236">
            <v>93096</v>
          </cell>
          <cell r="E236">
            <v>80</v>
          </cell>
          <cell r="F236">
            <v>0</v>
          </cell>
          <cell r="G236">
            <v>0</v>
          </cell>
          <cell r="H236">
            <v>30405</v>
          </cell>
          <cell r="I236">
            <v>66225</v>
          </cell>
          <cell r="J236">
            <v>72.637338324817449</v>
          </cell>
          <cell r="K236">
            <v>0</v>
          </cell>
          <cell r="L236">
            <v>0</v>
          </cell>
          <cell r="M236">
            <v>0</v>
          </cell>
          <cell r="N236" t="e">
            <v>#DIV/0!</v>
          </cell>
          <cell r="O236">
            <v>0</v>
          </cell>
          <cell r="P236" t="e">
            <v>#DIV/0!</v>
          </cell>
          <cell r="Q236">
            <v>0</v>
          </cell>
          <cell r="R236" t="e">
            <v>#DIV/0!</v>
          </cell>
          <cell r="S236">
            <v>0</v>
          </cell>
          <cell r="T236" t="e">
            <v>#DIV/0!</v>
          </cell>
          <cell r="U236">
            <v>0</v>
          </cell>
          <cell r="V236" t="e">
            <v>#DIV/0!</v>
          </cell>
          <cell r="W236">
            <v>0</v>
          </cell>
          <cell r="X236">
            <v>0</v>
          </cell>
        </row>
        <row r="237">
          <cell r="A237" t="str">
            <v>BULK</v>
          </cell>
          <cell r="B237" t="str">
            <v>PTAS.</v>
          </cell>
          <cell r="C237">
            <v>920382</v>
          </cell>
          <cell r="D237">
            <v>2870434</v>
          </cell>
          <cell r="E237">
            <v>96</v>
          </cell>
          <cell r="F237">
            <v>31614</v>
          </cell>
          <cell r="G237">
            <v>1.1013665529324137</v>
          </cell>
          <cell r="H237">
            <v>991806</v>
          </cell>
          <cell r="I237">
            <v>3184486</v>
          </cell>
          <cell r="J237">
            <v>100.1178559209152</v>
          </cell>
          <cell r="K237">
            <v>80748</v>
          </cell>
          <cell r="L237">
            <v>2.5356682365694181</v>
          </cell>
          <cell r="M237">
            <v>1556</v>
          </cell>
          <cell r="N237">
            <v>1.9269827116461087</v>
          </cell>
          <cell r="O237">
            <v>40391</v>
          </cell>
          <cell r="P237">
            <v>50.021053153019267</v>
          </cell>
          <cell r="Q237">
            <v>20613</v>
          </cell>
          <cell r="R237">
            <v>25.527567246247585</v>
          </cell>
          <cell r="S237">
            <v>11402</v>
          </cell>
          <cell r="T237">
            <v>14.120473572100856</v>
          </cell>
          <cell r="U237">
            <v>6786</v>
          </cell>
          <cell r="V237">
            <v>8.4039233169861802</v>
          </cell>
          <cell r="W237">
            <v>79987</v>
          </cell>
          <cell r="X237">
            <v>3750</v>
          </cell>
        </row>
        <row r="238">
          <cell r="A238" t="str">
            <v>PACKAGED GASES</v>
          </cell>
          <cell r="B238" t="str">
            <v>PTAS.</v>
          </cell>
          <cell r="C238">
            <v>1824323</v>
          </cell>
          <cell r="D238">
            <v>5232806</v>
          </cell>
          <cell r="E238">
            <v>94</v>
          </cell>
          <cell r="F238">
            <v>184460</v>
          </cell>
          <cell r="G238">
            <v>3.525068576973807</v>
          </cell>
          <cell r="H238">
            <v>1853769</v>
          </cell>
          <cell r="I238">
            <v>5231736</v>
          </cell>
          <cell r="J238">
            <v>85.78582256841824</v>
          </cell>
          <cell r="K238">
            <v>119238</v>
          </cell>
          <cell r="L238">
            <v>2.2791287633779684</v>
          </cell>
          <cell r="M238">
            <v>3571</v>
          </cell>
          <cell r="N238">
            <v>2.9948506348647244</v>
          </cell>
          <cell r="O238">
            <v>53622</v>
          </cell>
          <cell r="P238">
            <v>44.970563075529611</v>
          </cell>
          <cell r="Q238">
            <v>24408</v>
          </cell>
          <cell r="R238">
            <v>20.469984400946007</v>
          </cell>
          <cell r="S238">
            <v>30057</v>
          </cell>
          <cell r="T238">
            <v>25.207568057162984</v>
          </cell>
          <cell r="U238">
            <v>7580</v>
          </cell>
          <cell r="V238">
            <v>6.357033831496671</v>
          </cell>
          <cell r="W238">
            <v>198925</v>
          </cell>
          <cell r="X238">
            <v>9292</v>
          </cell>
        </row>
        <row r="239">
          <cell r="A239" t="str">
            <v>WELDING</v>
          </cell>
          <cell r="B239" t="str">
            <v>PTAS.</v>
          </cell>
          <cell r="C239">
            <v>264100</v>
          </cell>
          <cell r="D239">
            <v>749468</v>
          </cell>
          <cell r="E239">
            <v>131</v>
          </cell>
          <cell r="F239">
            <v>5964</v>
          </cell>
          <cell r="G239">
            <v>0.79576446225856201</v>
          </cell>
          <cell r="H239">
            <v>220807</v>
          </cell>
          <cell r="I239">
            <v>765156</v>
          </cell>
          <cell r="J239">
            <v>114.70639313342102</v>
          </cell>
          <cell r="K239">
            <v>46588</v>
          </cell>
          <cell r="L239">
            <v>6.0886930246903903</v>
          </cell>
          <cell r="M239">
            <v>1090</v>
          </cell>
          <cell r="N239">
            <v>2.3396582811024298</v>
          </cell>
          <cell r="O239">
            <v>17952</v>
          </cell>
          <cell r="P239">
            <v>38.533527947110848</v>
          </cell>
          <cell r="Q239">
            <v>17735</v>
          </cell>
          <cell r="R239">
            <v>38.067742766377613</v>
          </cell>
          <cell r="S239">
            <v>7322</v>
          </cell>
          <cell r="T239">
            <v>15.716493517644029</v>
          </cell>
          <cell r="U239">
            <v>2489</v>
          </cell>
          <cell r="V239">
            <v>5.34257748776509</v>
          </cell>
          <cell r="W239">
            <v>105486</v>
          </cell>
          <cell r="X239">
            <v>4928</v>
          </cell>
        </row>
        <row r="240">
          <cell r="A240" t="str">
            <v>HOME CARE</v>
          </cell>
          <cell r="B240" t="str">
            <v>PTAS.</v>
          </cell>
          <cell r="C240">
            <v>766535</v>
          </cell>
          <cell r="D240">
            <v>3205692</v>
          </cell>
          <cell r="E240">
            <v>124</v>
          </cell>
          <cell r="F240">
            <v>1237787</v>
          </cell>
          <cell r="G240">
            <v>38.612162366191136</v>
          </cell>
          <cell r="H240">
            <v>635121</v>
          </cell>
          <cell r="I240">
            <v>3922257</v>
          </cell>
          <cell r="J240">
            <v>159.8192776229088</v>
          </cell>
          <cell r="K240">
            <v>1595062</v>
          </cell>
          <cell r="L240">
            <v>40.666942528243304</v>
          </cell>
          <cell r="M240">
            <v>0</v>
          </cell>
          <cell r="N240">
            <v>0</v>
          </cell>
          <cell r="O240">
            <v>121357</v>
          </cell>
          <cell r="P240">
            <v>7.6082935961109976</v>
          </cell>
          <cell r="Q240">
            <v>264949</v>
          </cell>
          <cell r="R240">
            <v>16.610576892935825</v>
          </cell>
          <cell r="S240">
            <v>55415</v>
          </cell>
          <cell r="T240">
            <v>3.474159625143098</v>
          </cell>
          <cell r="U240">
            <v>1153341</v>
          </cell>
          <cell r="V240">
            <v>72.306969885810076</v>
          </cell>
          <cell r="W240">
            <v>137</v>
          </cell>
          <cell r="X240">
            <v>6</v>
          </cell>
        </row>
        <row r="241">
          <cell r="A241" t="str">
            <v>HOSPITALS</v>
          </cell>
          <cell r="B241" t="str">
            <v>PTAS.</v>
          </cell>
          <cell r="C241">
            <v>598547</v>
          </cell>
          <cell r="D241">
            <v>3966384</v>
          </cell>
          <cell r="E241">
            <v>204</v>
          </cell>
          <cell r="F241">
            <v>1629030</v>
          </cell>
          <cell r="G241">
            <v>41.070909927026733</v>
          </cell>
          <cell r="H241">
            <v>725636</v>
          </cell>
          <cell r="I241">
            <v>4652600</v>
          </cell>
          <cell r="J241">
            <v>205.66076523887989</v>
          </cell>
          <cell r="K241">
            <v>2150716</v>
          </cell>
          <cell r="L241">
            <v>46.226110131969222</v>
          </cell>
          <cell r="M241">
            <v>963</v>
          </cell>
          <cell r="N241">
            <v>4.4775786296284585E-2</v>
          </cell>
          <cell r="O241">
            <v>187288</v>
          </cell>
          <cell r="P241">
            <v>8.708169744401399</v>
          </cell>
          <cell r="Q241">
            <v>139948</v>
          </cell>
          <cell r="R241">
            <v>6.5070423059111482</v>
          </cell>
          <cell r="S241">
            <v>338270</v>
          </cell>
          <cell r="T241">
            <v>15.72825049890362</v>
          </cell>
          <cell r="U241">
            <v>1484247</v>
          </cell>
          <cell r="V241">
            <v>69.011761664487551</v>
          </cell>
          <cell r="W241">
            <v>61434</v>
          </cell>
          <cell r="X241">
            <v>2858</v>
          </cell>
        </row>
        <row r="242">
          <cell r="A242" t="str">
            <v>TOTAL</v>
          </cell>
          <cell r="C242">
            <v>4411318</v>
          </cell>
          <cell r="D242">
            <v>16117880</v>
          </cell>
          <cell r="E242">
            <v>122</v>
          </cell>
          <cell r="F242">
            <v>3088855</v>
          </cell>
          <cell r="G242">
            <v>19.164151861162882</v>
          </cell>
          <cell r="H242">
            <v>4457544</v>
          </cell>
          <cell r="I242">
            <v>17822460</v>
          </cell>
          <cell r="J242">
            <v>120.34279898823718</v>
          </cell>
          <cell r="K242">
            <v>3992352</v>
          </cell>
          <cell r="L242">
            <v>22.400678694186997</v>
          </cell>
          <cell r="M242">
            <v>7180</v>
          </cell>
          <cell r="N242">
            <v>0.17984386146311748</v>
          </cell>
          <cell r="O242">
            <v>420610</v>
          </cell>
          <cell r="P242">
            <v>10.535393672702206</v>
          </cell>
          <cell r="Q242">
            <v>467653</v>
          </cell>
          <cell r="R242">
            <v>11.713721635767588</v>
          </cell>
          <cell r="S242">
            <v>442466</v>
          </cell>
          <cell r="T242">
            <v>11.082840390827261</v>
          </cell>
          <cell r="U242">
            <v>2654443</v>
          </cell>
          <cell r="V242">
            <v>66.488200439239833</v>
          </cell>
          <cell r="W242">
            <v>445969</v>
          </cell>
          <cell r="X242">
            <v>20834</v>
          </cell>
        </row>
        <row r="244">
          <cell r="B244" t="str">
            <v>SEPTEMBER FY 98</v>
          </cell>
          <cell r="H244" t="str">
            <v>As of 31st December 1999</v>
          </cell>
        </row>
        <row r="245">
          <cell r="M245" t="str">
            <v>PAST DUE</v>
          </cell>
          <cell r="W245" t="str">
            <v>Total Bad &amp;</v>
          </cell>
        </row>
        <row r="246">
          <cell r="B246" t="str">
            <v>CURRENCY</v>
          </cell>
          <cell r="C246" t="str">
            <v>SALES</v>
          </cell>
          <cell r="D246" t="str">
            <v>TAR</v>
          </cell>
          <cell r="E246" t="str">
            <v>DSO</v>
          </cell>
          <cell r="F246" t="str">
            <v>PAST DUE</v>
          </cell>
          <cell r="H246" t="str">
            <v>SALES</v>
          </cell>
          <cell r="I246" t="str">
            <v>TAR</v>
          </cell>
          <cell r="J246" t="str">
            <v>DSO</v>
          </cell>
          <cell r="K246" t="str">
            <v>TOTAL PAST DUE</v>
          </cell>
          <cell r="M246" t="str">
            <v>0-30 Days PD</v>
          </cell>
          <cell r="O246" t="str">
            <v>31-60 Days PD</v>
          </cell>
          <cell r="Q246" t="str">
            <v>61-90 Days PD</v>
          </cell>
          <cell r="S246" t="str">
            <v>91-180 Days PD</v>
          </cell>
          <cell r="U246" t="str">
            <v>180 + Days PD</v>
          </cell>
          <cell r="W246" t="str">
            <v>Doubtfull debt (BDD)</v>
          </cell>
          <cell r="X246" t="str">
            <v>Provision for BDD</v>
          </cell>
        </row>
        <row r="247">
          <cell r="C247" t="str">
            <v>LCL</v>
          </cell>
          <cell r="D247" t="str">
            <v>LCL</v>
          </cell>
          <cell r="E247" t="str">
            <v>Days</v>
          </cell>
          <cell r="F247" t="str">
            <v>LCL</v>
          </cell>
          <cell r="G247" t="str">
            <v>%</v>
          </cell>
          <cell r="H247" t="str">
            <v>LCL</v>
          </cell>
          <cell r="I247" t="str">
            <v>LCL</v>
          </cell>
          <cell r="J247" t="str">
            <v>Days</v>
          </cell>
          <cell r="K247" t="str">
            <v>LCL</v>
          </cell>
          <cell r="L247" t="str">
            <v>%</v>
          </cell>
          <cell r="M247" t="str">
            <v>LCL</v>
          </cell>
          <cell r="N247" t="str">
            <v>%</v>
          </cell>
          <cell r="O247" t="str">
            <v>LCL</v>
          </cell>
          <cell r="P247" t="str">
            <v>%</v>
          </cell>
          <cell r="Q247" t="str">
            <v>LCL</v>
          </cell>
          <cell r="R247" t="str">
            <v>%</v>
          </cell>
          <cell r="S247" t="str">
            <v>LCL</v>
          </cell>
          <cell r="T247" t="str">
            <v>%</v>
          </cell>
          <cell r="U247" t="str">
            <v>LCL</v>
          </cell>
          <cell r="V247" t="str">
            <v>%</v>
          </cell>
          <cell r="W247" t="str">
            <v>LCL</v>
          </cell>
          <cell r="X247" t="str">
            <v>LCL</v>
          </cell>
        </row>
        <row r="248">
          <cell r="A248" t="str">
            <v>ENERGY</v>
          </cell>
          <cell r="B248" t="str">
            <v>PTAS.</v>
          </cell>
          <cell r="C248">
            <v>37431</v>
          </cell>
          <cell r="D248">
            <v>93096</v>
          </cell>
          <cell r="E248">
            <v>80</v>
          </cell>
          <cell r="F248">
            <v>0</v>
          </cell>
          <cell r="G248">
            <v>0</v>
          </cell>
          <cell r="H248">
            <v>34200</v>
          </cell>
          <cell r="I248">
            <v>47726</v>
          </cell>
          <cell r="J248">
            <v>60.816343871877862</v>
          </cell>
          <cell r="K248">
            <v>0</v>
          </cell>
          <cell r="L248">
            <v>0</v>
          </cell>
          <cell r="M248">
            <v>0</v>
          </cell>
          <cell r="N248" t="e">
            <v>#DIV/0!</v>
          </cell>
          <cell r="O248">
            <v>0</v>
          </cell>
          <cell r="P248" t="e">
            <v>#DIV/0!</v>
          </cell>
          <cell r="Q248">
            <v>0</v>
          </cell>
          <cell r="R248" t="e">
            <v>#DIV/0!</v>
          </cell>
          <cell r="S248">
            <v>0</v>
          </cell>
          <cell r="T248" t="e">
            <v>#DIV/0!</v>
          </cell>
          <cell r="U248">
            <v>0</v>
          </cell>
          <cell r="V248" t="e">
            <v>#DIV/0!</v>
          </cell>
          <cell r="W248">
            <v>0</v>
          </cell>
          <cell r="X248">
            <v>0</v>
          </cell>
        </row>
        <row r="249">
          <cell r="A249" t="str">
            <v>BULK</v>
          </cell>
          <cell r="B249" t="str">
            <v>PTAS.</v>
          </cell>
          <cell r="C249">
            <v>920382</v>
          </cell>
          <cell r="D249">
            <v>2870434</v>
          </cell>
          <cell r="E249">
            <v>96</v>
          </cell>
          <cell r="F249">
            <v>31614</v>
          </cell>
          <cell r="G249">
            <v>1.1013665529324137</v>
          </cell>
          <cell r="H249">
            <v>828087</v>
          </cell>
          <cell r="I249">
            <v>3078812</v>
          </cell>
          <cell r="J249">
            <v>105.49490583746662</v>
          </cell>
          <cell r="K249">
            <v>81934</v>
          </cell>
          <cell r="L249">
            <v>2.6612212762585052</v>
          </cell>
          <cell r="M249">
            <v>4512</v>
          </cell>
          <cell r="N249">
            <v>5.5068713842849126</v>
          </cell>
          <cell r="O249">
            <v>37580</v>
          </cell>
          <cell r="P249">
            <v>45.866184978153143</v>
          </cell>
          <cell r="Q249">
            <v>13028</v>
          </cell>
          <cell r="R249">
            <v>15.90060292430493</v>
          </cell>
          <cell r="S249">
            <v>17918</v>
          </cell>
          <cell r="T249">
            <v>21.868821246369027</v>
          </cell>
          <cell r="U249">
            <v>8896</v>
          </cell>
          <cell r="V249">
            <v>10.857519466887982</v>
          </cell>
          <cell r="W249">
            <v>79326</v>
          </cell>
          <cell r="X249">
            <v>5625</v>
          </cell>
        </row>
        <row r="250">
          <cell r="A250" t="str">
            <v>PACKAGED GASES</v>
          </cell>
          <cell r="B250" t="str">
            <v>PTAS.</v>
          </cell>
          <cell r="C250">
            <v>1824323</v>
          </cell>
          <cell r="D250">
            <v>5232806</v>
          </cell>
          <cell r="E250">
            <v>94</v>
          </cell>
          <cell r="F250">
            <v>184460</v>
          </cell>
          <cell r="G250">
            <v>3.525068576973807</v>
          </cell>
          <cell r="H250">
            <v>1579213</v>
          </cell>
          <cell r="I250">
            <v>5126957</v>
          </cell>
          <cell r="J250">
            <v>92.122831779221102</v>
          </cell>
          <cell r="K250">
            <v>149887</v>
          </cell>
          <cell r="L250">
            <v>2.9235080380038294</v>
          </cell>
          <cell r="M250">
            <v>5812</v>
          </cell>
          <cell r="N250">
            <v>3.8775877827963732</v>
          </cell>
          <cell r="O250">
            <v>79339</v>
          </cell>
          <cell r="P250">
            <v>52.932542515361568</v>
          </cell>
          <cell r="Q250">
            <v>28260</v>
          </cell>
          <cell r="R250">
            <v>18.854203499969977</v>
          </cell>
          <cell r="S250">
            <v>27711</v>
          </cell>
          <cell r="T250">
            <v>18.487927572104319</v>
          </cell>
          <cell r="U250">
            <v>8765</v>
          </cell>
          <cell r="V250">
            <v>5.8477386297677585</v>
          </cell>
          <cell r="W250">
            <v>198321</v>
          </cell>
          <cell r="X250">
            <v>13938</v>
          </cell>
        </row>
        <row r="251">
          <cell r="A251" t="str">
            <v>WELDING</v>
          </cell>
          <cell r="B251" t="str">
            <v>PTAS.</v>
          </cell>
          <cell r="C251">
            <v>264100</v>
          </cell>
          <cell r="D251">
            <v>749468</v>
          </cell>
          <cell r="E251">
            <v>131</v>
          </cell>
          <cell r="F251">
            <v>5964</v>
          </cell>
          <cell r="G251">
            <v>0.79576446225856201</v>
          </cell>
          <cell r="H251">
            <v>177069</v>
          </cell>
          <cell r="I251">
            <v>775823</v>
          </cell>
          <cell r="J251">
            <v>118.6005676420843</v>
          </cell>
          <cell r="K251">
            <v>39089</v>
          </cell>
          <cell r="L251">
            <v>5.0383914887803014</v>
          </cell>
          <cell r="M251">
            <v>1498</v>
          </cell>
          <cell r="N251">
            <v>3.832280181125125</v>
          </cell>
          <cell r="O251">
            <v>15072</v>
          </cell>
          <cell r="P251">
            <v>38.558162142802324</v>
          </cell>
          <cell r="Q251">
            <v>6924</v>
          </cell>
          <cell r="R251">
            <v>17.713423213691833</v>
          </cell>
          <cell r="S251">
            <v>6530</v>
          </cell>
          <cell r="T251">
            <v>16.705467011179614</v>
          </cell>
          <cell r="U251">
            <v>9065</v>
          </cell>
          <cell r="V251">
            <v>23.190667451201104</v>
          </cell>
          <cell r="W251">
            <v>104567</v>
          </cell>
          <cell r="X251">
            <v>7392</v>
          </cell>
        </row>
        <row r="252">
          <cell r="A252" t="str">
            <v>HOME CARE</v>
          </cell>
          <cell r="B252" t="str">
            <v>PTAS.</v>
          </cell>
          <cell r="C252">
            <v>766535</v>
          </cell>
          <cell r="D252">
            <v>3205692</v>
          </cell>
          <cell r="E252">
            <v>124</v>
          </cell>
          <cell r="F252">
            <v>1237787</v>
          </cell>
          <cell r="G252">
            <v>38.612162366191136</v>
          </cell>
          <cell r="H252">
            <v>710644</v>
          </cell>
          <cell r="I252">
            <v>4042907</v>
          </cell>
          <cell r="J252">
            <v>184.74399009582453</v>
          </cell>
          <cell r="K252">
            <v>1569863</v>
          </cell>
          <cell r="L252">
            <v>38.830054710632723</v>
          </cell>
          <cell r="M252">
            <v>42</v>
          </cell>
          <cell r="N252">
            <v>2.675392693502554E-3</v>
          </cell>
          <cell r="O252">
            <v>81094</v>
          </cell>
          <cell r="P252">
            <v>5.1656736925451456</v>
          </cell>
          <cell r="Q252">
            <v>45721</v>
          </cell>
          <cell r="R252">
            <v>2.9124197461816732</v>
          </cell>
          <cell r="S252">
            <v>282680</v>
          </cell>
          <cell r="T252">
            <v>18.006666823792905</v>
          </cell>
          <cell r="U252">
            <v>1160326</v>
          </cell>
          <cell r="V252">
            <v>73.912564344786773</v>
          </cell>
          <cell r="W252">
            <v>137</v>
          </cell>
          <cell r="X252">
            <v>38</v>
          </cell>
        </row>
        <row r="253">
          <cell r="A253" t="str">
            <v>HOSPITALS</v>
          </cell>
          <cell r="B253" t="str">
            <v>PTAS.</v>
          </cell>
          <cell r="C253">
            <v>598547</v>
          </cell>
          <cell r="D253">
            <v>3966384</v>
          </cell>
          <cell r="E253">
            <v>204</v>
          </cell>
          <cell r="F253">
            <v>1629030</v>
          </cell>
          <cell r="G253">
            <v>41.070909927026733</v>
          </cell>
          <cell r="H253">
            <v>793370</v>
          </cell>
          <cell r="I253">
            <v>4889724</v>
          </cell>
          <cell r="J253">
            <v>196.76981723367248</v>
          </cell>
          <cell r="K253">
            <v>2194818</v>
          </cell>
          <cell r="L253">
            <v>44.886337142955306</v>
          </cell>
          <cell r="M253">
            <v>561</v>
          </cell>
          <cell r="N253">
            <v>2.5560205903177393E-2</v>
          </cell>
          <cell r="O253">
            <v>200274</v>
          </cell>
          <cell r="P253">
            <v>9.1248568218412629</v>
          </cell>
          <cell r="Q253">
            <v>114517</v>
          </cell>
          <cell r="R253">
            <v>5.2176080203461064</v>
          </cell>
          <cell r="S253">
            <v>326259</v>
          </cell>
          <cell r="T253">
            <v>14.864968302610967</v>
          </cell>
          <cell r="U253">
            <v>1553207</v>
          </cell>
          <cell r="V253">
            <v>70.76700664929848</v>
          </cell>
          <cell r="W253">
            <v>61434</v>
          </cell>
          <cell r="X253">
            <v>4287</v>
          </cell>
        </row>
        <row r="254">
          <cell r="A254" t="str">
            <v>TOTAL</v>
          </cell>
          <cell r="C254">
            <v>4411318</v>
          </cell>
          <cell r="D254">
            <v>16117880</v>
          </cell>
          <cell r="E254">
            <v>122</v>
          </cell>
          <cell r="F254">
            <v>3088855</v>
          </cell>
          <cell r="G254">
            <v>19.164151861162882</v>
          </cell>
          <cell r="H254">
            <v>4122583</v>
          </cell>
          <cell r="I254">
            <v>17961949</v>
          </cell>
          <cell r="J254">
            <v>127.97436529573545</v>
          </cell>
          <cell r="K254">
            <v>4035591</v>
          </cell>
          <cell r="L254">
            <v>22.467444930391462</v>
          </cell>
          <cell r="M254">
            <v>12425</v>
          </cell>
          <cell r="N254">
            <v>0.30788551168837475</v>
          </cell>
          <cell r="O254">
            <v>413359</v>
          </cell>
          <cell r="P254">
            <v>10.242836798872828</v>
          </cell>
          <cell r="Q254">
            <v>208450</v>
          </cell>
          <cell r="R254">
            <v>5.1652905361321304</v>
          </cell>
          <cell r="S254">
            <v>661098</v>
          </cell>
          <cell r="T254">
            <v>16.381689819409353</v>
          </cell>
          <cell r="U254">
            <v>2740259</v>
          </cell>
          <cell r="V254">
            <v>67.902297333897309</v>
          </cell>
          <cell r="W254">
            <v>443785</v>
          </cell>
          <cell r="X254">
            <v>31280</v>
          </cell>
        </row>
      </sheetData>
      <sheetData sheetId="1" refreshError="1">
        <row r="156">
          <cell r="J156" t="str">
            <v>As of 31st August 1999</v>
          </cell>
        </row>
        <row r="158">
          <cell r="D158" t="str">
            <v>September FY 97 *</v>
          </cell>
          <cell r="I158" t="str">
            <v>|</v>
          </cell>
          <cell r="M158" t="str">
            <v>PAST DUE</v>
          </cell>
          <cell r="Y158" t="str">
            <v>Total Bad</v>
          </cell>
          <cell r="Z158" t="str">
            <v>Provision for</v>
          </cell>
        </row>
        <row r="159">
          <cell r="B159" t="str">
            <v>CURRENCY</v>
          </cell>
          <cell r="C159" t="str">
            <v>SALES</v>
          </cell>
          <cell r="D159" t="str">
            <v>TAR</v>
          </cell>
          <cell r="E159" t="str">
            <v>DSO</v>
          </cell>
          <cell r="G159" t="str">
            <v>PAST DUE</v>
          </cell>
          <cell r="I159" t="str">
            <v>|</v>
          </cell>
          <cell r="J159" t="str">
            <v>SALES</v>
          </cell>
          <cell r="K159" t="str">
            <v>TAR</v>
          </cell>
          <cell r="L159" t="str">
            <v>DSO</v>
          </cell>
          <cell r="M159" t="str">
            <v>TOTAL PAST DUE</v>
          </cell>
          <cell r="O159" t="str">
            <v>0-30 Days PD</v>
          </cell>
          <cell r="Q159" t="str">
            <v>31-60 Days PD</v>
          </cell>
          <cell r="S159" t="str">
            <v>61-90 Days PD</v>
          </cell>
          <cell r="U159" t="str">
            <v>91-180 Days PD</v>
          </cell>
          <cell r="W159" t="str">
            <v>180+ Days PD</v>
          </cell>
          <cell r="Y159" t="str">
            <v>Debt Recovery</v>
          </cell>
          <cell r="Z159" t="str">
            <v>Bad Debt</v>
          </cell>
        </row>
        <row r="160">
          <cell r="C160" t="str">
            <v>LCL</v>
          </cell>
          <cell r="D160" t="str">
            <v>LCL</v>
          </cell>
          <cell r="E160" t="str">
            <v>Days</v>
          </cell>
          <cell r="G160" t="str">
            <v>LCL</v>
          </cell>
          <cell r="H160" t="str">
            <v>%</v>
          </cell>
          <cell r="I160" t="str">
            <v>|</v>
          </cell>
          <cell r="J160" t="str">
            <v>LCL</v>
          </cell>
          <cell r="K160" t="str">
            <v>LCL</v>
          </cell>
          <cell r="L160" t="str">
            <v>Days</v>
          </cell>
          <cell r="M160" t="str">
            <v>LCL</v>
          </cell>
          <cell r="N160" t="str">
            <v>%</v>
          </cell>
          <cell r="O160" t="str">
            <v>LCL</v>
          </cell>
          <cell r="P160" t="str">
            <v>%</v>
          </cell>
          <cell r="Q160" t="str">
            <v>LCL</v>
          </cell>
          <cell r="R160" t="str">
            <v>%</v>
          </cell>
          <cell r="S160" t="str">
            <v>LCL</v>
          </cell>
          <cell r="T160" t="str">
            <v>%</v>
          </cell>
          <cell r="U160" t="str">
            <v>LCL</v>
          </cell>
          <cell r="V160" t="str">
            <v>%</v>
          </cell>
          <cell r="W160" t="str">
            <v>LCL</v>
          </cell>
          <cell r="X160" t="str">
            <v>%</v>
          </cell>
          <cell r="Y160" t="str">
            <v>LCL</v>
          </cell>
          <cell r="Z160" t="str">
            <v>LCL</v>
          </cell>
        </row>
        <row r="161">
          <cell r="I161" t="str">
            <v>|</v>
          </cell>
        </row>
        <row r="162">
          <cell r="A162" t="str">
            <v>Equipment</v>
          </cell>
          <cell r="B162" t="str">
            <v>GBP</v>
          </cell>
          <cell r="C162">
            <v>20077</v>
          </cell>
          <cell r="D162">
            <v>17848</v>
          </cell>
          <cell r="E162">
            <v>56.899068348586034</v>
          </cell>
          <cell r="G162">
            <v>10339</v>
          </cell>
          <cell r="H162">
            <v>0.57928059166293144</v>
          </cell>
          <cell r="I162" t="str">
            <v>|</v>
          </cell>
          <cell r="J162">
            <v>1109</v>
          </cell>
          <cell r="K162">
            <v>20683</v>
          </cell>
          <cell r="L162">
            <v>70.206664361592246</v>
          </cell>
          <cell r="M162">
            <v>8516</v>
          </cell>
          <cell r="N162">
            <v>0.41173910941352804</v>
          </cell>
          <cell r="O162">
            <v>66</v>
          </cell>
          <cell r="P162">
            <v>3.1910264468404002E-3</v>
          </cell>
          <cell r="Q162">
            <v>4088</v>
          </cell>
          <cell r="R162">
            <v>0</v>
          </cell>
          <cell r="S162">
            <v>177</v>
          </cell>
          <cell r="T162">
            <v>8.5577527437992549E-3</v>
          </cell>
          <cell r="U162">
            <v>4076</v>
          </cell>
          <cell r="V162">
            <v>0</v>
          </cell>
          <cell r="W162">
            <v>109</v>
          </cell>
          <cell r="X162">
            <v>1.279943635509629E-2</v>
          </cell>
          <cell r="Y162">
            <v>0</v>
          </cell>
          <cell r="Z162">
            <v>0</v>
          </cell>
        </row>
        <row r="163">
          <cell r="A163" t="str">
            <v>PED1</v>
          </cell>
          <cell r="C163">
            <v>20077</v>
          </cell>
          <cell r="D163">
            <v>17848</v>
          </cell>
          <cell r="E163">
            <v>56.899068348586034</v>
          </cell>
          <cell r="G163">
            <v>10339</v>
          </cell>
          <cell r="H163">
            <v>0.57928059166293144</v>
          </cell>
          <cell r="I163" t="str">
            <v>|</v>
          </cell>
          <cell r="J163">
            <v>1109</v>
          </cell>
          <cell r="K163">
            <v>20683</v>
          </cell>
          <cell r="L163">
            <v>70.206664361592246</v>
          </cell>
          <cell r="M163">
            <v>8516</v>
          </cell>
          <cell r="N163">
            <v>0.41173910941352804</v>
          </cell>
          <cell r="O163">
            <v>66</v>
          </cell>
          <cell r="P163">
            <v>3.1910264468404002E-3</v>
          </cell>
          <cell r="Q163">
            <v>4088</v>
          </cell>
          <cell r="R163">
            <v>0.19765024416187207</v>
          </cell>
          <cell r="S163">
            <v>177</v>
          </cell>
          <cell r="T163">
            <v>8.5577527437992549E-3</v>
          </cell>
          <cell r="U163">
            <v>4076</v>
          </cell>
          <cell r="V163">
            <v>0.19707005753517381</v>
          </cell>
          <cell r="W163">
            <v>109</v>
          </cell>
          <cell r="X163">
            <v>1.279943635509629E-2</v>
          </cell>
          <cell r="Y163">
            <v>0</v>
          </cell>
          <cell r="Z163">
            <v>0</v>
          </cell>
        </row>
        <row r="165">
          <cell r="J165" t="str">
            <v>As of 30th September 1999</v>
          </cell>
        </row>
        <row r="167">
          <cell r="D167" t="str">
            <v>September FY 97 *</v>
          </cell>
          <cell r="I167" t="str">
            <v>|</v>
          </cell>
          <cell r="M167" t="str">
            <v>PAST DUE</v>
          </cell>
          <cell r="Y167" t="str">
            <v>Total Bad</v>
          </cell>
          <cell r="Z167" t="str">
            <v>Provision for</v>
          </cell>
        </row>
        <row r="168">
          <cell r="B168" t="str">
            <v>CURRENCY</v>
          </cell>
          <cell r="C168" t="str">
            <v>SALES</v>
          </cell>
          <cell r="D168" t="str">
            <v>TAR</v>
          </cell>
          <cell r="E168" t="str">
            <v>DSO</v>
          </cell>
          <cell r="G168" t="str">
            <v>PAST DUE</v>
          </cell>
          <cell r="I168" t="str">
            <v>|</v>
          </cell>
          <cell r="J168" t="str">
            <v>SALES</v>
          </cell>
          <cell r="K168" t="str">
            <v>TAR</v>
          </cell>
          <cell r="L168" t="str">
            <v>DSO</v>
          </cell>
          <cell r="M168" t="str">
            <v>TOTAL PAST DUE</v>
          </cell>
          <cell r="O168" t="str">
            <v>0-30 Days PD</v>
          </cell>
          <cell r="Q168" t="str">
            <v>31-60 Days PD</v>
          </cell>
          <cell r="S168" t="str">
            <v>61-90 Days PD</v>
          </cell>
          <cell r="U168" t="str">
            <v>91-180 Days PD</v>
          </cell>
          <cell r="W168" t="str">
            <v>180+ Days PD</v>
          </cell>
          <cell r="Y168" t="str">
            <v>Debt Recovery</v>
          </cell>
          <cell r="Z168" t="str">
            <v>Bad Debt</v>
          </cell>
        </row>
        <row r="169">
          <cell r="C169" t="str">
            <v>LCL</v>
          </cell>
          <cell r="D169" t="str">
            <v>LCL</v>
          </cell>
          <cell r="E169" t="str">
            <v>Days</v>
          </cell>
          <cell r="G169" t="str">
            <v>LCL</v>
          </cell>
          <cell r="H169" t="str">
            <v>%</v>
          </cell>
          <cell r="I169" t="str">
            <v>|</v>
          </cell>
          <cell r="J169" t="str">
            <v>LCL</v>
          </cell>
          <cell r="K169" t="str">
            <v>LCL</v>
          </cell>
          <cell r="L169" t="str">
            <v>Days</v>
          </cell>
          <cell r="M169" t="str">
            <v>LCL</v>
          </cell>
          <cell r="N169" t="str">
            <v>%</v>
          </cell>
          <cell r="O169" t="str">
            <v>LCL</v>
          </cell>
          <cell r="P169" t="str">
            <v>%</v>
          </cell>
          <cell r="Q169" t="str">
            <v>LCL</v>
          </cell>
          <cell r="R169" t="str">
            <v>%</v>
          </cell>
          <cell r="S169" t="str">
            <v>LCL</v>
          </cell>
          <cell r="T169" t="str">
            <v>%</v>
          </cell>
          <cell r="U169" t="str">
            <v>LCL</v>
          </cell>
          <cell r="V169" t="str">
            <v>%</v>
          </cell>
          <cell r="W169" t="str">
            <v>LCL</v>
          </cell>
          <cell r="X169" t="str">
            <v>%</v>
          </cell>
          <cell r="Y169" t="str">
            <v>LCL</v>
          </cell>
          <cell r="Z169" t="str">
            <v>LCL</v>
          </cell>
        </row>
        <row r="170">
          <cell r="I170" t="str">
            <v>|</v>
          </cell>
        </row>
        <row r="171">
          <cell r="A171" t="str">
            <v>Equipment</v>
          </cell>
          <cell r="B171" t="str">
            <v>GBP</v>
          </cell>
          <cell r="C171">
            <v>20077</v>
          </cell>
          <cell r="D171">
            <v>17848</v>
          </cell>
          <cell r="E171">
            <v>56.899068348586034</v>
          </cell>
          <cell r="G171">
            <v>10339</v>
          </cell>
          <cell r="H171">
            <v>0.57928059166293144</v>
          </cell>
          <cell r="I171" t="str">
            <v>|</v>
          </cell>
          <cell r="J171">
            <v>12281</v>
          </cell>
          <cell r="K171">
            <v>23789</v>
          </cell>
          <cell r="L171">
            <v>164.46330286591859</v>
          </cell>
          <cell r="M171">
            <v>11171</v>
          </cell>
          <cell r="N171">
            <v>0.46958678380764218</v>
          </cell>
          <cell r="O171">
            <v>3335</v>
          </cell>
          <cell r="P171">
            <v>0.14019084450796587</v>
          </cell>
          <cell r="Q171">
            <v>63</v>
          </cell>
          <cell r="R171">
            <v>0</v>
          </cell>
          <cell r="S171">
            <v>3971</v>
          </cell>
          <cell r="T171">
            <v>0.16692589011728109</v>
          </cell>
          <cell r="U171">
            <v>3407</v>
          </cell>
          <cell r="V171">
            <v>0</v>
          </cell>
          <cell r="W171">
            <v>395</v>
          </cell>
          <cell r="X171">
            <v>3.5359412765195594E-2</v>
          </cell>
          <cell r="Y171">
            <v>0</v>
          </cell>
          <cell r="Z171">
            <v>0</v>
          </cell>
        </row>
        <row r="172">
          <cell r="A172" t="str">
            <v>PED1</v>
          </cell>
          <cell r="C172">
            <v>20077</v>
          </cell>
          <cell r="D172">
            <v>17848</v>
          </cell>
          <cell r="E172">
            <v>56.899068348586034</v>
          </cell>
          <cell r="G172">
            <v>10339</v>
          </cell>
          <cell r="H172">
            <v>0.57928059166293144</v>
          </cell>
          <cell r="I172" t="str">
            <v>|</v>
          </cell>
          <cell r="J172">
            <v>12281</v>
          </cell>
          <cell r="K172">
            <v>23789</v>
          </cell>
          <cell r="L172">
            <v>164.46330286591859</v>
          </cell>
          <cell r="M172">
            <v>11171</v>
          </cell>
          <cell r="N172">
            <v>0.46958678380764218</v>
          </cell>
          <cell r="O172">
            <v>3335</v>
          </cell>
          <cell r="P172">
            <v>0.14019084450796587</v>
          </cell>
          <cell r="Q172">
            <v>63</v>
          </cell>
          <cell r="R172">
            <v>2.6482828197906595E-3</v>
          </cell>
          <cell r="S172">
            <v>3971</v>
          </cell>
          <cell r="T172">
            <v>0.16692589011728109</v>
          </cell>
          <cell r="U172">
            <v>3407</v>
          </cell>
          <cell r="V172">
            <v>0.14321745344486947</v>
          </cell>
          <cell r="W172">
            <v>395</v>
          </cell>
          <cell r="X172">
            <v>3.5359412765195594E-2</v>
          </cell>
          <cell r="Y172">
            <v>0</v>
          </cell>
          <cell r="Z172">
            <v>0</v>
          </cell>
        </row>
        <row r="174">
          <cell r="J174" t="str">
            <v>As of 31st October 1999</v>
          </cell>
        </row>
        <row r="176">
          <cell r="D176" t="str">
            <v>September FY 97 *</v>
          </cell>
          <cell r="I176" t="str">
            <v>|</v>
          </cell>
          <cell r="M176" t="str">
            <v>PAST DUE</v>
          </cell>
          <cell r="Y176" t="str">
            <v>Total Bad</v>
          </cell>
          <cell r="Z176" t="str">
            <v>Provision for</v>
          </cell>
        </row>
        <row r="177">
          <cell r="B177" t="str">
            <v>CURRENCY</v>
          </cell>
          <cell r="C177" t="str">
            <v>SALES</v>
          </cell>
          <cell r="D177" t="str">
            <v>TAR</v>
          </cell>
          <cell r="E177" t="str">
            <v>DSO</v>
          </cell>
          <cell r="G177" t="str">
            <v>PAST DUE</v>
          </cell>
          <cell r="I177" t="str">
            <v>|</v>
          </cell>
          <cell r="J177" t="str">
            <v>SALES</v>
          </cell>
          <cell r="K177" t="str">
            <v>TAR</v>
          </cell>
          <cell r="L177" t="str">
            <v>DSO</v>
          </cell>
          <cell r="M177" t="str">
            <v>TOTAL PAST DUE</v>
          </cell>
          <cell r="O177" t="str">
            <v>0-30 Days PD</v>
          </cell>
          <cell r="Q177" t="str">
            <v>31-60 Days PD</v>
          </cell>
          <cell r="S177" t="str">
            <v>61-90 Days PD</v>
          </cell>
          <cell r="U177" t="str">
            <v>91-180 Days PD</v>
          </cell>
          <cell r="W177" t="str">
            <v>180+ Days PD</v>
          </cell>
          <cell r="Y177" t="str">
            <v>Debt Recovery</v>
          </cell>
          <cell r="Z177" t="str">
            <v>Bad Debt</v>
          </cell>
        </row>
        <row r="178">
          <cell r="C178" t="str">
            <v>LCL</v>
          </cell>
          <cell r="D178" t="str">
            <v>LCL</v>
          </cell>
          <cell r="E178" t="str">
            <v>Days</v>
          </cell>
          <cell r="G178" t="str">
            <v>LCL</v>
          </cell>
          <cell r="H178" t="str">
            <v>%</v>
          </cell>
          <cell r="I178" t="str">
            <v>|</v>
          </cell>
          <cell r="J178" t="str">
            <v>LCL</v>
          </cell>
          <cell r="K178" t="str">
            <v>LCL</v>
          </cell>
          <cell r="L178" t="str">
            <v>Days</v>
          </cell>
          <cell r="M178" t="str">
            <v>LCL</v>
          </cell>
          <cell r="N178" t="str">
            <v>%</v>
          </cell>
          <cell r="O178" t="str">
            <v>LCL</v>
          </cell>
          <cell r="P178" t="str">
            <v>%</v>
          </cell>
          <cell r="Q178" t="str">
            <v>LCL</v>
          </cell>
          <cell r="R178" t="str">
            <v>%</v>
          </cell>
          <cell r="S178" t="str">
            <v>LCL</v>
          </cell>
          <cell r="T178" t="str">
            <v>%</v>
          </cell>
          <cell r="U178" t="str">
            <v>LCL</v>
          </cell>
          <cell r="V178" t="str">
            <v>%</v>
          </cell>
          <cell r="W178" t="str">
            <v>LCL</v>
          </cell>
          <cell r="X178" t="str">
            <v>%</v>
          </cell>
          <cell r="Y178" t="str">
            <v>LCL</v>
          </cell>
          <cell r="Z178" t="str">
            <v>LCL</v>
          </cell>
        </row>
        <row r="179">
          <cell r="I179" t="str">
            <v>|</v>
          </cell>
        </row>
        <row r="180">
          <cell r="A180" t="str">
            <v>Equipment</v>
          </cell>
          <cell r="B180" t="str">
            <v>GBP</v>
          </cell>
          <cell r="C180">
            <v>20077</v>
          </cell>
          <cell r="D180">
            <v>17848</v>
          </cell>
          <cell r="E180">
            <v>56.899068348586034</v>
          </cell>
          <cell r="G180">
            <v>10339</v>
          </cell>
          <cell r="H180">
            <v>0.57928059166293144</v>
          </cell>
          <cell r="I180" t="str">
            <v>|</v>
          </cell>
          <cell r="J180">
            <v>128.495</v>
          </cell>
          <cell r="K180">
            <v>14449.817999999999</v>
          </cell>
          <cell r="L180">
            <v>133.66397309759702</v>
          </cell>
          <cell r="M180">
            <v>4923.9840000000004</v>
          </cell>
          <cell r="N180">
            <v>0.34076443038936549</v>
          </cell>
          <cell r="O180">
            <v>2428.1210000000001</v>
          </cell>
          <cell r="P180">
            <v>0.16803817183026112</v>
          </cell>
          <cell r="Q180">
            <v>1096.73</v>
          </cell>
          <cell r="R180">
            <v>0</v>
          </cell>
          <cell r="S180">
            <v>38.936999999999998</v>
          </cell>
          <cell r="T180">
            <v>2.6946360154847626E-3</v>
          </cell>
          <cell r="U180">
            <v>1.258</v>
          </cell>
          <cell r="V180">
            <v>0</v>
          </cell>
          <cell r="W180">
            <v>1358.9380000000001</v>
          </cell>
          <cell r="X180">
            <v>0.27598343130278247</v>
          </cell>
          <cell r="Y180">
            <v>0</v>
          </cell>
          <cell r="Z180">
            <v>0</v>
          </cell>
        </row>
        <row r="181">
          <cell r="A181" t="str">
            <v>PED1</v>
          </cell>
          <cell r="C181">
            <v>20077</v>
          </cell>
          <cell r="D181">
            <v>17848</v>
          </cell>
          <cell r="E181">
            <v>56.899068348586034</v>
          </cell>
          <cell r="G181">
            <v>10339</v>
          </cell>
          <cell r="H181">
            <v>0.57928059166293144</v>
          </cell>
          <cell r="I181" t="str">
            <v>|</v>
          </cell>
          <cell r="J181">
            <v>128.495</v>
          </cell>
          <cell r="K181">
            <v>14449.817999999999</v>
          </cell>
          <cell r="L181">
            <v>133.66397309759702</v>
          </cell>
          <cell r="M181">
            <v>4923.9840000000004</v>
          </cell>
          <cell r="N181">
            <v>0.34076443038936549</v>
          </cell>
          <cell r="O181">
            <v>2428.1210000000001</v>
          </cell>
          <cell r="P181">
            <v>0.16803817183026112</v>
          </cell>
          <cell r="Q181">
            <v>1096.73</v>
          </cell>
          <cell r="R181">
            <v>7.5899225858761687E-2</v>
          </cell>
          <cell r="S181">
            <v>38.936999999999998</v>
          </cell>
          <cell r="T181">
            <v>2.6946360154847626E-3</v>
          </cell>
          <cell r="U181">
            <v>1.258</v>
          </cell>
          <cell r="V181">
            <v>8.7059920062661008E-5</v>
          </cell>
          <cell r="W181">
            <v>1358.9380000000001</v>
          </cell>
          <cell r="X181">
            <v>0.27598343130278247</v>
          </cell>
          <cell r="Y181">
            <v>0</v>
          </cell>
          <cell r="Z181">
            <v>0</v>
          </cell>
        </row>
        <row r="183">
          <cell r="J183" t="str">
            <v>As of 30th November 1999</v>
          </cell>
        </row>
        <row r="185">
          <cell r="D185" t="str">
            <v>September FY 97 *</v>
          </cell>
          <cell r="I185" t="str">
            <v>|</v>
          </cell>
          <cell r="M185" t="str">
            <v>PAST DUE</v>
          </cell>
          <cell r="Y185" t="str">
            <v>Total Bad</v>
          </cell>
          <cell r="Z185" t="str">
            <v>Provision for</v>
          </cell>
        </row>
        <row r="186">
          <cell r="B186" t="str">
            <v>CURRENCY</v>
          </cell>
          <cell r="C186" t="str">
            <v>SALES</v>
          </cell>
          <cell r="D186" t="str">
            <v>TAR</v>
          </cell>
          <cell r="E186" t="str">
            <v>DSO</v>
          </cell>
          <cell r="G186" t="str">
            <v>PAST DUE</v>
          </cell>
          <cell r="I186" t="str">
            <v>|</v>
          </cell>
          <cell r="J186" t="str">
            <v>SALES</v>
          </cell>
          <cell r="K186" t="str">
            <v>TAR</v>
          </cell>
          <cell r="L186" t="str">
            <v>DSO</v>
          </cell>
          <cell r="M186" t="str">
            <v>TOTAL PAST DUE</v>
          </cell>
          <cell r="O186" t="str">
            <v>0-30 Days PD</v>
          </cell>
          <cell r="Q186" t="str">
            <v>31-60 Days PD</v>
          </cell>
          <cell r="S186" t="str">
            <v>61-90 Days PD</v>
          </cell>
          <cell r="U186" t="str">
            <v>91-180 Days PD</v>
          </cell>
          <cell r="W186" t="str">
            <v>180+ Days PD</v>
          </cell>
          <cell r="Y186" t="str">
            <v>Debt Recovery</v>
          </cell>
          <cell r="Z186" t="str">
            <v>Bad Debt</v>
          </cell>
        </row>
        <row r="187">
          <cell r="C187" t="str">
            <v>LCL</v>
          </cell>
          <cell r="D187" t="str">
            <v>LCL</v>
          </cell>
          <cell r="E187" t="str">
            <v>Days</v>
          </cell>
          <cell r="G187" t="str">
            <v>LCL</v>
          </cell>
          <cell r="H187" t="str">
            <v>%</v>
          </cell>
          <cell r="I187" t="str">
            <v>|</v>
          </cell>
          <cell r="J187" t="str">
            <v>LCL</v>
          </cell>
          <cell r="K187" t="str">
            <v>LCL</v>
          </cell>
          <cell r="L187" t="str">
            <v>Days</v>
          </cell>
          <cell r="M187" t="str">
            <v>LCL</v>
          </cell>
          <cell r="N187" t="str">
            <v>%</v>
          </cell>
          <cell r="O187" t="str">
            <v>LCL</v>
          </cell>
          <cell r="P187" t="str">
            <v>%</v>
          </cell>
          <cell r="Q187" t="str">
            <v>LCL</v>
          </cell>
          <cell r="R187" t="str">
            <v>%</v>
          </cell>
          <cell r="S187" t="str">
            <v>LCL</v>
          </cell>
          <cell r="T187" t="str">
            <v>%</v>
          </cell>
          <cell r="U187" t="str">
            <v>LCL</v>
          </cell>
          <cell r="V187" t="str">
            <v>%</v>
          </cell>
          <cell r="W187" t="str">
            <v>LCL</v>
          </cell>
          <cell r="X187" t="str">
            <v>%</v>
          </cell>
          <cell r="Y187" t="str">
            <v>LCL</v>
          </cell>
          <cell r="Z187" t="str">
            <v>LCL</v>
          </cell>
        </row>
        <row r="188">
          <cell r="I188" t="str">
            <v>|</v>
          </cell>
        </row>
        <row r="189">
          <cell r="A189" t="str">
            <v>Equipment</v>
          </cell>
          <cell r="B189" t="str">
            <v>GBP</v>
          </cell>
          <cell r="C189">
            <v>20077</v>
          </cell>
          <cell r="D189">
            <v>17848</v>
          </cell>
          <cell r="E189">
            <v>56.899068348586034</v>
          </cell>
          <cell r="G189">
            <v>10339</v>
          </cell>
          <cell r="H189">
            <v>0.57928059166293144</v>
          </cell>
          <cell r="I189" t="str">
            <v>|</v>
          </cell>
          <cell r="J189">
            <v>890</v>
          </cell>
          <cell r="K189">
            <v>12723</v>
          </cell>
          <cell r="L189">
            <v>116.23312108216639</v>
          </cell>
          <cell r="M189">
            <v>7603</v>
          </cell>
          <cell r="N189">
            <v>0.59757918729859305</v>
          </cell>
          <cell r="O189">
            <v>6130</v>
          </cell>
          <cell r="P189">
            <v>0.48180460583195789</v>
          </cell>
          <cell r="Q189">
            <v>86</v>
          </cell>
          <cell r="R189">
            <v>0</v>
          </cell>
          <cell r="S189">
            <v>39</v>
          </cell>
          <cell r="T189">
            <v>3.0653147842489977E-3</v>
          </cell>
          <cell r="U189">
            <v>40</v>
          </cell>
          <cell r="V189">
            <v>0</v>
          </cell>
          <cell r="W189">
            <v>1310</v>
          </cell>
          <cell r="X189">
            <v>0.1723004077337893</v>
          </cell>
          <cell r="Y189">
            <v>0</v>
          </cell>
          <cell r="Z189">
            <v>0</v>
          </cell>
        </row>
        <row r="190">
          <cell r="A190" t="str">
            <v>PED1</v>
          </cell>
          <cell r="C190">
            <v>20077</v>
          </cell>
          <cell r="D190">
            <v>17848</v>
          </cell>
          <cell r="E190">
            <v>56.899068348586034</v>
          </cell>
          <cell r="G190">
            <v>10339</v>
          </cell>
          <cell r="H190">
            <v>0.57928059166293144</v>
          </cell>
          <cell r="I190" t="str">
            <v>|</v>
          </cell>
          <cell r="J190">
            <v>890</v>
          </cell>
          <cell r="K190">
            <v>12723</v>
          </cell>
          <cell r="L190">
            <v>116.23312108216639</v>
          </cell>
          <cell r="M190">
            <v>7603</v>
          </cell>
          <cell r="N190">
            <v>0.59757918729859305</v>
          </cell>
          <cell r="O190">
            <v>6130</v>
          </cell>
          <cell r="P190">
            <v>0.48180460583195789</v>
          </cell>
          <cell r="Q190">
            <v>86</v>
          </cell>
          <cell r="R190">
            <v>6.7594120883439444E-3</v>
          </cell>
          <cell r="S190">
            <v>39</v>
          </cell>
          <cell r="T190">
            <v>3.0653147842489977E-3</v>
          </cell>
          <cell r="U190">
            <v>40</v>
          </cell>
          <cell r="V190">
            <v>3.1439125992297414E-3</v>
          </cell>
          <cell r="W190">
            <v>1310</v>
          </cell>
          <cell r="X190">
            <v>0.1723004077337893</v>
          </cell>
          <cell r="Y190">
            <v>0</v>
          </cell>
          <cell r="Z190">
            <v>0</v>
          </cell>
        </row>
        <row r="192">
          <cell r="J192" t="str">
            <v>As of 31st December 1999</v>
          </cell>
        </row>
        <row r="194">
          <cell r="D194" t="str">
            <v>September FY 97 *</v>
          </cell>
          <cell r="I194" t="str">
            <v>|</v>
          </cell>
          <cell r="M194" t="str">
            <v>PAST DUE</v>
          </cell>
          <cell r="Y194" t="str">
            <v>Total Bad</v>
          </cell>
          <cell r="Z194" t="str">
            <v>Provision for</v>
          </cell>
        </row>
        <row r="195">
          <cell r="B195" t="str">
            <v>CURRENCY</v>
          </cell>
          <cell r="C195" t="str">
            <v>SALES</v>
          </cell>
          <cell r="D195" t="str">
            <v>TAR</v>
          </cell>
          <cell r="E195" t="str">
            <v>DSO</v>
          </cell>
          <cell r="G195" t="str">
            <v>PAST DUE</v>
          </cell>
          <cell r="I195" t="str">
            <v>|</v>
          </cell>
          <cell r="J195" t="str">
            <v>SALES</v>
          </cell>
          <cell r="K195" t="str">
            <v>TAR</v>
          </cell>
          <cell r="L195" t="str">
            <v>DSO</v>
          </cell>
          <cell r="M195" t="str">
            <v>TOTAL PAST DUE</v>
          </cell>
          <cell r="O195" t="str">
            <v>0-30 Days PD</v>
          </cell>
          <cell r="Q195" t="str">
            <v>31-60 Days PD</v>
          </cell>
          <cell r="S195" t="str">
            <v>61-90 Days PD</v>
          </cell>
          <cell r="U195" t="str">
            <v>91-180 Days PD</v>
          </cell>
          <cell r="W195" t="str">
            <v>180+ Days PD</v>
          </cell>
          <cell r="Y195" t="str">
            <v>Debt Recovery</v>
          </cell>
          <cell r="Z195" t="str">
            <v>Bad Debt</v>
          </cell>
        </row>
        <row r="196">
          <cell r="C196" t="str">
            <v>LCL</v>
          </cell>
          <cell r="D196" t="str">
            <v>LCL</v>
          </cell>
          <cell r="E196" t="str">
            <v>Days</v>
          </cell>
          <cell r="G196" t="str">
            <v>LCL</v>
          </cell>
          <cell r="H196" t="str">
            <v>%</v>
          </cell>
          <cell r="I196" t="str">
            <v>|</v>
          </cell>
          <cell r="J196" t="str">
            <v>LCL</v>
          </cell>
          <cell r="K196" t="str">
            <v>LCL</v>
          </cell>
          <cell r="L196" t="str">
            <v>Days</v>
          </cell>
          <cell r="M196" t="str">
            <v>LCL</v>
          </cell>
          <cell r="N196" t="str">
            <v>%</v>
          </cell>
          <cell r="O196" t="str">
            <v>LCL</v>
          </cell>
          <cell r="P196" t="str">
            <v>%</v>
          </cell>
          <cell r="Q196" t="str">
            <v>LCL</v>
          </cell>
          <cell r="R196" t="str">
            <v>%</v>
          </cell>
          <cell r="S196" t="str">
            <v>LCL</v>
          </cell>
          <cell r="T196" t="str">
            <v>%</v>
          </cell>
          <cell r="U196" t="str">
            <v>LCL</v>
          </cell>
          <cell r="V196" t="str">
            <v>%</v>
          </cell>
          <cell r="W196" t="str">
            <v>LCL</v>
          </cell>
          <cell r="X196" t="str">
            <v>%</v>
          </cell>
          <cell r="Y196" t="str">
            <v>LCL</v>
          </cell>
          <cell r="Z196" t="str">
            <v>LCL</v>
          </cell>
        </row>
        <row r="197">
          <cell r="I197" t="str">
            <v>|</v>
          </cell>
        </row>
        <row r="198">
          <cell r="A198" t="str">
            <v>Equipment</v>
          </cell>
          <cell r="B198" t="str">
            <v>GBP</v>
          </cell>
          <cell r="C198">
            <v>20077</v>
          </cell>
          <cell r="D198">
            <v>17848</v>
          </cell>
          <cell r="E198">
            <v>56.899068348586034</v>
          </cell>
          <cell r="G198">
            <v>10339</v>
          </cell>
          <cell r="H198">
            <v>0.57928059166293144</v>
          </cell>
          <cell r="I198" t="str">
            <v>|</v>
          </cell>
          <cell r="J198">
            <v>8148</v>
          </cell>
          <cell r="K198">
            <v>6432</v>
          </cell>
          <cell r="L198">
            <v>112.42549655020811</v>
          </cell>
          <cell r="M198">
            <v>5679</v>
          </cell>
          <cell r="N198">
            <v>0.88292910447761197</v>
          </cell>
          <cell r="O198">
            <v>1742</v>
          </cell>
          <cell r="P198">
            <v>0.27083333333333331</v>
          </cell>
          <cell r="Q198">
            <v>3205</v>
          </cell>
          <cell r="R198">
            <v>0</v>
          </cell>
          <cell r="S198">
            <v>18</v>
          </cell>
          <cell r="T198">
            <v>2.798507462686567E-3</v>
          </cell>
          <cell r="U198">
            <v>78</v>
          </cell>
          <cell r="V198">
            <v>0</v>
          </cell>
          <cell r="W198">
            <v>636</v>
          </cell>
          <cell r="X198">
            <v>0.11199154780771263</v>
          </cell>
          <cell r="Y198">
            <v>0</v>
          </cell>
          <cell r="Z198">
            <v>0</v>
          </cell>
        </row>
        <row r="199">
          <cell r="A199" t="str">
            <v>PED1</v>
          </cell>
          <cell r="C199">
            <v>20077</v>
          </cell>
          <cell r="D199">
            <v>17848</v>
          </cell>
          <cell r="E199">
            <v>56.899068348586034</v>
          </cell>
          <cell r="G199">
            <v>10339</v>
          </cell>
          <cell r="H199">
            <v>0.57928059166293144</v>
          </cell>
          <cell r="I199" t="str">
            <v>|</v>
          </cell>
          <cell r="J199">
            <v>8148</v>
          </cell>
          <cell r="K199">
            <v>6432</v>
          </cell>
          <cell r="L199">
            <v>112.42549655020811</v>
          </cell>
          <cell r="M199">
            <v>5679</v>
          </cell>
          <cell r="N199">
            <v>0.88292910447761197</v>
          </cell>
          <cell r="O199">
            <v>1742</v>
          </cell>
          <cell r="P199">
            <v>0.27083333333333331</v>
          </cell>
          <cell r="Q199">
            <v>3205</v>
          </cell>
          <cell r="R199">
            <v>0.4982898009950249</v>
          </cell>
          <cell r="S199">
            <v>18</v>
          </cell>
          <cell r="T199">
            <v>2.798507462686567E-3</v>
          </cell>
          <cell r="U199">
            <v>78</v>
          </cell>
          <cell r="V199">
            <v>1.2126865671641791E-2</v>
          </cell>
          <cell r="W199">
            <v>636</v>
          </cell>
          <cell r="X199">
            <v>0.11199154780771263</v>
          </cell>
          <cell r="Y199">
            <v>0</v>
          </cell>
          <cell r="Z199">
            <v>0</v>
          </cell>
        </row>
      </sheetData>
      <sheetData sheetId="2" refreshError="1">
        <row r="193">
          <cell r="A193" t="str">
            <v>x</v>
          </cell>
          <cell r="J193" t="str">
            <v>As of 31st August 1999 (Local July 99)</v>
          </cell>
        </row>
        <row r="195">
          <cell r="D195" t="str">
            <v>September FY 97 (Local August)</v>
          </cell>
          <cell r="M195" t="str">
            <v>PAST DUE</v>
          </cell>
          <cell r="Y195" t="str">
            <v>Total Debt</v>
          </cell>
          <cell r="Z195" t="str">
            <v>Provision for</v>
          </cell>
        </row>
        <row r="196">
          <cell r="B196" t="str">
            <v>CURRENCY</v>
          </cell>
          <cell r="C196" t="str">
            <v>SALES</v>
          </cell>
          <cell r="D196" t="str">
            <v>TAR</v>
          </cell>
          <cell r="E196" t="str">
            <v>DSO</v>
          </cell>
          <cell r="G196" t="str">
            <v>PAST DUE</v>
          </cell>
          <cell r="J196" t="str">
            <v>SALES</v>
          </cell>
          <cell r="K196" t="str">
            <v>TAR</v>
          </cell>
          <cell r="L196" t="str">
            <v>DSO</v>
          </cell>
          <cell r="M196" t="str">
            <v>TOTAL PAST DUE</v>
          </cell>
          <cell r="O196" t="str">
            <v>0-30 Days PD</v>
          </cell>
          <cell r="Q196" t="str">
            <v>31-60 Days PD</v>
          </cell>
          <cell r="S196" t="str">
            <v>61-90 Days PD</v>
          </cell>
          <cell r="U196" t="str">
            <v>91-180 Days PD</v>
          </cell>
          <cell r="W196" t="str">
            <v>180+ Days PD</v>
          </cell>
          <cell r="Y196" t="str">
            <v>Recovery</v>
          </cell>
          <cell r="Z196" t="str">
            <v>Bad debt</v>
          </cell>
        </row>
        <row r="197">
          <cell r="C197" t="str">
            <v>LCL</v>
          </cell>
          <cell r="D197" t="str">
            <v>LCL</v>
          </cell>
          <cell r="E197" t="str">
            <v>Days</v>
          </cell>
          <cell r="G197" t="str">
            <v>LCL</v>
          </cell>
          <cell r="H197" t="str">
            <v>%</v>
          </cell>
          <cell r="J197" t="str">
            <v>LCL</v>
          </cell>
          <cell r="K197" t="str">
            <v>LCL</v>
          </cell>
          <cell r="L197" t="str">
            <v>Days</v>
          </cell>
          <cell r="M197" t="str">
            <v>LCL</v>
          </cell>
          <cell r="N197" t="str">
            <v>%</v>
          </cell>
          <cell r="O197" t="str">
            <v>LCL</v>
          </cell>
          <cell r="P197" t="str">
            <v>%</v>
          </cell>
          <cell r="Q197" t="str">
            <v>LCL</v>
          </cell>
          <cell r="R197" t="str">
            <v>%</v>
          </cell>
          <cell r="S197" t="str">
            <v>LCL</v>
          </cell>
          <cell r="T197" t="str">
            <v>%</v>
          </cell>
          <cell r="U197" t="str">
            <v>LCL</v>
          </cell>
          <cell r="V197" t="str">
            <v>%</v>
          </cell>
          <cell r="W197" t="str">
            <v>LCL</v>
          </cell>
          <cell r="X197" t="str">
            <v>%</v>
          </cell>
          <cell r="Y197" t="str">
            <v>LCL</v>
          </cell>
          <cell r="Z197" t="str">
            <v>LCL</v>
          </cell>
        </row>
        <row r="198">
          <cell r="A198" t="str">
            <v>Central Europe</v>
          </cell>
        </row>
        <row r="199">
          <cell r="A199" t="str">
            <v>Czech Republic</v>
          </cell>
          <cell r="B199" t="str">
            <v>CZK 000</v>
          </cell>
          <cell r="C199">
            <v>0</v>
          </cell>
          <cell r="D199">
            <v>113961</v>
          </cell>
          <cell r="E199">
            <v>0</v>
          </cell>
          <cell r="G199">
            <v>0</v>
          </cell>
          <cell r="H199">
            <v>0</v>
          </cell>
          <cell r="J199">
            <v>45892</v>
          </cell>
          <cell r="K199">
            <v>111443</v>
          </cell>
          <cell r="L199">
            <v>68.650124192133262</v>
          </cell>
          <cell r="M199">
            <v>51271</v>
          </cell>
          <cell r="N199">
            <v>0.46006478648277593</v>
          </cell>
          <cell r="O199">
            <v>13746</v>
          </cell>
          <cell r="P199">
            <v>0.12334556679199232</v>
          </cell>
          <cell r="Q199">
            <v>5623</v>
          </cell>
          <cell r="R199">
            <v>5.0456287070520356E-2</v>
          </cell>
          <cell r="S199">
            <v>3791</v>
          </cell>
          <cell r="T199">
            <v>3.401739005590302E-2</v>
          </cell>
          <cell r="U199">
            <v>5848</v>
          </cell>
          <cell r="V199">
            <v>5.2475256409105997E-2</v>
          </cell>
          <cell r="W199">
            <v>22263</v>
          </cell>
          <cell r="X199">
            <v>0.43422207485713171</v>
          </cell>
          <cell r="Y199">
            <v>14720</v>
          </cell>
          <cell r="Z199">
            <v>20775</v>
          </cell>
        </row>
        <row r="200">
          <cell r="A200" t="str">
            <v>Slovak Republic</v>
          </cell>
          <cell r="B200" t="str">
            <v>CZK 000</v>
          </cell>
          <cell r="C200">
            <v>0</v>
          </cell>
          <cell r="D200">
            <v>0</v>
          </cell>
          <cell r="E200">
            <v>0</v>
          </cell>
          <cell r="G200">
            <v>0</v>
          </cell>
          <cell r="H200" t="e">
            <v>#DIV/0!</v>
          </cell>
          <cell r="J200">
            <v>0</v>
          </cell>
          <cell r="K200">
            <v>0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0</v>
          </cell>
          <cell r="Y200">
            <v>0</v>
          </cell>
          <cell r="Z200">
            <v>0</v>
          </cell>
        </row>
        <row r="201">
          <cell r="A201" t="str">
            <v>Poland</v>
          </cell>
          <cell r="B201" t="str">
            <v>PLZ 000</v>
          </cell>
          <cell r="C201">
            <v>0</v>
          </cell>
          <cell r="D201">
            <v>1687.434</v>
          </cell>
          <cell r="E201">
            <v>0</v>
          </cell>
          <cell r="G201">
            <v>0</v>
          </cell>
          <cell r="H201">
            <v>0</v>
          </cell>
          <cell r="J201">
            <v>2176</v>
          </cell>
          <cell r="K201">
            <v>3258</v>
          </cell>
          <cell r="L201">
            <v>46.235211798266867</v>
          </cell>
          <cell r="M201">
            <v>1692</v>
          </cell>
          <cell r="N201">
            <v>0.51933701657458564</v>
          </cell>
          <cell r="O201">
            <v>1420</v>
          </cell>
          <cell r="P201">
            <v>0.43585021485573971</v>
          </cell>
          <cell r="Q201">
            <v>205</v>
          </cell>
          <cell r="R201">
            <v>6.2922038060159613E-2</v>
          </cell>
          <cell r="S201">
            <v>8</v>
          </cell>
          <cell r="T201">
            <v>2.4554941682013503E-3</v>
          </cell>
          <cell r="U201">
            <v>59</v>
          </cell>
          <cell r="V201">
            <v>1.8109269490484959E-2</v>
          </cell>
          <cell r="W201">
            <v>0</v>
          </cell>
          <cell r="X201">
            <v>0</v>
          </cell>
          <cell r="Y201">
            <v>0</v>
          </cell>
          <cell r="Z201">
            <v>77</v>
          </cell>
        </row>
        <row r="202">
          <cell r="A202" t="str">
            <v>Subtotal Central Europe</v>
          </cell>
          <cell r="C202">
            <v>0</v>
          </cell>
          <cell r="D202">
            <v>115648.43399999999</v>
          </cell>
          <cell r="E202">
            <v>0</v>
          </cell>
          <cell r="G202">
            <v>0</v>
          </cell>
          <cell r="H202">
            <v>0</v>
          </cell>
          <cell r="J202">
            <v>48068</v>
          </cell>
          <cell r="K202">
            <v>114701</v>
          </cell>
          <cell r="L202">
            <v>67.824032912994397</v>
          </cell>
          <cell r="M202">
            <v>52963</v>
          </cell>
          <cell r="N202">
            <v>0.46174837185377632</v>
          </cell>
          <cell r="O202">
            <v>15166</v>
          </cell>
          <cell r="P202">
            <v>0.1322220381688041</v>
          </cell>
          <cell r="Q202">
            <v>5828</v>
          </cell>
          <cell r="R202">
            <v>5.081036782591259E-2</v>
          </cell>
          <cell r="S202">
            <v>3799</v>
          </cell>
          <cell r="T202">
            <v>3.3120896940741579E-2</v>
          </cell>
          <cell r="U202">
            <v>5907</v>
          </cell>
          <cell r="V202">
            <v>5.1499115090539754E-2</v>
          </cell>
          <cell r="W202">
            <v>22263</v>
          </cell>
          <cell r="X202">
            <v>0.42035005569926176</v>
          </cell>
          <cell r="Y202">
            <v>14720</v>
          </cell>
          <cell r="Z202">
            <v>20852</v>
          </cell>
        </row>
        <row r="204">
          <cell r="A204" t="str">
            <v>x</v>
          </cell>
          <cell r="J204" t="str">
            <v>As of 30th September 1999 (Local August 99)</v>
          </cell>
        </row>
        <row r="206">
          <cell r="D206" t="str">
            <v>September FY 97 (Local August)</v>
          </cell>
          <cell r="M206" t="str">
            <v>PAST DUE</v>
          </cell>
          <cell r="Y206" t="str">
            <v>Total Debt</v>
          </cell>
          <cell r="Z206" t="str">
            <v>Provision for</v>
          </cell>
        </row>
        <row r="207">
          <cell r="B207" t="str">
            <v>CURRENCY</v>
          </cell>
          <cell r="C207" t="str">
            <v>SALES</v>
          </cell>
          <cell r="D207" t="str">
            <v>TAR</v>
          </cell>
          <cell r="E207" t="str">
            <v>DSO</v>
          </cell>
          <cell r="G207" t="str">
            <v>PAST DUE</v>
          </cell>
          <cell r="J207" t="str">
            <v>SALES</v>
          </cell>
          <cell r="K207" t="str">
            <v>TAR</v>
          </cell>
          <cell r="L207" t="str">
            <v>DSO</v>
          </cell>
          <cell r="M207" t="str">
            <v>TOTAL PAST DUE</v>
          </cell>
          <cell r="O207" t="str">
            <v>0-30 Days PD</v>
          </cell>
          <cell r="Q207" t="str">
            <v>31-60 Days PD</v>
          </cell>
          <cell r="S207" t="str">
            <v>61-90 Days PD</v>
          </cell>
          <cell r="U207" t="str">
            <v>91-180 Days PD</v>
          </cell>
          <cell r="W207" t="str">
            <v>180+ Days PD</v>
          </cell>
          <cell r="Y207" t="str">
            <v>Recovery</v>
          </cell>
          <cell r="Z207" t="str">
            <v>Bad debt</v>
          </cell>
        </row>
        <row r="208">
          <cell r="C208" t="str">
            <v>LCL</v>
          </cell>
          <cell r="D208" t="str">
            <v>LCL</v>
          </cell>
          <cell r="E208" t="str">
            <v>Days</v>
          </cell>
          <cell r="G208" t="str">
            <v>LCL</v>
          </cell>
          <cell r="H208" t="str">
            <v>%</v>
          </cell>
          <cell r="J208" t="str">
            <v>LCL</v>
          </cell>
          <cell r="K208" t="str">
            <v>LCL</v>
          </cell>
          <cell r="L208" t="str">
            <v>Days</v>
          </cell>
          <cell r="M208" t="str">
            <v>LCL</v>
          </cell>
          <cell r="N208" t="str">
            <v>%</v>
          </cell>
          <cell r="O208" t="str">
            <v>LCL</v>
          </cell>
          <cell r="P208" t="str">
            <v>%</v>
          </cell>
          <cell r="Q208" t="str">
            <v>LCL</v>
          </cell>
          <cell r="R208" t="str">
            <v>%</v>
          </cell>
          <cell r="S208" t="str">
            <v>LCL</v>
          </cell>
          <cell r="T208" t="str">
            <v>%</v>
          </cell>
          <cell r="U208" t="str">
            <v>LCL</v>
          </cell>
          <cell r="V208" t="str">
            <v>%</v>
          </cell>
          <cell r="W208" t="str">
            <v>LCL</v>
          </cell>
          <cell r="X208" t="str">
            <v>%</v>
          </cell>
          <cell r="Y208" t="str">
            <v>LCL</v>
          </cell>
          <cell r="Z208" t="str">
            <v>LCL</v>
          </cell>
        </row>
        <row r="209">
          <cell r="A209" t="str">
            <v>Central Europe</v>
          </cell>
        </row>
        <row r="210">
          <cell r="A210" t="str">
            <v>Czech Republic</v>
          </cell>
          <cell r="B210" t="str">
            <v>CZK 000</v>
          </cell>
          <cell r="C210">
            <v>0</v>
          </cell>
          <cell r="D210">
            <v>113961</v>
          </cell>
          <cell r="E210">
            <v>0</v>
          </cell>
          <cell r="G210">
            <v>0</v>
          </cell>
          <cell r="H210">
            <v>0</v>
          </cell>
          <cell r="J210">
            <v>58198</v>
          </cell>
          <cell r="K210">
            <v>114010</v>
          </cell>
          <cell r="L210">
            <v>66.440471343081001</v>
          </cell>
          <cell r="M210">
            <v>48314</v>
          </cell>
          <cell r="N210">
            <v>0.42376984475046048</v>
          </cell>
          <cell r="O210">
            <v>11311</v>
          </cell>
          <cell r="P210">
            <v>9.9210595561792819E-2</v>
          </cell>
          <cell r="Q210">
            <v>7338</v>
          </cell>
          <cell r="R210">
            <v>6.4362775195158317E-2</v>
          </cell>
          <cell r="S210">
            <v>3578</v>
          </cell>
          <cell r="T210">
            <v>3.1383211998947461E-2</v>
          </cell>
          <cell r="U210">
            <v>4736</v>
          </cell>
          <cell r="V210">
            <v>4.1540215770546444E-2</v>
          </cell>
          <cell r="W210">
            <v>21351</v>
          </cell>
          <cell r="X210">
            <v>0.44192159622469679</v>
          </cell>
          <cell r="Y210">
            <v>14720</v>
          </cell>
          <cell r="Z210">
            <v>20116</v>
          </cell>
        </row>
        <row r="211">
          <cell r="A211" t="str">
            <v>Slovak Republic</v>
          </cell>
          <cell r="B211" t="str">
            <v>CZK 000</v>
          </cell>
          <cell r="C211">
            <v>0</v>
          </cell>
          <cell r="D211">
            <v>0</v>
          </cell>
          <cell r="E211">
            <v>0</v>
          </cell>
          <cell r="G211">
            <v>0</v>
          </cell>
          <cell r="H211" t="e">
            <v>#DIV/0!</v>
          </cell>
          <cell r="J211">
            <v>0</v>
          </cell>
          <cell r="K211">
            <v>0</v>
          </cell>
          <cell r="L211" t="e">
            <v>#DIV/0!</v>
          </cell>
          <cell r="O211">
            <v>0</v>
          </cell>
          <cell r="Q211">
            <v>0</v>
          </cell>
          <cell r="S211">
            <v>0</v>
          </cell>
          <cell r="U211">
            <v>0</v>
          </cell>
          <cell r="W211">
            <v>0</v>
          </cell>
          <cell r="Y211">
            <v>0</v>
          </cell>
          <cell r="Z211">
            <v>0</v>
          </cell>
        </row>
        <row r="212">
          <cell r="A212" t="str">
            <v>Poland</v>
          </cell>
          <cell r="B212" t="str">
            <v>PLZ 000</v>
          </cell>
          <cell r="C212">
            <v>0</v>
          </cell>
          <cell r="D212">
            <v>1687.434</v>
          </cell>
          <cell r="E212">
            <v>0</v>
          </cell>
          <cell r="G212">
            <v>0</v>
          </cell>
          <cell r="H212">
            <v>0</v>
          </cell>
          <cell r="J212">
            <v>1627</v>
          </cell>
          <cell r="K212">
            <v>3023</v>
          </cell>
          <cell r="L212">
            <v>47.174025687668816</v>
          </cell>
          <cell r="M212">
            <v>1604</v>
          </cell>
          <cell r="N212">
            <v>0.53059874297055909</v>
          </cell>
          <cell r="O212">
            <v>1358</v>
          </cell>
          <cell r="P212">
            <v>0.44922262652993716</v>
          </cell>
          <cell r="Q212">
            <v>57</v>
          </cell>
          <cell r="R212">
            <v>1.8855441614290439E-2</v>
          </cell>
          <cell r="S212">
            <v>19</v>
          </cell>
          <cell r="T212">
            <v>6.2851472047634801E-3</v>
          </cell>
          <cell r="U212">
            <v>47</v>
          </cell>
          <cell r="V212">
            <v>1.5547469401257029E-2</v>
          </cell>
          <cell r="W212">
            <v>123</v>
          </cell>
          <cell r="X212">
            <v>7.6683291770573564E-2</v>
          </cell>
          <cell r="Y212">
            <v>0</v>
          </cell>
          <cell r="Z212">
            <v>90</v>
          </cell>
        </row>
        <row r="213">
          <cell r="A213" t="str">
            <v>Subtotal Central Europe</v>
          </cell>
          <cell r="C213">
            <v>0</v>
          </cell>
          <cell r="D213">
            <v>115648.43399999999</v>
          </cell>
          <cell r="E213">
            <v>0</v>
          </cell>
          <cell r="G213">
            <v>0</v>
          </cell>
          <cell r="H213">
            <v>0</v>
          </cell>
          <cell r="J213">
            <v>59825</v>
          </cell>
          <cell r="K213">
            <v>117033</v>
          </cell>
          <cell r="L213">
            <v>65.747559034200293</v>
          </cell>
          <cell r="M213">
            <v>49918</v>
          </cell>
          <cell r="N213">
            <v>0.42652926952227149</v>
          </cell>
          <cell r="O213">
            <v>12669</v>
          </cell>
          <cell r="P213">
            <v>0.10825151880238906</v>
          </cell>
          <cell r="Q213">
            <v>7395</v>
          </cell>
          <cell r="R213">
            <v>6.3187306144420807E-2</v>
          </cell>
          <cell r="S213">
            <v>3597</v>
          </cell>
          <cell r="T213">
            <v>3.0734920919740585E-2</v>
          </cell>
          <cell r="U213">
            <v>4783</v>
          </cell>
          <cell r="V213">
            <v>4.0868814778737619E-2</v>
          </cell>
          <cell r="W213">
            <v>21474</v>
          </cell>
          <cell r="X213">
            <v>0.43018550422693219</v>
          </cell>
          <cell r="Y213">
            <v>14720</v>
          </cell>
          <cell r="Z213">
            <v>20206</v>
          </cell>
        </row>
        <row r="215">
          <cell r="A215" t="str">
            <v>x</v>
          </cell>
          <cell r="J215" t="str">
            <v>As of 31st 0ctober  1999 (Local September 99)</v>
          </cell>
        </row>
        <row r="217">
          <cell r="D217" t="str">
            <v>September FY 97 (Local August)</v>
          </cell>
          <cell r="M217" t="str">
            <v>PAST DUE</v>
          </cell>
          <cell r="Y217" t="str">
            <v>Total Debt</v>
          </cell>
          <cell r="Z217" t="str">
            <v>Provision for</v>
          </cell>
        </row>
        <row r="218">
          <cell r="B218" t="str">
            <v>CURRENCY</v>
          </cell>
          <cell r="C218" t="str">
            <v>SALES</v>
          </cell>
          <cell r="D218" t="str">
            <v>TAR</v>
          </cell>
          <cell r="E218" t="str">
            <v>DSO</v>
          </cell>
          <cell r="G218" t="str">
            <v>PAST DUE</v>
          </cell>
          <cell r="J218" t="str">
            <v>SALES</v>
          </cell>
          <cell r="K218" t="str">
            <v>TAR</v>
          </cell>
          <cell r="L218" t="str">
            <v>DSO</v>
          </cell>
          <cell r="M218" t="str">
            <v>TOTAL PAST DUE</v>
          </cell>
          <cell r="O218" t="str">
            <v>0-30 Days PD</v>
          </cell>
          <cell r="Q218" t="str">
            <v>31-60 Days PD</v>
          </cell>
          <cell r="S218" t="str">
            <v>61-90 Days PD</v>
          </cell>
          <cell r="U218" t="str">
            <v>91-180 Days PD</v>
          </cell>
          <cell r="W218" t="str">
            <v>180+ Days PD</v>
          </cell>
          <cell r="Y218" t="str">
            <v>Recovery</v>
          </cell>
          <cell r="Z218" t="str">
            <v>Bad debt</v>
          </cell>
        </row>
        <row r="219">
          <cell r="C219" t="str">
            <v>LCL</v>
          </cell>
          <cell r="D219" t="str">
            <v>LCL</v>
          </cell>
          <cell r="E219" t="str">
            <v>Days</v>
          </cell>
          <cell r="G219" t="str">
            <v>LCL</v>
          </cell>
          <cell r="H219" t="str">
            <v>%</v>
          </cell>
          <cell r="J219" t="str">
            <v>LCL</v>
          </cell>
          <cell r="K219" t="str">
            <v>LCL</v>
          </cell>
          <cell r="L219" t="str">
            <v>Days</v>
          </cell>
          <cell r="M219" t="str">
            <v>LCL</v>
          </cell>
          <cell r="N219" t="str">
            <v>%</v>
          </cell>
          <cell r="O219" t="str">
            <v>LCL</v>
          </cell>
          <cell r="P219" t="str">
            <v>%</v>
          </cell>
          <cell r="Q219" t="str">
            <v>LCL</v>
          </cell>
          <cell r="R219" t="str">
            <v>%</v>
          </cell>
          <cell r="S219" t="str">
            <v>LCL</v>
          </cell>
          <cell r="T219" t="str">
            <v>%</v>
          </cell>
          <cell r="U219" t="str">
            <v>LCL</v>
          </cell>
          <cell r="V219" t="str">
            <v>%</v>
          </cell>
          <cell r="W219" t="str">
            <v>LCL</v>
          </cell>
          <cell r="X219" t="str">
            <v>%</v>
          </cell>
          <cell r="Y219" t="str">
            <v>LCL</v>
          </cell>
          <cell r="Z219" t="str">
            <v>LCL</v>
          </cell>
        </row>
        <row r="220">
          <cell r="A220" t="str">
            <v>Central Europe</v>
          </cell>
        </row>
        <row r="221">
          <cell r="A221" t="str">
            <v>Czech Republic</v>
          </cell>
          <cell r="B221" t="str">
            <v>CZK 000</v>
          </cell>
          <cell r="C221">
            <v>0</v>
          </cell>
          <cell r="D221">
            <v>113961</v>
          </cell>
          <cell r="E221">
            <v>0</v>
          </cell>
          <cell r="G221">
            <v>0</v>
          </cell>
          <cell r="H221">
            <v>0</v>
          </cell>
          <cell r="J221">
            <v>55766</v>
          </cell>
          <cell r="K221">
            <v>116490</v>
          </cell>
          <cell r="L221">
            <v>64.885090331298173</v>
          </cell>
          <cell r="M221">
            <v>50757</v>
          </cell>
          <cell r="N221">
            <v>0.43571980427504509</v>
          </cell>
          <cell r="O221">
            <v>12466</v>
          </cell>
          <cell r="P221">
            <v>0.10701347755172118</v>
          </cell>
          <cell r="Q221">
            <v>5809</v>
          </cell>
          <cell r="R221">
            <v>4.9866941368357801E-2</v>
          </cell>
          <cell r="S221">
            <v>5269</v>
          </cell>
          <cell r="T221">
            <v>4.5231350330500471E-2</v>
          </cell>
          <cell r="U221">
            <v>5092</v>
          </cell>
          <cell r="V221">
            <v>4.3711906601425016E-2</v>
          </cell>
          <cell r="W221">
            <v>22121</v>
          </cell>
          <cell r="X221">
            <v>0.43582166006659179</v>
          </cell>
          <cell r="Y221">
            <v>14720</v>
          </cell>
          <cell r="Z221">
            <v>20635</v>
          </cell>
        </row>
        <row r="222">
          <cell r="A222" t="str">
            <v>Slovak Republic</v>
          </cell>
          <cell r="B222" t="str">
            <v>CZK 000</v>
          </cell>
          <cell r="C222">
            <v>0</v>
          </cell>
          <cell r="D222">
            <v>0</v>
          </cell>
          <cell r="E222">
            <v>0</v>
          </cell>
          <cell r="G222">
            <v>0</v>
          </cell>
          <cell r="H222">
            <v>0</v>
          </cell>
          <cell r="J222">
            <v>3714</v>
          </cell>
          <cell r="K222">
            <v>13812</v>
          </cell>
          <cell r="L222">
            <v>76.400000000000006</v>
          </cell>
          <cell r="M222">
            <v>10712</v>
          </cell>
          <cell r="N222">
            <v>0.77555748624384591</v>
          </cell>
          <cell r="O222">
            <v>6824</v>
          </cell>
          <cell r="P222">
            <v>0.4940631335070953</v>
          </cell>
          <cell r="Q222">
            <v>991</v>
          </cell>
          <cell r="R222">
            <v>7.1749203591080224E-2</v>
          </cell>
          <cell r="S222">
            <v>564</v>
          </cell>
          <cell r="T222">
            <v>4.0834057341442222E-2</v>
          </cell>
          <cell r="U222">
            <v>1472</v>
          </cell>
          <cell r="V222">
            <v>0.10657399362872864</v>
          </cell>
          <cell r="W222">
            <v>861</v>
          </cell>
          <cell r="X222">
            <v>8.0377147124719939E-2</v>
          </cell>
          <cell r="Y222">
            <v>0</v>
          </cell>
          <cell r="Z222">
            <v>696</v>
          </cell>
        </row>
        <row r="223">
          <cell r="A223" t="str">
            <v>Poland</v>
          </cell>
          <cell r="B223" t="str">
            <v>PLZ 000</v>
          </cell>
          <cell r="C223">
            <v>0</v>
          </cell>
          <cell r="D223">
            <v>1687.434</v>
          </cell>
          <cell r="E223">
            <v>0</v>
          </cell>
          <cell r="G223">
            <v>0</v>
          </cell>
          <cell r="H223">
            <v>0</v>
          </cell>
          <cell r="J223">
            <v>1761</v>
          </cell>
          <cell r="K223">
            <v>3193</v>
          </cell>
          <cell r="L223">
            <v>51.649532710280369</v>
          </cell>
          <cell r="M223">
            <v>1714</v>
          </cell>
          <cell r="N223">
            <v>0.5367992483557783</v>
          </cell>
          <cell r="O223">
            <v>1188</v>
          </cell>
          <cell r="P223">
            <v>0.37206388975884747</v>
          </cell>
          <cell r="Q223">
            <v>299</v>
          </cell>
          <cell r="R223">
            <v>9.3642342624491073E-2</v>
          </cell>
          <cell r="S223">
            <v>47</v>
          </cell>
          <cell r="T223">
            <v>1.4719699342311305E-2</v>
          </cell>
          <cell r="U223">
            <v>50</v>
          </cell>
          <cell r="V223">
            <v>1.5659254619480114E-2</v>
          </cell>
          <cell r="W223">
            <v>130</v>
          </cell>
          <cell r="X223">
            <v>7.5845974329054849E-2</v>
          </cell>
          <cell r="Y223">
            <v>0</v>
          </cell>
          <cell r="Z223">
            <v>90</v>
          </cell>
        </row>
        <row r="224">
          <cell r="A224" t="str">
            <v>Subtotal Central Europe</v>
          </cell>
          <cell r="C224">
            <v>0</v>
          </cell>
          <cell r="D224">
            <v>115648.43399999999</v>
          </cell>
          <cell r="E224">
            <v>0</v>
          </cell>
          <cell r="G224">
            <v>0</v>
          </cell>
          <cell r="H224">
            <v>0</v>
          </cell>
          <cell r="J224">
            <v>61241</v>
          </cell>
          <cell r="K224">
            <v>133495</v>
          </cell>
          <cell r="L224">
            <v>66.221788640959247</v>
          </cell>
          <cell r="M224">
            <v>63183</v>
          </cell>
          <cell r="N224">
            <v>0.47329862541668227</v>
          </cell>
          <cell r="O224">
            <v>20478</v>
          </cell>
          <cell r="P224">
            <v>0.15339900370800405</v>
          </cell>
          <cell r="Q224">
            <v>7099</v>
          </cell>
          <cell r="R224">
            <v>5.3178021648750892E-2</v>
          </cell>
          <cell r="S224">
            <v>5880</v>
          </cell>
          <cell r="T224">
            <v>4.404659350537473E-2</v>
          </cell>
          <cell r="U224">
            <v>6614</v>
          </cell>
          <cell r="V224">
            <v>4.9544926776283756E-2</v>
          </cell>
          <cell r="X224">
            <v>0</v>
          </cell>
          <cell r="Y224">
            <v>14720</v>
          </cell>
          <cell r="Z224">
            <v>21421</v>
          </cell>
        </row>
        <row r="226">
          <cell r="A226" t="str">
            <v>x</v>
          </cell>
          <cell r="J226" t="str">
            <v>As of 30th November 1999 (Local October 99)</v>
          </cell>
        </row>
        <row r="228">
          <cell r="D228" t="str">
            <v>September FY 97 (Local August)</v>
          </cell>
          <cell r="M228" t="str">
            <v>PAST DUE</v>
          </cell>
          <cell r="Y228" t="str">
            <v>Total Debt</v>
          </cell>
          <cell r="Z228" t="str">
            <v>Provision for</v>
          </cell>
        </row>
        <row r="229">
          <cell r="B229" t="str">
            <v>CURRENCY</v>
          </cell>
          <cell r="C229" t="str">
            <v>SALES</v>
          </cell>
          <cell r="D229" t="str">
            <v>TAR</v>
          </cell>
          <cell r="E229" t="str">
            <v>DSO</v>
          </cell>
          <cell r="G229" t="str">
            <v>PAST DUE</v>
          </cell>
          <cell r="J229" t="str">
            <v>SALES</v>
          </cell>
          <cell r="K229" t="str">
            <v>TAR</v>
          </cell>
          <cell r="L229" t="str">
            <v>DSO</v>
          </cell>
          <cell r="M229" t="str">
            <v>TOTAL PAST DUE</v>
          </cell>
          <cell r="O229" t="str">
            <v>0-30 Days PD</v>
          </cell>
          <cell r="Q229" t="str">
            <v>31-60 Days PD</v>
          </cell>
          <cell r="S229" t="str">
            <v>61-90 Days PD</v>
          </cell>
          <cell r="U229" t="str">
            <v>91-180 Days PD</v>
          </cell>
          <cell r="W229" t="str">
            <v>180+ Days PD</v>
          </cell>
          <cell r="Y229" t="str">
            <v>Recovery</v>
          </cell>
          <cell r="Z229" t="str">
            <v>Bad debt</v>
          </cell>
        </row>
        <row r="230">
          <cell r="C230" t="str">
            <v>LCL</v>
          </cell>
          <cell r="D230" t="str">
            <v>LCL</v>
          </cell>
          <cell r="E230" t="str">
            <v>Days</v>
          </cell>
          <cell r="G230" t="str">
            <v>LCL</v>
          </cell>
          <cell r="H230" t="str">
            <v>%</v>
          </cell>
          <cell r="J230" t="str">
            <v>LCL</v>
          </cell>
          <cell r="K230" t="str">
            <v>LCL</v>
          </cell>
          <cell r="L230" t="str">
            <v>Days</v>
          </cell>
          <cell r="M230" t="str">
            <v>LCL</v>
          </cell>
          <cell r="N230" t="str">
            <v>%</v>
          </cell>
          <cell r="O230" t="str">
            <v>LCL</v>
          </cell>
          <cell r="P230" t="str">
            <v>%</v>
          </cell>
          <cell r="Q230" t="str">
            <v>LCL</v>
          </cell>
          <cell r="R230" t="str">
            <v>%</v>
          </cell>
          <cell r="S230" t="str">
            <v>LCL</v>
          </cell>
          <cell r="T230" t="str">
            <v>%</v>
          </cell>
          <cell r="U230" t="str">
            <v>LCL</v>
          </cell>
          <cell r="V230" t="str">
            <v>%</v>
          </cell>
          <cell r="W230" t="str">
            <v>LCL</v>
          </cell>
          <cell r="X230" t="str">
            <v>%</v>
          </cell>
          <cell r="Y230" t="str">
            <v>LCL</v>
          </cell>
          <cell r="Z230" t="str">
            <v>LCL</v>
          </cell>
        </row>
        <row r="231">
          <cell r="A231" t="str">
            <v>Central Europe</v>
          </cell>
        </row>
        <row r="232">
          <cell r="A232" t="str">
            <v>Czech Republic</v>
          </cell>
          <cell r="B232" t="str">
            <v>CZK 000</v>
          </cell>
          <cell r="C232">
            <v>0</v>
          </cell>
          <cell r="D232">
            <v>113961</v>
          </cell>
          <cell r="E232">
            <v>0</v>
          </cell>
          <cell r="G232">
            <v>0</v>
          </cell>
          <cell r="H232">
            <v>0</v>
          </cell>
          <cell r="J232">
            <v>58442</v>
          </cell>
          <cell r="K232">
            <v>123366</v>
          </cell>
          <cell r="L232">
            <v>62.259639069019251</v>
          </cell>
          <cell r="M232">
            <v>53985</v>
          </cell>
          <cell r="N232">
            <v>0.43760031126890714</v>
          </cell>
          <cell r="O232">
            <v>14442</v>
          </cell>
          <cell r="P232">
            <v>0.11706629055007052</v>
          </cell>
          <cell r="Q232">
            <v>6915</v>
          </cell>
          <cell r="R232">
            <v>5.6052721171149261E-2</v>
          </cell>
          <cell r="S232">
            <v>4238</v>
          </cell>
          <cell r="T232">
            <v>3.435306324270869E-2</v>
          </cell>
          <cell r="U232">
            <v>7008</v>
          </cell>
          <cell r="V232">
            <v>5.6806575555663638E-2</v>
          </cell>
          <cell r="W232">
            <v>21382</v>
          </cell>
          <cell r="X232">
            <v>0.39607298323608409</v>
          </cell>
          <cell r="Y232">
            <v>15277</v>
          </cell>
          <cell r="Z232">
            <v>20249</v>
          </cell>
        </row>
        <row r="233">
          <cell r="A233" t="str">
            <v>Slovak Republic</v>
          </cell>
          <cell r="B233" t="str">
            <v>CZK 000</v>
          </cell>
          <cell r="C233">
            <v>0</v>
          </cell>
          <cell r="D233">
            <v>0</v>
          </cell>
          <cell r="E233">
            <v>0</v>
          </cell>
          <cell r="G233">
            <v>0</v>
          </cell>
          <cell r="H233" t="e">
            <v>#DIV/0!</v>
          </cell>
          <cell r="J233">
            <v>4436</v>
          </cell>
          <cell r="K233">
            <v>15724</v>
          </cell>
          <cell r="L233">
            <v>109.92948875255624</v>
          </cell>
          <cell r="M233">
            <v>11853</v>
          </cell>
          <cell r="N233">
            <v>0.75381582294581528</v>
          </cell>
          <cell r="O233">
            <v>3705</v>
          </cell>
          <cell r="P233">
            <v>0.23562706690409566</v>
          </cell>
          <cell r="Q233">
            <v>4828</v>
          </cell>
          <cell r="R233">
            <v>0.30704655303993894</v>
          </cell>
          <cell r="S233">
            <v>742</v>
          </cell>
          <cell r="T233">
            <v>4.7189010429916051E-2</v>
          </cell>
          <cell r="U233">
            <v>1450</v>
          </cell>
          <cell r="V233">
            <v>9.2215721190536754E-2</v>
          </cell>
          <cell r="W233">
            <v>1128</v>
          </cell>
          <cell r="X233">
            <v>9.5165780814983544E-2</v>
          </cell>
          <cell r="Y233" t="str">
            <v xml:space="preserve"> </v>
          </cell>
          <cell r="Z233">
            <v>899</v>
          </cell>
        </row>
        <row r="234">
          <cell r="A234" t="str">
            <v>Poland</v>
          </cell>
          <cell r="B234" t="str">
            <v>PLZ 000</v>
          </cell>
          <cell r="C234">
            <v>0</v>
          </cell>
          <cell r="D234">
            <v>1687.434</v>
          </cell>
          <cell r="E234">
            <v>0</v>
          </cell>
          <cell r="G234">
            <v>0</v>
          </cell>
          <cell r="H234">
            <v>0</v>
          </cell>
          <cell r="J234">
            <v>1762</v>
          </cell>
          <cell r="K234">
            <v>3498</v>
          </cell>
          <cell r="L234">
            <v>57.215145631067962</v>
          </cell>
          <cell r="M234">
            <v>2240</v>
          </cell>
          <cell r="N234">
            <v>0.64036592338479126</v>
          </cell>
          <cell r="O234">
            <v>1775</v>
          </cell>
          <cell r="P234">
            <v>0.50743281875357349</v>
          </cell>
          <cell r="Q234">
            <v>156</v>
          </cell>
          <cell r="R234">
            <v>4.4596912521440824E-2</v>
          </cell>
          <cell r="S234">
            <v>61</v>
          </cell>
          <cell r="T234">
            <v>1.7438536306460833E-2</v>
          </cell>
          <cell r="U234">
            <v>88</v>
          </cell>
          <cell r="V234">
            <v>2.5157232704402517E-2</v>
          </cell>
          <cell r="W234">
            <v>160</v>
          </cell>
          <cell r="X234">
            <v>7.1428571428571425E-2</v>
          </cell>
          <cell r="Y234" t="str">
            <v xml:space="preserve"> </v>
          </cell>
          <cell r="Z234">
            <v>108</v>
          </cell>
        </row>
        <row r="235">
          <cell r="A235" t="str">
            <v>Subtotal Central Europe</v>
          </cell>
          <cell r="C235">
            <v>0</v>
          </cell>
          <cell r="D235">
            <v>115648.43399999999</v>
          </cell>
          <cell r="E235">
            <v>0</v>
          </cell>
          <cell r="G235">
            <v>0</v>
          </cell>
          <cell r="H235">
            <v>0</v>
          </cell>
          <cell r="J235">
            <v>64640</v>
          </cell>
          <cell r="K235">
            <v>142588</v>
          </cell>
          <cell r="L235">
            <v>64.211811501333656</v>
          </cell>
          <cell r="M235">
            <v>68078</v>
          </cell>
          <cell r="N235">
            <v>0.4774455073358207</v>
          </cell>
          <cell r="O235">
            <v>19922</v>
          </cell>
          <cell r="P235">
            <v>0.1397172272561506</v>
          </cell>
          <cell r="Q235">
            <v>11899</v>
          </cell>
          <cell r="R235">
            <v>8.3450220214884838E-2</v>
          </cell>
          <cell r="S235">
            <v>5041</v>
          </cell>
          <cell r="T235">
            <v>3.5353606194069624E-2</v>
          </cell>
          <cell r="U235">
            <v>8546</v>
          </cell>
          <cell r="V235">
            <v>5.9934917384352117E-2</v>
          </cell>
          <cell r="W235">
            <v>22670</v>
          </cell>
          <cell r="X235">
            <v>0.33300038191486236</v>
          </cell>
          <cell r="Y235">
            <v>15277</v>
          </cell>
          <cell r="Z235">
            <v>21256</v>
          </cell>
        </row>
        <row r="237">
          <cell r="A237" t="str">
            <v>x</v>
          </cell>
          <cell r="J237" t="str">
            <v>As of 31st December 1999 (Local November 99)</v>
          </cell>
        </row>
        <row r="239">
          <cell r="D239" t="str">
            <v>September FY 97 (Local August)</v>
          </cell>
          <cell r="M239" t="str">
            <v>PAST DUE</v>
          </cell>
          <cell r="Y239" t="str">
            <v>Total Debt</v>
          </cell>
          <cell r="Z239" t="str">
            <v>Provision for</v>
          </cell>
        </row>
        <row r="240">
          <cell r="B240" t="str">
            <v>CURRENCY</v>
          </cell>
          <cell r="C240" t="str">
            <v>SALES</v>
          </cell>
          <cell r="D240" t="str">
            <v>TAR</v>
          </cell>
          <cell r="E240" t="str">
            <v>DSO</v>
          </cell>
          <cell r="G240" t="str">
            <v>PAST DUE</v>
          </cell>
          <cell r="J240" t="str">
            <v>SALES</v>
          </cell>
          <cell r="K240" t="str">
            <v>TAR</v>
          </cell>
          <cell r="L240" t="str">
            <v>DSO</v>
          </cell>
          <cell r="M240" t="str">
            <v>TOTAL PAST DUE</v>
          </cell>
          <cell r="O240" t="str">
            <v>0-30 Days PD</v>
          </cell>
          <cell r="Q240" t="str">
            <v>31-60 Days PD</v>
          </cell>
          <cell r="S240" t="str">
            <v>61-90 Days PD</v>
          </cell>
          <cell r="U240" t="str">
            <v>91-180 Days PD</v>
          </cell>
          <cell r="W240" t="str">
            <v>180+ Days PD</v>
          </cell>
          <cell r="Y240" t="str">
            <v>Recovery</v>
          </cell>
          <cell r="Z240" t="str">
            <v>Bad debt</v>
          </cell>
        </row>
        <row r="241">
          <cell r="C241" t="str">
            <v>LCL</v>
          </cell>
          <cell r="D241" t="str">
            <v>LCL</v>
          </cell>
          <cell r="E241" t="str">
            <v>Days</v>
          </cell>
          <cell r="G241" t="str">
            <v>LCL</v>
          </cell>
          <cell r="H241" t="str">
            <v>%</v>
          </cell>
          <cell r="J241" t="str">
            <v>LCL</v>
          </cell>
          <cell r="K241" t="str">
            <v>LCL</v>
          </cell>
          <cell r="L241" t="str">
            <v>Days</v>
          </cell>
          <cell r="M241" t="str">
            <v>LCL</v>
          </cell>
          <cell r="N241" t="str">
            <v>%</v>
          </cell>
          <cell r="O241" t="str">
            <v>LCL</v>
          </cell>
          <cell r="P241" t="str">
            <v>%</v>
          </cell>
          <cell r="Q241" t="str">
            <v>LCL</v>
          </cell>
          <cell r="R241" t="str">
            <v>%</v>
          </cell>
          <cell r="S241" t="str">
            <v>LCL</v>
          </cell>
          <cell r="T241" t="str">
            <v>%</v>
          </cell>
          <cell r="U241" t="str">
            <v>LCL</v>
          </cell>
          <cell r="V241" t="str">
            <v>%</v>
          </cell>
          <cell r="W241" t="str">
            <v>LCL</v>
          </cell>
          <cell r="X241" t="str">
            <v>%</v>
          </cell>
          <cell r="Y241" t="str">
            <v>LCL</v>
          </cell>
          <cell r="Z241" t="str">
            <v>LCL</v>
          </cell>
        </row>
        <row r="242">
          <cell r="A242" t="str">
            <v>Central Europe</v>
          </cell>
        </row>
        <row r="243">
          <cell r="A243" t="str">
            <v>Czech Republic</v>
          </cell>
          <cell r="B243" t="str">
            <v>CZK 000</v>
          </cell>
          <cell r="C243">
            <v>0</v>
          </cell>
          <cell r="D243">
            <v>113961</v>
          </cell>
          <cell r="E243">
            <v>0</v>
          </cell>
          <cell r="G243">
            <v>0</v>
          </cell>
          <cell r="H243">
            <v>0</v>
          </cell>
          <cell r="J243">
            <v>71991</v>
          </cell>
          <cell r="K243">
            <v>133639</v>
          </cell>
          <cell r="L243">
            <v>61.514007415005807</v>
          </cell>
          <cell r="M243">
            <v>53933</v>
          </cell>
          <cell r="N243">
            <v>0.40357231047822867</v>
          </cell>
          <cell r="O243">
            <v>12927</v>
          </cell>
          <cell r="P243">
            <v>9.6730744767620225E-2</v>
          </cell>
          <cell r="Q243">
            <v>6883</v>
          </cell>
          <cell r="R243">
            <v>5.1504426103158508E-2</v>
          </cell>
          <cell r="S243">
            <v>5085</v>
          </cell>
          <cell r="T243">
            <v>3.805026975658303E-2</v>
          </cell>
          <cell r="U243">
            <v>8098</v>
          </cell>
          <cell r="V243">
            <v>6.0596083478625253E-2</v>
          </cell>
          <cell r="W243">
            <v>20940</v>
          </cell>
          <cell r="X243">
            <v>0.38825950716629892</v>
          </cell>
          <cell r="Y243">
            <v>15885</v>
          </cell>
          <cell r="Z243">
            <v>20024</v>
          </cell>
        </row>
        <row r="244">
          <cell r="A244" t="str">
            <v>Slovak Republic</v>
          </cell>
          <cell r="B244" t="str">
            <v>CZK 000</v>
          </cell>
          <cell r="C244">
            <v>0</v>
          </cell>
          <cell r="D244">
            <v>0</v>
          </cell>
          <cell r="E244">
            <v>0</v>
          </cell>
          <cell r="G244">
            <v>0</v>
          </cell>
          <cell r="H244" t="e">
            <v>#DIV/0!</v>
          </cell>
          <cell r="J244">
            <v>4740</v>
          </cell>
          <cell r="K244">
            <v>19628</v>
          </cell>
          <cell r="L244">
            <v>116.96633048875097</v>
          </cell>
          <cell r="M244">
            <v>14737</v>
          </cell>
          <cell r="N244">
            <v>0.75081516201345022</v>
          </cell>
          <cell r="O244">
            <v>4975</v>
          </cell>
          <cell r="P244">
            <v>0.25346443855716322</v>
          </cell>
          <cell r="Q244">
            <v>2478</v>
          </cell>
          <cell r="R244">
            <v>0.12624821683309559</v>
          </cell>
          <cell r="S244">
            <v>4614</v>
          </cell>
          <cell r="T244">
            <v>0.2350723456286937</v>
          </cell>
          <cell r="U244">
            <v>1344</v>
          </cell>
          <cell r="V244">
            <v>6.8473609129814553E-2</v>
          </cell>
          <cell r="W244">
            <v>1326</v>
          </cell>
          <cell r="X244">
            <v>8.9977607382778046E-2</v>
          </cell>
          <cell r="Y244" t="str">
            <v xml:space="preserve"> </v>
          </cell>
          <cell r="Z244">
            <v>1051</v>
          </cell>
        </row>
        <row r="245">
          <cell r="A245" t="str">
            <v>Poland</v>
          </cell>
          <cell r="B245" t="str">
            <v>PLZ 000</v>
          </cell>
          <cell r="C245">
            <v>0</v>
          </cell>
          <cell r="D245">
            <v>1687.434</v>
          </cell>
          <cell r="E245">
            <v>0</v>
          </cell>
          <cell r="G245">
            <v>0</v>
          </cell>
          <cell r="H245">
            <v>0</v>
          </cell>
          <cell r="J245">
            <v>1767</v>
          </cell>
          <cell r="K245">
            <v>3859</v>
          </cell>
          <cell r="L245">
            <v>61.159420289855071</v>
          </cell>
          <cell r="M245">
            <v>2279</v>
          </cell>
          <cell r="N245">
            <v>0.59056750453485363</v>
          </cell>
          <cell r="O245">
            <v>1888</v>
          </cell>
          <cell r="P245">
            <v>0.48924591863176992</v>
          </cell>
          <cell r="Q245">
            <v>172</v>
          </cell>
          <cell r="R245">
            <v>4.4571132417724799E-2</v>
          </cell>
          <cell r="S245">
            <v>56</v>
          </cell>
          <cell r="T245">
            <v>1.4511531484840632E-2</v>
          </cell>
          <cell r="U245">
            <v>36</v>
          </cell>
          <cell r="V245">
            <v>9.3288416688261204E-3</v>
          </cell>
          <cell r="W245">
            <v>127</v>
          </cell>
          <cell r="X245">
            <v>5.5726195699868364E-2</v>
          </cell>
          <cell r="Y245" t="str">
            <v xml:space="preserve"> </v>
          </cell>
          <cell r="Z245">
            <v>99</v>
          </cell>
        </row>
        <row r="246">
          <cell r="A246" t="str">
            <v>Subtotal Central Europe</v>
          </cell>
          <cell r="C246">
            <v>0</v>
          </cell>
          <cell r="D246">
            <v>115648.43399999999</v>
          </cell>
          <cell r="E246">
            <v>0</v>
          </cell>
          <cell r="G246">
            <v>0</v>
          </cell>
          <cell r="H246">
            <v>0</v>
          </cell>
          <cell r="J246">
            <v>78498</v>
          </cell>
          <cell r="K246">
            <v>157126</v>
          </cell>
          <cell r="L246">
            <v>65.002157755933823</v>
          </cell>
          <cell r="M246">
            <v>70949</v>
          </cell>
          <cell r="N246">
            <v>0.4515420745134478</v>
          </cell>
          <cell r="O246">
            <v>19790</v>
          </cell>
          <cell r="P246">
            <v>0.1259498746229141</v>
          </cell>
          <cell r="Q246">
            <v>9533</v>
          </cell>
          <cell r="R246">
            <v>6.0671053803953517E-2</v>
          </cell>
          <cell r="S246">
            <v>9755</v>
          </cell>
          <cell r="T246">
            <v>6.2083932640046843E-2</v>
          </cell>
          <cell r="U246">
            <v>9478</v>
          </cell>
          <cell r="V246">
            <v>6.0321016254470936E-2</v>
          </cell>
          <cell r="W246">
            <v>22393</v>
          </cell>
          <cell r="X246">
            <v>0.31562107993065441</v>
          </cell>
          <cell r="Y246">
            <v>15885</v>
          </cell>
          <cell r="Z246">
            <v>21174</v>
          </cell>
        </row>
      </sheetData>
      <sheetData sheetId="3" refreshError="1">
        <row r="275">
          <cell r="A275" t="str">
            <v>x</v>
          </cell>
          <cell r="J275" t="str">
            <v>As of 31st August 1999</v>
          </cell>
        </row>
        <row r="277">
          <cell r="I277" t="str">
            <v>|</v>
          </cell>
          <cell r="M277" t="str">
            <v>PAST DUE</v>
          </cell>
          <cell r="W277" t="str">
            <v>Total Debt</v>
          </cell>
          <cell r="X277" t="str">
            <v>Provision for</v>
          </cell>
        </row>
        <row r="278">
          <cell r="I278" t="str">
            <v>|</v>
          </cell>
          <cell r="J278" t="str">
            <v>SALES</v>
          </cell>
          <cell r="K278" t="str">
            <v>TAR</v>
          </cell>
          <cell r="L278" t="str">
            <v>DSO</v>
          </cell>
          <cell r="M278" t="str">
            <v>TOTAL PAST DUE</v>
          </cell>
          <cell r="O278" t="str">
            <v>0-30 Days PD</v>
          </cell>
          <cell r="Q278" t="str">
            <v>31-60 Days PD</v>
          </cell>
          <cell r="S278" t="str">
            <v>61-90 Days PD</v>
          </cell>
          <cell r="U278" t="str">
            <v>91-180 Days PD</v>
          </cell>
          <cell r="W278" t="str">
            <v>Recovery</v>
          </cell>
          <cell r="X278" t="str">
            <v>Bad Debt</v>
          </cell>
          <cell r="Z278" t="str">
            <v>Check Total Should be Zero</v>
          </cell>
        </row>
        <row r="279">
          <cell r="I279" t="str">
            <v>|</v>
          </cell>
          <cell r="J279" t="str">
            <v>LCL</v>
          </cell>
          <cell r="K279" t="str">
            <v>LCL</v>
          </cell>
          <cell r="L279" t="str">
            <v>Days</v>
          </cell>
          <cell r="M279" t="str">
            <v>LCL</v>
          </cell>
          <cell r="N279" t="str">
            <v>%</v>
          </cell>
          <cell r="O279" t="str">
            <v>LCL</v>
          </cell>
          <cell r="P279" t="str">
            <v>%</v>
          </cell>
          <cell r="Q279" t="str">
            <v>LCL</v>
          </cell>
          <cell r="R279" t="str">
            <v>%</v>
          </cell>
          <cell r="S279" t="str">
            <v>LCL</v>
          </cell>
          <cell r="T279" t="str">
            <v>%</v>
          </cell>
          <cell r="U279" t="str">
            <v>LCL</v>
          </cell>
          <cell r="V279" t="str">
            <v>%</v>
          </cell>
          <cell r="W279" t="str">
            <v>LCL</v>
          </cell>
          <cell r="X279" t="str">
            <v>LCL</v>
          </cell>
        </row>
        <row r="280">
          <cell r="A280" t="str">
            <v>Tonnage</v>
          </cell>
          <cell r="I280" t="str">
            <v>|</v>
          </cell>
        </row>
        <row r="281">
          <cell r="A281" t="str">
            <v>UK</v>
          </cell>
          <cell r="I281" t="str">
            <v>|</v>
          </cell>
          <cell r="J281">
            <v>3668.35</v>
          </cell>
          <cell r="K281">
            <v>2805.6540000000005</v>
          </cell>
          <cell r="L281">
            <v>22.594744375413207</v>
          </cell>
          <cell r="M281">
            <v>770.20899999999995</v>
          </cell>
          <cell r="N281">
            <v>0.27452030792107646</v>
          </cell>
          <cell r="O281">
            <v>733.50099999999998</v>
          </cell>
          <cell r="P281">
            <v>0.2614367274082976</v>
          </cell>
          <cell r="Q281">
            <v>26.975000000000001</v>
          </cell>
          <cell r="R281">
            <v>9.6145141204154166E-3</v>
          </cell>
          <cell r="S281">
            <v>0</v>
          </cell>
          <cell r="T281">
            <v>0</v>
          </cell>
          <cell r="U281">
            <v>9.7330000000000005</v>
          </cell>
          <cell r="V281">
            <v>3.4690663923634202E-3</v>
          </cell>
          <cell r="W281">
            <v>407</v>
          </cell>
          <cell r="X281">
            <v>407</v>
          </cell>
          <cell r="Z281">
            <v>0</v>
          </cell>
        </row>
        <row r="282">
          <cell r="A282" t="str">
            <v>Ireland</v>
          </cell>
          <cell r="I282" t="str">
            <v>|</v>
          </cell>
          <cell r="J282">
            <v>366</v>
          </cell>
          <cell r="K282">
            <v>442.553</v>
          </cell>
          <cell r="L282">
            <v>51.838899036967995</v>
          </cell>
          <cell r="M282">
            <v>207.90299999999999</v>
          </cell>
          <cell r="N282">
            <v>0.46978102057832621</v>
          </cell>
          <cell r="O282">
            <v>9.1289999999999996</v>
          </cell>
          <cell r="P282">
            <v>2.0628037771747113E-2</v>
          </cell>
          <cell r="Q282">
            <v>16.408999999999999</v>
          </cell>
          <cell r="R282">
            <v>3.7078044889538649E-2</v>
          </cell>
          <cell r="S282">
            <v>17.603999999999999</v>
          </cell>
          <cell r="T282">
            <v>3.9778286442527788E-2</v>
          </cell>
          <cell r="U282">
            <v>164.761</v>
          </cell>
          <cell r="V282">
            <v>0.37229665147451263</v>
          </cell>
          <cell r="W282">
            <v>0</v>
          </cell>
          <cell r="X282">
            <v>0</v>
          </cell>
          <cell r="Z282">
            <v>0</v>
          </cell>
        </row>
        <row r="283">
          <cell r="A283" t="str">
            <v>Netherlands</v>
          </cell>
          <cell r="I283" t="str">
            <v>|</v>
          </cell>
          <cell r="J283">
            <v>23298.525999999998</v>
          </cell>
          <cell r="K283">
            <v>25553.072</v>
          </cell>
          <cell r="L283">
            <v>32.403841599454466</v>
          </cell>
          <cell r="M283">
            <v>1527.134</v>
          </cell>
          <cell r="N283">
            <v>5.9763225337446706E-2</v>
          </cell>
          <cell r="O283">
            <v>532.54999999999995</v>
          </cell>
          <cell r="P283">
            <v>2.0840938420241605E-2</v>
          </cell>
          <cell r="Q283">
            <v>1287.624</v>
          </cell>
          <cell r="R283">
            <v>5.0390184006056105E-2</v>
          </cell>
          <cell r="S283">
            <v>612.83500000000004</v>
          </cell>
          <cell r="T283">
            <v>2.3982830714052699E-2</v>
          </cell>
          <cell r="U283">
            <v>-905.875</v>
          </cell>
          <cell r="V283">
            <v>-3.5450727802903696E-2</v>
          </cell>
          <cell r="W283">
            <v>0</v>
          </cell>
          <cell r="X283">
            <v>0</v>
          </cell>
          <cell r="Z283">
            <v>0</v>
          </cell>
        </row>
        <row r="284">
          <cell r="A284" t="str">
            <v>Belgium</v>
          </cell>
          <cell r="I284" t="str">
            <v>|</v>
          </cell>
          <cell r="J284">
            <v>110799.7</v>
          </cell>
          <cell r="K284">
            <v>95277.816000000006</v>
          </cell>
          <cell r="L284">
            <v>33.337760804096817</v>
          </cell>
          <cell r="M284">
            <v>2308.049</v>
          </cell>
          <cell r="N284">
            <v>2.4224411273239092E-2</v>
          </cell>
          <cell r="O284">
            <v>2308.049</v>
          </cell>
          <cell r="P284">
            <v>2.4224411273239092E-2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Z284">
            <v>0</v>
          </cell>
        </row>
        <row r="285">
          <cell r="A285" t="str">
            <v>France</v>
          </cell>
          <cell r="I285" t="str">
            <v>|</v>
          </cell>
          <cell r="J285">
            <v>2674.9080000000004</v>
          </cell>
          <cell r="K285">
            <v>5505.8910000000005</v>
          </cell>
          <cell r="L285">
            <v>57.276539279479174</v>
          </cell>
          <cell r="M285">
            <v>3088.7790000000005</v>
          </cell>
          <cell r="N285">
            <v>0.56099530484711746</v>
          </cell>
          <cell r="O285">
            <v>2156.02</v>
          </cell>
          <cell r="P285">
            <v>0.3915842140718005</v>
          </cell>
          <cell r="Q285">
            <v>996.32500000000005</v>
          </cell>
          <cell r="R285">
            <v>0.18095617948121384</v>
          </cell>
          <cell r="S285">
            <v>-63.566000000000003</v>
          </cell>
          <cell r="T285">
            <v>-1.1545088705897011E-2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Z285">
            <v>-4.5474735088646412E-13</v>
          </cell>
        </row>
        <row r="286">
          <cell r="A286" t="str">
            <v>Italy</v>
          </cell>
          <cell r="I286" t="str">
            <v>|</v>
          </cell>
          <cell r="J286">
            <v>808636.14</v>
          </cell>
          <cell r="K286">
            <v>1912620.6140000001</v>
          </cell>
          <cell r="L286">
            <v>63.867422816106661</v>
          </cell>
          <cell r="M286">
            <v>1010077.172</v>
          </cell>
          <cell r="N286">
            <v>0.52811162057254701</v>
          </cell>
          <cell r="O286">
            <v>1010077.172</v>
          </cell>
          <cell r="P286">
            <v>0.52811162057254701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Z286">
            <v>0</v>
          </cell>
        </row>
        <row r="287">
          <cell r="A287" t="str">
            <v>Germany</v>
          </cell>
          <cell r="I287" t="str">
            <v>|</v>
          </cell>
          <cell r="J287">
            <v>2009.2</v>
          </cell>
          <cell r="K287">
            <v>1091.123</v>
          </cell>
          <cell r="L287">
            <v>23.993066804452198</v>
          </cell>
          <cell r="M287">
            <v>126.07399999999998</v>
          </cell>
          <cell r="N287">
            <v>0.11554517684990599</v>
          </cell>
          <cell r="O287">
            <v>129.18299999999999</v>
          </cell>
          <cell r="P287">
            <v>0.11839453480496698</v>
          </cell>
          <cell r="Q287">
            <v>0</v>
          </cell>
          <cell r="R287">
            <v>0</v>
          </cell>
          <cell r="S287">
            <v>-1.552</v>
          </cell>
          <cell r="T287">
            <v>-1.4223877601333671E-3</v>
          </cell>
          <cell r="U287">
            <v>-1.5569999999999999</v>
          </cell>
          <cell r="V287">
            <v>-1.4269701949276112E-3</v>
          </cell>
          <cell r="W287">
            <v>0</v>
          </cell>
          <cell r="X287">
            <v>0</v>
          </cell>
          <cell r="Z287">
            <v>1.4210854715202004E-14</v>
          </cell>
        </row>
        <row r="288">
          <cell r="A288" t="str">
            <v>Israel</v>
          </cell>
          <cell r="I288" t="str">
            <v>|</v>
          </cell>
          <cell r="J288">
            <v>1143.1010000000001</v>
          </cell>
          <cell r="K288">
            <v>1026.079</v>
          </cell>
          <cell r="L288">
            <v>36.787782713689175</v>
          </cell>
          <cell r="M288">
            <v>295.52199999999999</v>
          </cell>
          <cell r="N288">
            <v>0.2880109621189012</v>
          </cell>
          <cell r="O288">
            <v>134.892</v>
          </cell>
          <cell r="P288">
            <v>0.1314635617725341</v>
          </cell>
          <cell r="Q288">
            <v>90.816999999999993</v>
          </cell>
          <cell r="R288">
            <v>8.8508779538417598E-2</v>
          </cell>
          <cell r="S288">
            <v>69.813000000000002</v>
          </cell>
          <cell r="T288">
            <v>6.8038620807949493E-2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Z288">
            <v>0</v>
          </cell>
        </row>
        <row r="289">
          <cell r="A289" t="str">
            <v>Subtotal Tonnage</v>
          </cell>
          <cell r="I289" t="str">
            <v>|</v>
          </cell>
          <cell r="J289">
            <v>952595.92500000005</v>
          </cell>
          <cell r="K289">
            <v>2044322.8019999999</v>
          </cell>
          <cell r="L289">
            <v>59.094914031242595</v>
          </cell>
          <cell r="M289">
            <v>1018400.8420000001</v>
          </cell>
          <cell r="N289">
            <v>0.49816048669206209</v>
          </cell>
          <cell r="O289">
            <v>1016080.4959999999</v>
          </cell>
          <cell r="P289">
            <v>0.49702546731169317</v>
          </cell>
          <cell r="Q289">
            <v>2418.15</v>
          </cell>
          <cell r="R289">
            <v>1.1828611399502455E-3</v>
          </cell>
          <cell r="S289">
            <v>635.13400000000001</v>
          </cell>
          <cell r="T289">
            <v>3.1068185483165201E-4</v>
          </cell>
          <cell r="U289">
            <v>-732.93799999999999</v>
          </cell>
          <cell r="V289">
            <v>-3.5852361441302363E-4</v>
          </cell>
        </row>
        <row r="291">
          <cell r="A291" t="str">
            <v>x</v>
          </cell>
          <cell r="J291" t="str">
            <v>As of 3oth September 1999</v>
          </cell>
        </row>
        <row r="293">
          <cell r="I293" t="str">
            <v>|</v>
          </cell>
          <cell r="M293" t="str">
            <v>PAST DUE</v>
          </cell>
          <cell r="W293" t="str">
            <v>Total Debt</v>
          </cell>
          <cell r="X293" t="str">
            <v>Provision for</v>
          </cell>
        </row>
        <row r="294">
          <cell r="I294" t="str">
            <v>|</v>
          </cell>
          <cell r="J294" t="str">
            <v>SALES</v>
          </cell>
          <cell r="K294" t="str">
            <v>TAR</v>
          </cell>
          <cell r="L294" t="str">
            <v>DSO</v>
          </cell>
          <cell r="M294" t="str">
            <v>TOTAL PAST DUE</v>
          </cell>
          <cell r="O294" t="str">
            <v>0-30 Days PD</v>
          </cell>
          <cell r="Q294" t="str">
            <v>31-60 Days PD</v>
          </cell>
          <cell r="S294" t="str">
            <v>61-90 Days PD</v>
          </cell>
          <cell r="U294" t="str">
            <v>91-180 Days PD</v>
          </cell>
          <cell r="W294" t="str">
            <v>Recovery</v>
          </cell>
          <cell r="X294" t="str">
            <v>Bad Debt</v>
          </cell>
        </row>
        <row r="295">
          <cell r="I295" t="str">
            <v>|</v>
          </cell>
          <cell r="J295" t="str">
            <v>LCL</v>
          </cell>
          <cell r="K295" t="str">
            <v>LCL</v>
          </cell>
          <cell r="L295" t="str">
            <v>Days</v>
          </cell>
          <cell r="M295" t="str">
            <v>LCL</v>
          </cell>
          <cell r="N295" t="str">
            <v>%</v>
          </cell>
          <cell r="O295" t="str">
            <v>LCL</v>
          </cell>
          <cell r="P295" t="str">
            <v>%</v>
          </cell>
          <cell r="Q295" t="str">
            <v>LCL</v>
          </cell>
          <cell r="R295" t="str">
            <v>%</v>
          </cell>
          <cell r="S295" t="str">
            <v>LCL</v>
          </cell>
          <cell r="T295" t="str">
            <v>%</v>
          </cell>
          <cell r="U295" t="str">
            <v>LCL</v>
          </cell>
          <cell r="V295" t="str">
            <v>%</v>
          </cell>
          <cell r="W295" t="str">
            <v>LCL</v>
          </cell>
          <cell r="X295" t="str">
            <v>LCL</v>
          </cell>
        </row>
        <row r="296">
          <cell r="A296" t="str">
            <v>Tonnage</v>
          </cell>
          <cell r="I296" t="str">
            <v>|</v>
          </cell>
        </row>
        <row r="297">
          <cell r="A297" t="str">
            <v>UK</v>
          </cell>
          <cell r="I297" t="str">
            <v>|</v>
          </cell>
          <cell r="J297">
            <v>3475.65</v>
          </cell>
          <cell r="K297">
            <v>2736.8939999999998</v>
          </cell>
          <cell r="L297">
            <v>22.77076827013428</v>
          </cell>
          <cell r="M297">
            <v>422.80799999999999</v>
          </cell>
          <cell r="N297">
            <v>0.1544846091956795</v>
          </cell>
          <cell r="O297">
            <v>310.64799999999997</v>
          </cell>
          <cell r="P297">
            <v>0.11350384779242455</v>
          </cell>
          <cell r="Q297">
            <v>109.27200000000001</v>
          </cell>
          <cell r="R297">
            <v>3.9925550642443595E-2</v>
          </cell>
          <cell r="S297">
            <v>3.1240000000000001</v>
          </cell>
          <cell r="T297">
            <v>1.1414398950050678E-3</v>
          </cell>
          <cell r="U297">
            <v>-0.23599999999999999</v>
          </cell>
          <cell r="V297">
            <v>-8.6229134193724713E-5</v>
          </cell>
          <cell r="W297">
            <v>0</v>
          </cell>
          <cell r="X297">
            <v>0</v>
          </cell>
        </row>
        <row r="298">
          <cell r="A298" t="str">
            <v>Ireland</v>
          </cell>
          <cell r="I298" t="str">
            <v>|</v>
          </cell>
          <cell r="J298">
            <v>377</v>
          </cell>
          <cell r="K298">
            <v>1187.4880000000001</v>
          </cell>
          <cell r="L298">
            <v>50.964764652840401</v>
          </cell>
          <cell r="M298">
            <v>385.41200000000003</v>
          </cell>
          <cell r="N298">
            <v>0.32456075345603491</v>
          </cell>
          <cell r="O298">
            <v>197.15100000000001</v>
          </cell>
          <cell r="P298">
            <v>0.16602357244873212</v>
          </cell>
          <cell r="Q298">
            <v>0</v>
          </cell>
          <cell r="R298">
            <v>0</v>
          </cell>
          <cell r="S298">
            <v>5.8959999999999999</v>
          </cell>
          <cell r="T298">
            <v>4.9651028052494E-3</v>
          </cell>
          <cell r="U298">
            <v>182.36500000000001</v>
          </cell>
          <cell r="V298">
            <v>0.1535720782020534</v>
          </cell>
          <cell r="W298">
            <v>0</v>
          </cell>
          <cell r="X298">
            <v>0</v>
          </cell>
        </row>
        <row r="299">
          <cell r="A299" t="str">
            <v>Netherlands</v>
          </cell>
          <cell r="I299" t="str">
            <v>|</v>
          </cell>
          <cell r="J299">
            <v>24691.931</v>
          </cell>
          <cell r="K299">
            <v>25569.324999999997</v>
          </cell>
          <cell r="L299">
            <v>32.859952962511876</v>
          </cell>
          <cell r="M299">
            <v>622.38600000000008</v>
          </cell>
          <cell r="N299">
            <v>2.4341119681493356E-2</v>
          </cell>
          <cell r="O299">
            <v>1191.213</v>
          </cell>
          <cell r="P299">
            <v>4.6587581017488736E-2</v>
          </cell>
          <cell r="Q299">
            <v>0</v>
          </cell>
          <cell r="R299">
            <v>0</v>
          </cell>
          <cell r="S299">
            <v>-2.5329999999999999</v>
          </cell>
          <cell r="T299">
            <v>-9.9064015182254527E-5</v>
          </cell>
          <cell r="U299">
            <v>-566.29399999999998</v>
          </cell>
          <cell r="V299">
            <v>-2.2147397320813125E-2</v>
          </cell>
          <cell r="W299">
            <v>0</v>
          </cell>
          <cell r="X299">
            <v>356</v>
          </cell>
        </row>
        <row r="300">
          <cell r="A300" t="str">
            <v>Belgium</v>
          </cell>
          <cell r="I300" t="str">
            <v>|</v>
          </cell>
          <cell r="J300">
            <v>104024.91</v>
          </cell>
          <cell r="K300">
            <v>81039.540999999997</v>
          </cell>
          <cell r="L300">
            <v>32.866904599555767</v>
          </cell>
          <cell r="M300">
            <v>1243.3209999999999</v>
          </cell>
          <cell r="N300">
            <v>1.5342152542547101E-2</v>
          </cell>
          <cell r="O300">
            <v>1243.3209999999999</v>
          </cell>
          <cell r="P300">
            <v>1.5342152542547101E-2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19000</v>
          </cell>
        </row>
        <row r="301">
          <cell r="A301" t="str">
            <v>France</v>
          </cell>
          <cell r="I301" t="str">
            <v>|</v>
          </cell>
          <cell r="J301">
            <v>2754.5040000000004</v>
          </cell>
          <cell r="K301">
            <v>3612.643</v>
          </cell>
          <cell r="L301">
            <v>49.48721977104374</v>
          </cell>
          <cell r="M301">
            <v>-83.045000000000002</v>
          </cell>
          <cell r="N301">
            <v>-2.2987325346013984E-2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-19.478999999999999</v>
          </cell>
          <cell r="T301">
            <v>-5.3918972896020998E-3</v>
          </cell>
          <cell r="U301">
            <v>-63.566000000000003</v>
          </cell>
          <cell r="V301">
            <v>-1.7595428056411885E-2</v>
          </cell>
          <cell r="W301">
            <v>0</v>
          </cell>
          <cell r="X301">
            <v>0</v>
          </cell>
        </row>
        <row r="302">
          <cell r="A302" t="str">
            <v>Italy</v>
          </cell>
          <cell r="I302" t="str">
            <v>|</v>
          </cell>
          <cell r="J302">
            <v>805630.41</v>
          </cell>
          <cell r="K302">
            <v>950050.05799999996</v>
          </cell>
          <cell r="L302">
            <v>55.862793498375908</v>
          </cell>
          <cell r="M302">
            <v>728108.40800000005</v>
          </cell>
          <cell r="N302">
            <v>0.76638952007726746</v>
          </cell>
          <cell r="O302">
            <v>728108.40800000005</v>
          </cell>
          <cell r="P302">
            <v>0.76638952007726746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A303" t="str">
            <v>Germany</v>
          </cell>
          <cell r="I303" t="str">
            <v>|</v>
          </cell>
          <cell r="J303">
            <v>1599.56</v>
          </cell>
          <cell r="K303">
            <v>862.37099999999998</v>
          </cell>
          <cell r="L303">
            <v>23.802248267214658</v>
          </cell>
          <cell r="M303">
            <v>-207.06799999999998</v>
          </cell>
          <cell r="N303">
            <v>-0.24011475339500052</v>
          </cell>
          <cell r="O303">
            <v>-207.06799999999998</v>
          </cell>
          <cell r="P303">
            <v>-0.24011475339500052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</row>
        <row r="304">
          <cell r="A304" t="str">
            <v>Israel</v>
          </cell>
          <cell r="I304" t="str">
            <v>|</v>
          </cell>
          <cell r="J304">
            <v>2197.12</v>
          </cell>
          <cell r="K304">
            <v>566.42600000000004</v>
          </cell>
          <cell r="L304">
            <v>20.811214671229468</v>
          </cell>
          <cell r="M304">
            <v>370.01499999999999</v>
          </cell>
          <cell r="N304">
            <v>0.653245084088654</v>
          </cell>
          <cell r="O304">
            <v>392.41699999999997</v>
          </cell>
          <cell r="P304">
            <v>0.6927948222715764</v>
          </cell>
          <cell r="Q304">
            <v>13.458</v>
          </cell>
          <cell r="R304">
            <v>2.3759502565207105E-2</v>
          </cell>
          <cell r="S304">
            <v>0</v>
          </cell>
          <cell r="T304">
            <v>0</v>
          </cell>
          <cell r="U304">
            <v>-35.86</v>
          </cell>
          <cell r="V304">
            <v>-6.3309240748129492E-2</v>
          </cell>
          <cell r="W304">
            <v>0</v>
          </cell>
          <cell r="X304">
            <v>0</v>
          </cell>
        </row>
        <row r="305">
          <cell r="A305" t="str">
            <v>Subtotal Tonnage</v>
          </cell>
          <cell r="I305" t="str">
            <v>|</v>
          </cell>
          <cell r="J305">
            <v>944751.08500000008</v>
          </cell>
          <cell r="K305">
            <v>1065624.746</v>
          </cell>
          <cell r="M305">
            <v>730862.23700000008</v>
          </cell>
          <cell r="N305">
            <v>0.68585328910896004</v>
          </cell>
          <cell r="O305">
            <v>731236.09000000008</v>
          </cell>
          <cell r="P305">
            <v>0.68620411898730438</v>
          </cell>
          <cell r="Q305">
            <v>122.73</v>
          </cell>
          <cell r="R305">
            <v>1.151718749594428E-4</v>
          </cell>
          <cell r="S305">
            <v>-12.991999999999999</v>
          </cell>
          <cell r="T305">
            <v>-1.2191909064394042E-5</v>
          </cell>
          <cell r="U305">
            <v>-483.59100000000001</v>
          </cell>
          <cell r="V305">
            <v>-4.5380984423948426E-4</v>
          </cell>
        </row>
        <row r="307">
          <cell r="A307" t="str">
            <v>x</v>
          </cell>
          <cell r="J307" t="str">
            <v>As of 31st October 1999</v>
          </cell>
        </row>
        <row r="309">
          <cell r="I309" t="str">
            <v>|</v>
          </cell>
          <cell r="M309" t="str">
            <v>PAST DUE</v>
          </cell>
          <cell r="W309" t="str">
            <v>Total Debt</v>
          </cell>
          <cell r="X309" t="str">
            <v>Provision for</v>
          </cell>
        </row>
        <row r="310">
          <cell r="I310" t="str">
            <v>|</v>
          </cell>
          <cell r="J310" t="str">
            <v>SALES</v>
          </cell>
          <cell r="K310" t="str">
            <v>TAR</v>
          </cell>
          <cell r="L310" t="str">
            <v>DSO</v>
          </cell>
          <cell r="M310" t="str">
            <v>TOTAL PAST DUE</v>
          </cell>
          <cell r="O310" t="str">
            <v>0-30 Days PD</v>
          </cell>
          <cell r="Q310" t="str">
            <v>31-60 Days PD</v>
          </cell>
          <cell r="S310" t="str">
            <v>61-90 Days PD</v>
          </cell>
          <cell r="U310" t="str">
            <v>91-180 Days PD</v>
          </cell>
          <cell r="W310" t="str">
            <v>Recovery</v>
          </cell>
          <cell r="X310" t="str">
            <v>Bad Debt</v>
          </cell>
        </row>
        <row r="311">
          <cell r="I311" t="str">
            <v>|</v>
          </cell>
          <cell r="J311" t="str">
            <v>LCL</v>
          </cell>
          <cell r="K311" t="str">
            <v>LCL</v>
          </cell>
          <cell r="L311" t="str">
            <v>Days</v>
          </cell>
          <cell r="M311" t="str">
            <v>LCL</v>
          </cell>
          <cell r="N311" t="str">
            <v>%</v>
          </cell>
          <cell r="O311" t="str">
            <v>LCL</v>
          </cell>
          <cell r="P311" t="str">
            <v>%</v>
          </cell>
          <cell r="Q311" t="str">
            <v>LCL</v>
          </cell>
          <cell r="R311" t="str">
            <v>%</v>
          </cell>
          <cell r="S311" t="str">
            <v>LCL</v>
          </cell>
          <cell r="T311" t="str">
            <v>%</v>
          </cell>
          <cell r="U311" t="str">
            <v>LCL</v>
          </cell>
          <cell r="V311" t="str">
            <v>%</v>
          </cell>
          <cell r="W311" t="str">
            <v>LCL</v>
          </cell>
          <cell r="X311" t="str">
            <v>LCL</v>
          </cell>
        </row>
        <row r="312">
          <cell r="A312" t="str">
            <v>Tonnage</v>
          </cell>
          <cell r="I312" t="str">
            <v>|</v>
          </cell>
        </row>
        <row r="313">
          <cell r="A313" t="str">
            <v>UK</v>
          </cell>
          <cell r="I313" t="str">
            <v>|</v>
          </cell>
          <cell r="J313">
            <v>3748.25</v>
          </cell>
          <cell r="K313">
            <v>3160.9540000000006</v>
          </cell>
          <cell r="L313">
            <v>24.504339752270344</v>
          </cell>
          <cell r="M313">
            <v>814.30200000000013</v>
          </cell>
          <cell r="N313">
            <v>0.25761273337100127</v>
          </cell>
          <cell r="O313">
            <v>315.529</v>
          </cell>
          <cell r="P313">
            <v>9.9820813589821283E-2</v>
          </cell>
          <cell r="Q313">
            <v>486.39000000000004</v>
          </cell>
          <cell r="R313">
            <v>0.15387443157983316</v>
          </cell>
          <cell r="S313">
            <v>4.9420000000000002</v>
          </cell>
          <cell r="T313">
            <v>1.5634520464391443E-3</v>
          </cell>
          <cell r="U313">
            <v>7.4409999999999998</v>
          </cell>
          <cell r="V313">
            <v>2.3540361549076634E-3</v>
          </cell>
          <cell r="W313">
            <v>0</v>
          </cell>
          <cell r="X313">
            <v>0</v>
          </cell>
        </row>
        <row r="314">
          <cell r="A314" t="str">
            <v>Ireland</v>
          </cell>
          <cell r="I314" t="str">
            <v>|</v>
          </cell>
          <cell r="J314">
            <v>347</v>
          </cell>
          <cell r="K314">
            <v>179.19499999999999</v>
          </cell>
          <cell r="L314">
            <v>50.902052599388377</v>
          </cell>
          <cell r="M314">
            <v>165.37099999999998</v>
          </cell>
          <cell r="N314">
            <v>0.92285499037361529</v>
          </cell>
          <cell r="O314">
            <v>42.433</v>
          </cell>
          <cell r="P314">
            <v>0.23679790172716875</v>
          </cell>
          <cell r="Q314">
            <v>52.5</v>
          </cell>
          <cell r="R314">
            <v>0.29297692457936886</v>
          </cell>
          <cell r="S314">
            <v>0</v>
          </cell>
          <cell r="T314">
            <v>0</v>
          </cell>
          <cell r="U314">
            <v>70.438000000000002</v>
          </cell>
          <cell r="V314">
            <v>0.3930801640670778</v>
          </cell>
          <cell r="W314">
            <v>0</v>
          </cell>
          <cell r="X314">
            <v>0</v>
          </cell>
        </row>
        <row r="315">
          <cell r="A315" t="str">
            <v>Netherlands</v>
          </cell>
          <cell r="I315" t="str">
            <v>|</v>
          </cell>
          <cell r="J315">
            <v>17216.709000000003</v>
          </cell>
          <cell r="K315">
            <v>26326.987000000001</v>
          </cell>
          <cell r="L315">
            <v>36.42413232108057</v>
          </cell>
          <cell r="M315">
            <v>6206.9130000000005</v>
          </cell>
          <cell r="N315">
            <v>0.23576237569456771</v>
          </cell>
          <cell r="O315">
            <v>3648.0290000000005</v>
          </cell>
          <cell r="P315">
            <v>0.13856614127549044</v>
          </cell>
          <cell r="Q315">
            <v>2368.8209999999999</v>
          </cell>
          <cell r="R315">
            <v>8.9976912283961694E-2</v>
          </cell>
          <cell r="S315">
            <v>758.89</v>
          </cell>
          <cell r="T315">
            <v>2.8825554553584123E-2</v>
          </cell>
          <cell r="U315">
            <v>-568.827</v>
          </cell>
          <cell r="V315">
            <v>-2.1606232418468548E-2</v>
          </cell>
          <cell r="W315">
            <v>0</v>
          </cell>
          <cell r="X315">
            <v>395</v>
          </cell>
        </row>
        <row r="316">
          <cell r="A316" t="str">
            <v>Belgium</v>
          </cell>
          <cell r="I316" t="str">
            <v>|</v>
          </cell>
          <cell r="J316">
            <v>97371.89</v>
          </cell>
          <cell r="K316">
            <v>153384.15</v>
          </cell>
          <cell r="L316">
            <v>32.386161326813934</v>
          </cell>
          <cell r="M316">
            <v>1102.085</v>
          </cell>
          <cell r="N316">
            <v>7.1851296238887793E-3</v>
          </cell>
          <cell r="O316">
            <v>1102.085</v>
          </cell>
          <cell r="P316">
            <v>7.1851296238887793E-3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28410</v>
          </cell>
        </row>
        <row r="317">
          <cell r="A317" t="str">
            <v>France</v>
          </cell>
          <cell r="I317" t="str">
            <v>|</v>
          </cell>
          <cell r="J317">
            <v>2597.4940000000001</v>
          </cell>
          <cell r="K317">
            <v>2948.7710000000002</v>
          </cell>
          <cell r="L317">
            <v>46.102946764294977</v>
          </cell>
          <cell r="M317">
            <v>420.80700000000002</v>
          </cell>
          <cell r="N317">
            <v>0.14270589340440476</v>
          </cell>
          <cell r="O317">
            <v>493.6</v>
          </cell>
          <cell r="P317">
            <v>0.16739177101239805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-72.793000000000006</v>
          </cell>
          <cell r="V317">
            <v>-2.4685877607993297E-2</v>
          </cell>
          <cell r="W317">
            <v>0</v>
          </cell>
          <cell r="X317">
            <v>0</v>
          </cell>
        </row>
        <row r="318">
          <cell r="A318" t="str">
            <v>Italy</v>
          </cell>
          <cell r="I318" t="str">
            <v>|</v>
          </cell>
          <cell r="J318">
            <v>804830.13</v>
          </cell>
          <cell r="K318">
            <v>1222610.0719999999</v>
          </cell>
          <cell r="L318">
            <v>51.788729178033506</v>
          </cell>
          <cell r="M318">
            <v>812821.04399999999</v>
          </cell>
          <cell r="N318">
            <v>0.66482442981215684</v>
          </cell>
          <cell r="O318">
            <v>642402.03599999996</v>
          </cell>
          <cell r="P318">
            <v>0.52543492869245723</v>
          </cell>
          <cell r="Q318">
            <v>170419.008</v>
          </cell>
          <cell r="R318">
            <v>0.13938950111969961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A319" t="str">
            <v>Germany</v>
          </cell>
          <cell r="I319" t="str">
            <v>|</v>
          </cell>
          <cell r="J319">
            <v>1881.377</v>
          </cell>
          <cell r="K319">
            <v>1196.9559999999999</v>
          </cell>
          <cell r="L319">
            <v>17.597702935281941</v>
          </cell>
          <cell r="M319">
            <v>373.63299999999998</v>
          </cell>
          <cell r="N319">
            <v>0.31215266058234387</v>
          </cell>
          <cell r="O319">
            <v>373.63299999999998</v>
          </cell>
          <cell r="P319">
            <v>0.31215266058234387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</row>
        <row r="320">
          <cell r="A320" t="str">
            <v>Israel</v>
          </cell>
          <cell r="I320" t="str">
            <v>|</v>
          </cell>
          <cell r="J320">
            <v>908.27</v>
          </cell>
          <cell r="K320">
            <v>1622.7139999999999</v>
          </cell>
          <cell r="L320">
            <v>23.208251902459796</v>
          </cell>
          <cell r="M320">
            <v>877.99299999999994</v>
          </cell>
          <cell r="N320">
            <v>0.54106453755868256</v>
          </cell>
          <cell r="O320">
            <v>441.375</v>
          </cell>
          <cell r="P320">
            <v>0.2719980230650626</v>
          </cell>
          <cell r="Q320">
            <v>384.97300000000001</v>
          </cell>
          <cell r="R320">
            <v>0.2372402037574089</v>
          </cell>
          <cell r="S320">
            <v>38.902999999999999</v>
          </cell>
          <cell r="T320">
            <v>2.397403362514898E-2</v>
          </cell>
          <cell r="U320">
            <v>12.742000000000001</v>
          </cell>
          <cell r="V320">
            <v>7.8522771110620861E-3</v>
          </cell>
          <cell r="W320">
            <v>0</v>
          </cell>
          <cell r="X320">
            <v>0</v>
          </cell>
        </row>
        <row r="321">
          <cell r="A321" t="str">
            <v>Subtotal Tonnage</v>
          </cell>
          <cell r="I321" t="str">
            <v>|</v>
          </cell>
          <cell r="J321">
            <v>928901.12</v>
          </cell>
          <cell r="K321">
            <v>1411429.7989999999</v>
          </cell>
          <cell r="M321">
            <v>822782.14800000004</v>
          </cell>
          <cell r="N321">
            <v>0.58294231040250277</v>
          </cell>
          <cell r="O321">
            <v>648818.72</v>
          </cell>
          <cell r="P321">
            <v>0.45968897670977971</v>
          </cell>
          <cell r="Q321">
            <v>173711.69200000001</v>
          </cell>
          <cell r="R321">
            <v>0.12307497838225818</v>
          </cell>
          <cell r="S321">
            <v>802.73500000000001</v>
          </cell>
          <cell r="T321">
            <v>5.6873887781648015E-4</v>
          </cell>
          <cell r="U321">
            <v>-550.99900000000002</v>
          </cell>
          <cell r="V321">
            <v>-3.9038356735162006E-4</v>
          </cell>
        </row>
        <row r="323">
          <cell r="A323" t="str">
            <v>x</v>
          </cell>
          <cell r="J323" t="str">
            <v>As of 30th November 1999</v>
          </cell>
        </row>
        <row r="325">
          <cell r="I325" t="str">
            <v>|</v>
          </cell>
          <cell r="M325" t="str">
            <v>PAST DUE</v>
          </cell>
          <cell r="W325" t="str">
            <v>Total Debt</v>
          </cell>
          <cell r="X325" t="str">
            <v>Provision for</v>
          </cell>
        </row>
        <row r="326">
          <cell r="I326" t="str">
            <v>|</v>
          </cell>
          <cell r="J326" t="str">
            <v>SALES</v>
          </cell>
          <cell r="K326" t="str">
            <v>TAR</v>
          </cell>
          <cell r="L326" t="str">
            <v>DSO</v>
          </cell>
          <cell r="M326" t="str">
            <v>TOTAL PAST DUE</v>
          </cell>
          <cell r="O326" t="str">
            <v>0-30 Days PD</v>
          </cell>
          <cell r="Q326" t="str">
            <v>31-60 Days PD</v>
          </cell>
          <cell r="S326" t="str">
            <v>61-90 Days PD</v>
          </cell>
          <cell r="U326" t="str">
            <v>91-180 Days PD</v>
          </cell>
          <cell r="W326" t="str">
            <v>Recovery</v>
          </cell>
          <cell r="X326" t="str">
            <v>Bad Debt</v>
          </cell>
        </row>
        <row r="327">
          <cell r="I327" t="str">
            <v>|</v>
          </cell>
          <cell r="J327" t="str">
            <v>LCL</v>
          </cell>
          <cell r="K327" t="str">
            <v>LCL</v>
          </cell>
          <cell r="L327" t="str">
            <v>Days</v>
          </cell>
          <cell r="M327" t="str">
            <v>LCL</v>
          </cell>
          <cell r="N327" t="str">
            <v>%</v>
          </cell>
          <cell r="O327" t="str">
            <v>LCL</v>
          </cell>
          <cell r="P327" t="str">
            <v>%</v>
          </cell>
          <cell r="Q327" t="str">
            <v>LCL</v>
          </cell>
          <cell r="R327" t="str">
            <v>%</v>
          </cell>
          <cell r="S327" t="str">
            <v>LCL</v>
          </cell>
          <cell r="T327" t="str">
            <v>%</v>
          </cell>
          <cell r="U327" t="str">
            <v>LCL</v>
          </cell>
          <cell r="V327" t="str">
            <v>%</v>
          </cell>
          <cell r="W327" t="str">
            <v>LCL</v>
          </cell>
          <cell r="X327" t="str">
            <v>LCL</v>
          </cell>
        </row>
        <row r="328">
          <cell r="A328" t="str">
            <v>Tonnage</v>
          </cell>
          <cell r="I328" t="str">
            <v>|</v>
          </cell>
        </row>
        <row r="329">
          <cell r="A329" t="str">
            <v>UK</v>
          </cell>
          <cell r="I329" t="str">
            <v>|</v>
          </cell>
          <cell r="J329">
            <v>3842</v>
          </cell>
          <cell r="K329">
            <v>2753</v>
          </cell>
          <cell r="L329">
            <v>23.713304475912491</v>
          </cell>
          <cell r="M329">
            <v>240</v>
          </cell>
          <cell r="N329">
            <v>8.7177624409734839E-2</v>
          </cell>
          <cell r="O329">
            <v>128</v>
          </cell>
          <cell r="P329">
            <v>4.6494733018525247E-2</v>
          </cell>
          <cell r="Q329">
            <v>-48</v>
          </cell>
          <cell r="R329">
            <v>-1.7435524881946968E-2</v>
          </cell>
          <cell r="S329">
            <v>61</v>
          </cell>
          <cell r="T329">
            <v>2.2157646204140936E-2</v>
          </cell>
          <cell r="U329">
            <v>99</v>
          </cell>
          <cell r="V329">
            <v>3.5960770069015623E-2</v>
          </cell>
          <cell r="W329">
            <v>0</v>
          </cell>
          <cell r="X329">
            <v>0</v>
          </cell>
        </row>
        <row r="330">
          <cell r="A330" t="str">
            <v>Ireland</v>
          </cell>
          <cell r="I330" t="str">
            <v>|</v>
          </cell>
          <cell r="J330">
            <v>380</v>
          </cell>
          <cell r="K330">
            <v>710</v>
          </cell>
          <cell r="L330">
            <v>57.058621074879227</v>
          </cell>
          <cell r="M330">
            <v>93</v>
          </cell>
          <cell r="N330">
            <v>0.13098591549295774</v>
          </cell>
          <cell r="O330">
            <v>0</v>
          </cell>
          <cell r="P330">
            <v>0</v>
          </cell>
          <cell r="Q330">
            <v>13</v>
          </cell>
          <cell r="R330">
            <v>1.8309859154929577E-2</v>
          </cell>
          <cell r="S330">
            <v>53</v>
          </cell>
          <cell r="T330">
            <v>7.464788732394366E-2</v>
          </cell>
          <cell r="U330">
            <v>27</v>
          </cell>
          <cell r="V330">
            <v>3.8028169014084505E-2</v>
          </cell>
          <cell r="W330">
            <v>0</v>
          </cell>
          <cell r="X330">
            <v>0</v>
          </cell>
        </row>
        <row r="331">
          <cell r="A331" t="str">
            <v>Netherlands</v>
          </cell>
          <cell r="I331" t="str">
            <v>|</v>
          </cell>
          <cell r="J331">
            <v>21069</v>
          </cell>
          <cell r="K331">
            <v>29414</v>
          </cell>
          <cell r="L331">
            <v>39.163309348100903</v>
          </cell>
          <cell r="M331">
            <v>5652</v>
          </cell>
          <cell r="N331">
            <v>0.19215339634187803</v>
          </cell>
          <cell r="O331">
            <v>3554</v>
          </cell>
          <cell r="P331">
            <v>0.12082681716189569</v>
          </cell>
          <cell r="Q331">
            <v>0</v>
          </cell>
          <cell r="R331">
            <v>0</v>
          </cell>
          <cell r="S331">
            <v>1908</v>
          </cell>
          <cell r="T331">
            <v>6.4867070102672203E-2</v>
          </cell>
          <cell r="U331">
            <v>190</v>
          </cell>
          <cell r="V331">
            <v>6.459509077310124E-3</v>
          </cell>
          <cell r="W331">
            <v>0</v>
          </cell>
          <cell r="X331">
            <v>435</v>
          </cell>
        </row>
        <row r="332">
          <cell r="A332" t="str">
            <v>Belgium</v>
          </cell>
          <cell r="I332" t="str">
            <v>|</v>
          </cell>
          <cell r="J332">
            <v>126855</v>
          </cell>
          <cell r="K332">
            <v>163418</v>
          </cell>
          <cell r="L332">
            <v>36.764047073009195</v>
          </cell>
          <cell r="M332">
            <v>1949</v>
          </cell>
          <cell r="N332">
            <v>1.1926470768214029E-2</v>
          </cell>
          <cell r="O332">
            <v>1949</v>
          </cell>
          <cell r="P332">
            <v>1.1926470768214029E-2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21000</v>
          </cell>
        </row>
        <row r="333">
          <cell r="A333" t="str">
            <v>France</v>
          </cell>
          <cell r="I333" t="str">
            <v>|</v>
          </cell>
          <cell r="J333">
            <v>3339</v>
          </cell>
          <cell r="K333">
            <v>2509</v>
          </cell>
          <cell r="L333">
            <v>31.657571585372967</v>
          </cell>
          <cell r="M333">
            <v>276</v>
          </cell>
          <cell r="N333">
            <v>0.11000398565165405</v>
          </cell>
          <cell r="O333">
            <v>276</v>
          </cell>
          <cell r="P333">
            <v>0.11000398565165405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</row>
        <row r="334">
          <cell r="A334" t="str">
            <v>Italy</v>
          </cell>
          <cell r="I334" t="str">
            <v>|</v>
          </cell>
          <cell r="J334">
            <v>830581</v>
          </cell>
          <cell r="K334">
            <v>1546127</v>
          </cell>
          <cell r="L334">
            <v>46.211097911099046</v>
          </cell>
          <cell r="M334">
            <v>818085</v>
          </cell>
          <cell r="N334">
            <v>0.52911888868120149</v>
          </cell>
          <cell r="O334">
            <v>152618</v>
          </cell>
          <cell r="P334">
            <v>9.8709873121677588E-2</v>
          </cell>
          <cell r="Q334">
            <v>495048</v>
          </cell>
          <cell r="R334">
            <v>0.320185857953454</v>
          </cell>
          <cell r="S334">
            <v>170419</v>
          </cell>
          <cell r="T334">
            <v>0.11022315760606988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5">
          <cell r="A335" t="str">
            <v>Germany</v>
          </cell>
          <cell r="I335" t="str">
            <v>|</v>
          </cell>
          <cell r="J335">
            <v>1911</v>
          </cell>
          <cell r="K335">
            <v>1990</v>
          </cell>
          <cell r="L335">
            <v>22.780233831861661</v>
          </cell>
          <cell r="M335">
            <v>982</v>
          </cell>
          <cell r="N335">
            <v>0.49346733668341708</v>
          </cell>
          <cell r="O335">
            <v>669</v>
          </cell>
          <cell r="P335">
            <v>0.33618090452261307</v>
          </cell>
          <cell r="Q335">
            <v>313</v>
          </cell>
          <cell r="R335">
            <v>0.15728643216080401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</row>
        <row r="336">
          <cell r="A336" t="str">
            <v>Israel</v>
          </cell>
          <cell r="I336" t="str">
            <v>|</v>
          </cell>
          <cell r="J336">
            <v>736</v>
          </cell>
          <cell r="K336">
            <v>1538</v>
          </cell>
          <cell r="L336">
            <v>29.431164240027698</v>
          </cell>
          <cell r="M336">
            <v>921</v>
          </cell>
          <cell r="N336">
            <v>0.59882964889466839</v>
          </cell>
          <cell r="O336">
            <v>328</v>
          </cell>
          <cell r="P336">
            <v>0.21326397919375814</v>
          </cell>
          <cell r="Q336">
            <v>202</v>
          </cell>
          <cell r="R336">
            <v>0.13133940182054615</v>
          </cell>
          <cell r="S336">
            <v>385</v>
          </cell>
          <cell r="T336">
            <v>0.2503250975292588</v>
          </cell>
          <cell r="U336">
            <v>6</v>
          </cell>
          <cell r="V336">
            <v>3.9011703511053317E-3</v>
          </cell>
          <cell r="W336">
            <v>0</v>
          </cell>
          <cell r="X336">
            <v>0</v>
          </cell>
        </row>
        <row r="337">
          <cell r="A337" t="str">
            <v>Subtotal Tonnage</v>
          </cell>
          <cell r="I337" t="str">
            <v>|</v>
          </cell>
          <cell r="J337">
            <v>988713</v>
          </cell>
          <cell r="K337">
            <v>1748459</v>
          </cell>
          <cell r="L337">
            <v>44.779020734707395</v>
          </cell>
          <cell r="M337">
            <v>828198</v>
          </cell>
          <cell r="N337">
            <v>0.47367310300098542</v>
          </cell>
          <cell r="O337">
            <v>159522</v>
          </cell>
          <cell r="P337">
            <v>9.1235768182153537E-2</v>
          </cell>
          <cell r="Q337">
            <v>495528</v>
          </cell>
          <cell r="R337">
            <v>0.28340841849880383</v>
          </cell>
          <cell r="S337">
            <v>172826</v>
          </cell>
          <cell r="T337">
            <v>9.8844754152084782E-2</v>
          </cell>
          <cell r="U337">
            <v>322</v>
          </cell>
          <cell r="V337">
            <v>1.8416216794331467E-4</v>
          </cell>
        </row>
        <row r="339">
          <cell r="A339" t="str">
            <v>x</v>
          </cell>
          <cell r="J339" t="str">
            <v>As of 31st December 1999</v>
          </cell>
        </row>
        <row r="341">
          <cell r="I341" t="str">
            <v>|</v>
          </cell>
          <cell r="M341" t="str">
            <v>PAST DUE</v>
          </cell>
          <cell r="W341" t="str">
            <v>Total Debt</v>
          </cell>
          <cell r="X341" t="str">
            <v>Provision for</v>
          </cell>
        </row>
        <row r="342">
          <cell r="I342" t="str">
            <v>|</v>
          </cell>
          <cell r="J342" t="str">
            <v>SALES</v>
          </cell>
          <cell r="K342" t="str">
            <v>TAR</v>
          </cell>
          <cell r="L342" t="str">
            <v>DSO</v>
          </cell>
          <cell r="M342" t="str">
            <v>TOTAL PAST DUE</v>
          </cell>
          <cell r="O342" t="str">
            <v>0-30 Days PD</v>
          </cell>
          <cell r="Q342" t="str">
            <v>31-60 Days PD</v>
          </cell>
          <cell r="S342" t="str">
            <v>61-90 Days PD</v>
          </cell>
          <cell r="U342" t="str">
            <v>91-180 Days PD</v>
          </cell>
          <cell r="W342" t="str">
            <v>Recovery</v>
          </cell>
          <cell r="X342" t="str">
            <v>Bad Debt</v>
          </cell>
        </row>
        <row r="343">
          <cell r="I343" t="str">
            <v>|</v>
          </cell>
          <cell r="J343" t="str">
            <v>LCL</v>
          </cell>
          <cell r="K343" t="str">
            <v>LCL</v>
          </cell>
          <cell r="L343" t="str">
            <v>Days</v>
          </cell>
          <cell r="M343" t="str">
            <v>LCL</v>
          </cell>
          <cell r="N343" t="str">
            <v>%</v>
          </cell>
          <cell r="O343" t="str">
            <v>LCL</v>
          </cell>
          <cell r="P343" t="str">
            <v>%</v>
          </cell>
          <cell r="Q343" t="str">
            <v>LCL</v>
          </cell>
          <cell r="R343" t="str">
            <v>%</v>
          </cell>
          <cell r="S343" t="str">
            <v>LCL</v>
          </cell>
          <cell r="T343" t="str">
            <v>%</v>
          </cell>
          <cell r="U343" t="str">
            <v>LCL</v>
          </cell>
          <cell r="V343" t="str">
            <v>%</v>
          </cell>
          <cell r="W343" t="str">
            <v>LCL</v>
          </cell>
          <cell r="X343" t="str">
            <v>LCL</v>
          </cell>
        </row>
        <row r="344">
          <cell r="A344" t="str">
            <v>Tonnage</v>
          </cell>
          <cell r="I344" t="str">
            <v>|</v>
          </cell>
        </row>
        <row r="345">
          <cell r="A345" t="str">
            <v>UK</v>
          </cell>
          <cell r="I345" t="str">
            <v>|</v>
          </cell>
          <cell r="J345">
            <v>3791.7249999999999</v>
          </cell>
          <cell r="K345">
            <v>2728.1410000000001</v>
          </cell>
          <cell r="L345">
            <v>23.284557088437346</v>
          </cell>
          <cell r="M345">
            <v>395.52400000000006</v>
          </cell>
          <cell r="N345">
            <v>0.14497931008697865</v>
          </cell>
          <cell r="O345">
            <v>469.03200000000004</v>
          </cell>
          <cell r="P345">
            <v>0.17192366523577779</v>
          </cell>
          <cell r="Q345">
            <v>-53.847999999999985</v>
          </cell>
          <cell r="R345">
            <v>-1.9737982750891534E-2</v>
          </cell>
          <cell r="S345">
            <v>-27.912999999999997</v>
          </cell>
          <cell r="T345">
            <v>-1.0231509295157397E-2</v>
          </cell>
          <cell r="U345">
            <v>8.2530000000000019</v>
          </cell>
          <cell r="V345">
            <v>3.025136897249813E-3</v>
          </cell>
          <cell r="W345">
            <v>0</v>
          </cell>
          <cell r="X345">
            <v>0</v>
          </cell>
        </row>
        <row r="346">
          <cell r="A346" t="str">
            <v>Ireland</v>
          </cell>
          <cell r="I346" t="str">
            <v>|</v>
          </cell>
          <cell r="J346">
            <v>435</v>
          </cell>
          <cell r="K346">
            <v>1207.894</v>
          </cell>
          <cell r="L346">
            <v>55.344861732644866</v>
          </cell>
          <cell r="M346">
            <v>623.35</v>
          </cell>
          <cell r="N346">
            <v>0.51606349563786225</v>
          </cell>
          <cell r="O346">
            <v>596.30799999999999</v>
          </cell>
          <cell r="P346">
            <v>0.49367576956256093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27.042000000000002</v>
          </cell>
          <cell r="V346">
            <v>2.238772607530131E-2</v>
          </cell>
          <cell r="W346">
            <v>0</v>
          </cell>
          <cell r="X346">
            <v>0</v>
          </cell>
        </row>
        <row r="347">
          <cell r="A347" t="str">
            <v>Netherlands</v>
          </cell>
          <cell r="I347" t="str">
            <v>|</v>
          </cell>
          <cell r="J347">
            <v>25599.665000000005</v>
          </cell>
          <cell r="K347">
            <v>26514.201000000001</v>
          </cell>
          <cell r="L347">
            <v>39.484662514459089</v>
          </cell>
          <cell r="M347">
            <v>989.14899999999989</v>
          </cell>
          <cell r="N347">
            <v>3.7306385359302356E-2</v>
          </cell>
          <cell r="O347">
            <v>902.10900000000004</v>
          </cell>
          <cell r="P347">
            <v>3.4023616250023904E-2</v>
          </cell>
          <cell r="Q347">
            <v>287.63400000000001</v>
          </cell>
          <cell r="R347">
            <v>1.0848299746992187E-2</v>
          </cell>
          <cell r="S347">
            <v>-198.06100000000001</v>
          </cell>
          <cell r="T347">
            <v>-7.4699969273069929E-3</v>
          </cell>
          <cell r="U347">
            <v>-2.5329999999999999</v>
          </cell>
          <cell r="V347">
            <v>-9.5533710406736362E-5</v>
          </cell>
          <cell r="W347">
            <v>0</v>
          </cell>
          <cell r="X347">
            <v>675</v>
          </cell>
        </row>
        <row r="348">
          <cell r="A348" t="str">
            <v>Belgium</v>
          </cell>
          <cell r="I348" t="str">
            <v>|</v>
          </cell>
          <cell r="J348">
            <v>113426.906</v>
          </cell>
          <cell r="K348">
            <v>168105.16099999999</v>
          </cell>
          <cell r="L348">
            <v>44.040644727911378</v>
          </cell>
          <cell r="M348">
            <v>2810.6750000000002</v>
          </cell>
          <cell r="N348">
            <v>1.6719742471202299E-2</v>
          </cell>
          <cell r="O348">
            <v>2006.3820000000001</v>
          </cell>
          <cell r="P348">
            <v>1.1935279012641379E-2</v>
          </cell>
          <cell r="Q348">
            <v>804.29300000000001</v>
          </cell>
          <cell r="R348">
            <v>4.7844634585609185E-3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22000</v>
          </cell>
        </row>
        <row r="349">
          <cell r="A349" t="str">
            <v>France</v>
          </cell>
          <cell r="I349" t="str">
            <v>|</v>
          </cell>
          <cell r="J349">
            <v>3124.4169999999999</v>
          </cell>
          <cell r="K349">
            <v>3613.4800000000005</v>
          </cell>
          <cell r="L349">
            <v>30.701662411943641</v>
          </cell>
          <cell r="M349">
            <v>275.52199999999999</v>
          </cell>
          <cell r="N349">
            <v>7.6248381062023307E-2</v>
          </cell>
          <cell r="O349">
            <v>275.52199999999999</v>
          </cell>
          <cell r="P349">
            <v>7.6248381062023307E-2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A350" t="str">
            <v>Italy</v>
          </cell>
          <cell r="I350" t="str">
            <v>|</v>
          </cell>
          <cell r="J350">
            <v>983055.06</v>
          </cell>
          <cell r="K350">
            <v>1270397.7139999999</v>
          </cell>
          <cell r="L350">
            <v>47.305098143734284</v>
          </cell>
          <cell r="M350">
            <v>437244.01199999999</v>
          </cell>
          <cell r="N350">
            <v>0.34417884035959467</v>
          </cell>
          <cell r="O350">
            <v>263378.58600000001</v>
          </cell>
          <cell r="P350">
            <v>0.2073197889901115</v>
          </cell>
          <cell r="Q350">
            <v>152037.42600000001</v>
          </cell>
          <cell r="R350">
            <v>0.11967703052715034</v>
          </cell>
          <cell r="S350">
            <v>21828</v>
          </cell>
          <cell r="T350">
            <v>1.7182020842332845E-2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 t="str">
            <v>Germany</v>
          </cell>
          <cell r="I351" t="str">
            <v>|</v>
          </cell>
          <cell r="J351">
            <v>1598.7550000000001</v>
          </cell>
          <cell r="K351">
            <v>1464.095</v>
          </cell>
          <cell r="L351">
            <v>26.456824033740354</v>
          </cell>
          <cell r="M351">
            <v>906.67200000000003</v>
          </cell>
          <cell r="N351">
            <v>0.61927129045587892</v>
          </cell>
          <cell r="O351">
            <v>593.55799999999999</v>
          </cell>
          <cell r="P351">
            <v>0.40540948504024671</v>
          </cell>
          <cell r="Q351">
            <v>313.11399999999998</v>
          </cell>
          <cell r="R351">
            <v>0.21386180541563216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</row>
        <row r="352">
          <cell r="A352" t="str">
            <v>Israel</v>
          </cell>
          <cell r="I352" t="str">
            <v>|</v>
          </cell>
          <cell r="J352">
            <v>788.22500000000002</v>
          </cell>
          <cell r="K352">
            <v>1480.0619999999999</v>
          </cell>
          <cell r="L352">
            <v>58.506648797496673</v>
          </cell>
          <cell r="M352">
            <v>1279.6790000000001</v>
          </cell>
          <cell r="N352">
            <v>0.86461175275089841</v>
          </cell>
          <cell r="O352">
            <v>292.14300000000003</v>
          </cell>
          <cell r="P352">
            <v>0.1973856500606056</v>
          </cell>
          <cell r="Q352">
            <v>328.322</v>
          </cell>
          <cell r="R352">
            <v>0.22182989631515437</v>
          </cell>
          <cell r="S352">
            <v>188.58600000000001</v>
          </cell>
          <cell r="T352">
            <v>0.12741763520717378</v>
          </cell>
          <cell r="U352">
            <v>470.62799999999999</v>
          </cell>
          <cell r="V352">
            <v>0.31797857116796457</v>
          </cell>
          <cell r="W352">
            <v>0</v>
          </cell>
          <cell r="X352">
            <v>0</v>
          </cell>
        </row>
        <row r="353">
          <cell r="A353" t="str">
            <v>Subtotal Tonnage</v>
          </cell>
          <cell r="I353" t="str">
            <v>|</v>
          </cell>
          <cell r="J353">
            <v>1131819.753</v>
          </cell>
          <cell r="K353">
            <v>1475510.7479999999</v>
          </cell>
          <cell r="L353">
            <v>46.615948630103851</v>
          </cell>
          <cell r="M353">
            <v>444524.58299999998</v>
          </cell>
          <cell r="N353">
            <v>0.30126827852832422</v>
          </cell>
          <cell r="O353">
            <v>268513.64</v>
          </cell>
          <cell r="P353">
            <v>0.18198013153340989</v>
          </cell>
          <cell r="Q353">
            <v>153716.94099999999</v>
          </cell>
          <cell r="R353">
            <v>0.10417880127837605</v>
          </cell>
          <cell r="S353">
            <v>21790.612000000001</v>
          </cell>
          <cell r="T353">
            <v>1.4768182495136933E-2</v>
          </cell>
          <cell r="U353">
            <v>503.39</v>
          </cell>
          <cell r="V353">
            <v>3.4116322140135305E-4</v>
          </cell>
        </row>
      </sheetData>
      <sheetData sheetId="4" refreshError="1">
        <row r="225">
          <cell r="A225" t="str">
            <v>x</v>
          </cell>
          <cell r="J225" t="str">
            <v>As of 31st August 1999</v>
          </cell>
        </row>
        <row r="226">
          <cell r="D226" t="str">
            <v>September FY 97 *</v>
          </cell>
          <cell r="W226" t="str">
            <v>Total Debt</v>
          </cell>
          <cell r="X226" t="str">
            <v>Provision for</v>
          </cell>
        </row>
        <row r="227">
          <cell r="B227" t="str">
            <v>CURRENCY</v>
          </cell>
          <cell r="C227" t="str">
            <v>SALES</v>
          </cell>
          <cell r="D227" t="str">
            <v>TAR</v>
          </cell>
          <cell r="E227" t="str">
            <v>DSO</v>
          </cell>
          <cell r="G227" t="str">
            <v>PAST DUE</v>
          </cell>
          <cell r="J227" t="str">
            <v>SALES</v>
          </cell>
          <cell r="K227" t="str">
            <v>TAR</v>
          </cell>
          <cell r="L227" t="str">
            <v>DSO</v>
          </cell>
          <cell r="M227" t="str">
            <v>TOTAL PAST DUE</v>
          </cell>
          <cell r="O227" t="str">
            <v>0-30 Days PD</v>
          </cell>
          <cell r="Q227" t="str">
            <v>31-60 Days PD</v>
          </cell>
          <cell r="S227" t="str">
            <v>61-90 Days PD</v>
          </cell>
          <cell r="U227" t="str">
            <v>91+ Days PD</v>
          </cell>
          <cell r="W227" t="str">
            <v>Recovery</v>
          </cell>
          <cell r="X227" t="str">
            <v>Bad debt</v>
          </cell>
        </row>
        <row r="228">
          <cell r="C228" t="str">
            <v>LCL</v>
          </cell>
          <cell r="D228" t="str">
            <v>LCL</v>
          </cell>
          <cell r="E228" t="str">
            <v>Days</v>
          </cell>
          <cell r="G228" t="str">
            <v>LCL</v>
          </cell>
          <cell r="H228" t="str">
            <v>%</v>
          </cell>
          <cell r="J228" t="str">
            <v>LCL</v>
          </cell>
          <cell r="K228" t="str">
            <v>LCL</v>
          </cell>
          <cell r="L228" t="str">
            <v>Days</v>
          </cell>
          <cell r="M228" t="str">
            <v>LCL</v>
          </cell>
          <cell r="N228" t="str">
            <v>%</v>
          </cell>
          <cell r="O228" t="str">
            <v>LCL</v>
          </cell>
          <cell r="P228" t="str">
            <v>%</v>
          </cell>
          <cell r="Q228" t="str">
            <v>LCL</v>
          </cell>
          <cell r="R228" t="str">
            <v>%</v>
          </cell>
          <cell r="S228" t="str">
            <v>LCL</v>
          </cell>
          <cell r="T228" t="str">
            <v>%</v>
          </cell>
          <cell r="U228" t="str">
            <v>LCL</v>
          </cell>
          <cell r="V228" t="str">
            <v>%</v>
          </cell>
          <cell r="W228" t="str">
            <v>LCL</v>
          </cell>
          <cell r="X228" t="str">
            <v>LCL</v>
          </cell>
        </row>
        <row r="229">
          <cell r="A229" t="str">
            <v>Merchant</v>
          </cell>
        </row>
        <row r="230">
          <cell r="A230" t="str">
            <v>UK</v>
          </cell>
          <cell r="B230" t="str">
            <v>GBP</v>
          </cell>
          <cell r="C230">
            <v>13187</v>
          </cell>
          <cell r="D230">
            <v>20990</v>
          </cell>
          <cell r="E230">
            <v>48.1</v>
          </cell>
          <cell r="G230">
            <v>7208</v>
          </cell>
          <cell r="H230">
            <v>0.34340161981896139</v>
          </cell>
          <cell r="J230">
            <v>15306</v>
          </cell>
          <cell r="K230">
            <v>26798</v>
          </cell>
          <cell r="L230">
            <v>51.329584574829553</v>
          </cell>
          <cell r="M230">
            <v>9133</v>
          </cell>
          <cell r="N230">
            <v>0.34080901559817894</v>
          </cell>
          <cell r="O230">
            <v>5299</v>
          </cell>
          <cell r="P230">
            <v>0.19773863721173221</v>
          </cell>
          <cell r="Q230">
            <v>1491</v>
          </cell>
          <cell r="R230">
            <v>5.5638480483618177E-2</v>
          </cell>
          <cell r="S230">
            <v>574</v>
          </cell>
          <cell r="T230">
            <v>2.1419508918576014E-2</v>
          </cell>
          <cell r="U230">
            <v>1769</v>
          </cell>
          <cell r="V230">
            <v>6.601238898425256E-2</v>
          </cell>
          <cell r="W230">
            <v>1345</v>
          </cell>
          <cell r="X230">
            <v>1040</v>
          </cell>
        </row>
        <row r="231">
          <cell r="A231" t="str">
            <v>Ireland</v>
          </cell>
          <cell r="B231" t="str">
            <v>IEP</v>
          </cell>
          <cell r="C231">
            <v>663</v>
          </cell>
          <cell r="D231">
            <v>1209</v>
          </cell>
          <cell r="E231">
            <v>44.7</v>
          </cell>
          <cell r="G231">
            <v>356</v>
          </cell>
          <cell r="H231">
            <v>0.29445822994210091</v>
          </cell>
          <cell r="J231">
            <v>1153</v>
          </cell>
          <cell r="K231">
            <v>1799</v>
          </cell>
          <cell r="L231">
            <v>56.492413117963778</v>
          </cell>
          <cell r="M231">
            <v>583</v>
          </cell>
          <cell r="N231">
            <v>0.32406892718176766</v>
          </cell>
          <cell r="O231">
            <v>190</v>
          </cell>
          <cell r="P231">
            <v>0.1056142301278488</v>
          </cell>
          <cell r="Q231">
            <v>147</v>
          </cell>
          <cell r="R231">
            <v>8.171206225680934E-2</v>
          </cell>
          <cell r="S231">
            <v>63</v>
          </cell>
          <cell r="T231">
            <v>3.5019455252918288E-2</v>
          </cell>
          <cell r="U231">
            <v>183</v>
          </cell>
          <cell r="V231">
            <v>0.10172317954419122</v>
          </cell>
          <cell r="W231">
            <v>54</v>
          </cell>
          <cell r="X231">
            <v>77</v>
          </cell>
        </row>
        <row r="232">
          <cell r="A232" t="str">
            <v>France</v>
          </cell>
          <cell r="B232" t="str">
            <v>FRF</v>
          </cell>
          <cell r="C232">
            <v>61110</v>
          </cell>
          <cell r="D232">
            <v>125033</v>
          </cell>
          <cell r="E232">
            <v>65.900000000000006</v>
          </cell>
          <cell r="G232">
            <v>31735</v>
          </cell>
          <cell r="H232">
            <v>0.25</v>
          </cell>
          <cell r="J232">
            <v>53994</v>
          </cell>
          <cell r="K232">
            <v>127870</v>
          </cell>
          <cell r="L232">
            <v>74.528703603614431</v>
          </cell>
          <cell r="M232">
            <v>36847</v>
          </cell>
          <cell r="N232">
            <v>0.28815984984750137</v>
          </cell>
          <cell r="O232">
            <v>21355</v>
          </cell>
          <cell r="P232">
            <v>0.16700555251427232</v>
          </cell>
          <cell r="Q232">
            <v>8434</v>
          </cell>
          <cell r="R232">
            <v>6.5957613200907178E-2</v>
          </cell>
          <cell r="S232">
            <v>2941</v>
          </cell>
          <cell r="T232">
            <v>2.2999921795573631E-2</v>
          </cell>
          <cell r="U232">
            <v>4117</v>
          </cell>
          <cell r="V232">
            <v>3.2196762336748258E-2</v>
          </cell>
          <cell r="W232">
            <v>4095</v>
          </cell>
          <cell r="X232">
            <v>4499</v>
          </cell>
        </row>
        <row r="233">
          <cell r="A233" t="str">
            <v>Germany</v>
          </cell>
          <cell r="B233" t="str">
            <v>DEM</v>
          </cell>
          <cell r="C233">
            <v>16061</v>
          </cell>
          <cell r="D233">
            <v>17274</v>
          </cell>
          <cell r="E233">
            <v>32.6</v>
          </cell>
          <cell r="G233">
            <v>3113</v>
          </cell>
          <cell r="H233">
            <v>0.18021303693412064</v>
          </cell>
          <cell r="J233">
            <v>18352</v>
          </cell>
          <cell r="K233">
            <v>18299</v>
          </cell>
          <cell r="L233">
            <v>31.85946787071758</v>
          </cell>
          <cell r="M233">
            <v>5755</v>
          </cell>
          <cell r="N233">
            <v>0.31449806000327885</v>
          </cell>
          <cell r="O233">
            <v>5395</v>
          </cell>
          <cell r="P233">
            <v>0.29482485381714846</v>
          </cell>
          <cell r="Q233">
            <v>330</v>
          </cell>
          <cell r="R233">
            <v>1.8033772337286192E-2</v>
          </cell>
          <cell r="S233">
            <v>59</v>
          </cell>
          <cell r="T233">
            <v>3.2242199027269249E-3</v>
          </cell>
          <cell r="U233">
            <v>-29</v>
          </cell>
          <cell r="V233">
            <v>-1.5847860538827259E-3</v>
          </cell>
          <cell r="W233">
            <v>658</v>
          </cell>
          <cell r="X233">
            <v>69</v>
          </cell>
        </row>
        <row r="234">
          <cell r="A234" t="str">
            <v>Belgium</v>
          </cell>
          <cell r="B234" t="str">
            <v>BEF</v>
          </cell>
          <cell r="C234">
            <v>172725</v>
          </cell>
          <cell r="D234">
            <v>344420</v>
          </cell>
          <cell r="E234">
            <v>63</v>
          </cell>
          <cell r="G234">
            <v>172725</v>
          </cell>
          <cell r="H234">
            <v>0.50149526740607397</v>
          </cell>
          <cell r="J234">
            <v>117675</v>
          </cell>
          <cell r="K234">
            <v>258710</v>
          </cell>
          <cell r="L234">
            <v>66.862606005203574</v>
          </cell>
          <cell r="M234">
            <v>130210</v>
          </cell>
          <cell r="N234">
            <v>0.50330485872212127</v>
          </cell>
          <cell r="O234">
            <v>80339</v>
          </cell>
          <cell r="P234">
            <v>0.31053689459240075</v>
          </cell>
          <cell r="Q234">
            <v>34830</v>
          </cell>
          <cell r="R234">
            <v>0.13462950794325693</v>
          </cell>
          <cell r="S234">
            <v>5626</v>
          </cell>
          <cell r="T234">
            <v>2.1746356924741989E-2</v>
          </cell>
          <cell r="U234">
            <v>9415</v>
          </cell>
          <cell r="V234">
            <v>3.6392099261721621E-2</v>
          </cell>
          <cell r="W234">
            <v>10629</v>
          </cell>
          <cell r="X234">
            <v>8389</v>
          </cell>
          <cell r="Z234" t="str">
            <v>a1912120</v>
          </cell>
          <cell r="AA234" t="str">
            <v>a1912122</v>
          </cell>
        </row>
        <row r="235">
          <cell r="A235" t="str">
            <v>Netherlands</v>
          </cell>
          <cell r="B235" t="str">
            <v>NLG</v>
          </cell>
          <cell r="C235">
            <v>5975</v>
          </cell>
          <cell r="D235">
            <v>11853</v>
          </cell>
          <cell r="E235">
            <v>52.3</v>
          </cell>
          <cell r="G235">
            <v>5974</v>
          </cell>
          <cell r="H235">
            <v>0.50400742428077283</v>
          </cell>
          <cell r="J235">
            <v>6585</v>
          </cell>
          <cell r="K235">
            <v>13590</v>
          </cell>
          <cell r="L235">
            <v>65.130051432770017</v>
          </cell>
          <cell r="M235">
            <v>5266</v>
          </cell>
          <cell r="N235">
            <v>0.38749080206033848</v>
          </cell>
          <cell r="O235">
            <v>3904</v>
          </cell>
          <cell r="P235">
            <v>0.28727005150846213</v>
          </cell>
          <cell r="Q235">
            <v>429</v>
          </cell>
          <cell r="R235">
            <v>3.1567328918322299E-2</v>
          </cell>
          <cell r="S235">
            <v>210</v>
          </cell>
          <cell r="T235">
            <v>1.5452538631346579E-2</v>
          </cell>
          <cell r="U235">
            <v>723</v>
          </cell>
          <cell r="V235">
            <v>5.3200883002207502E-2</v>
          </cell>
          <cell r="W235">
            <v>429</v>
          </cell>
          <cell r="X235">
            <v>558</v>
          </cell>
          <cell r="Z235" t="str">
            <v>a2212400</v>
          </cell>
        </row>
        <row r="236">
          <cell r="A236" t="str">
            <v>Subtotal Merchant</v>
          </cell>
          <cell r="C236">
            <v>265329</v>
          </cell>
          <cell r="D236">
            <v>520084</v>
          </cell>
          <cell r="E236">
            <v>0</v>
          </cell>
          <cell r="G236">
            <v>223525</v>
          </cell>
          <cell r="H236">
            <v>0.429786342206259</v>
          </cell>
          <cell r="J236">
            <v>213065</v>
          </cell>
          <cell r="K236">
            <v>447066</v>
          </cell>
          <cell r="L236">
            <v>64.821782373952885</v>
          </cell>
          <cell r="M236">
            <v>187794</v>
          </cell>
          <cell r="N236">
            <v>0.42005878326690022</v>
          </cell>
          <cell r="O236">
            <v>116482</v>
          </cell>
          <cell r="P236">
            <v>0.26054765962967436</v>
          </cell>
          <cell r="Q236">
            <v>45661</v>
          </cell>
          <cell r="R236">
            <v>0.10213480783597947</v>
          </cell>
          <cell r="S236">
            <v>9473</v>
          </cell>
          <cell r="T236">
            <v>2.1189265119691499E-2</v>
          </cell>
          <cell r="U236">
            <v>16178</v>
          </cell>
          <cell r="V236">
            <v>3.6187050681554846E-2</v>
          </cell>
          <cell r="W236">
            <v>17210</v>
          </cell>
          <cell r="X236">
            <v>14632</v>
          </cell>
        </row>
        <row r="238">
          <cell r="A238" t="str">
            <v>x</v>
          </cell>
          <cell r="J238" t="str">
            <v>As of 30th September 1999</v>
          </cell>
        </row>
        <row r="239">
          <cell r="D239" t="str">
            <v>September FY 97 *</v>
          </cell>
          <cell r="W239" t="str">
            <v>Total Debt</v>
          </cell>
          <cell r="X239" t="str">
            <v>Provision for</v>
          </cell>
        </row>
        <row r="240">
          <cell r="B240" t="str">
            <v>CURRENCY</v>
          </cell>
          <cell r="C240" t="str">
            <v>SALES</v>
          </cell>
          <cell r="D240" t="str">
            <v>TAR</v>
          </cell>
          <cell r="E240" t="str">
            <v>DSO</v>
          </cell>
          <cell r="G240" t="str">
            <v>PAST DUE</v>
          </cell>
          <cell r="J240" t="str">
            <v>SALES</v>
          </cell>
          <cell r="K240" t="str">
            <v>TAR</v>
          </cell>
          <cell r="L240" t="str">
            <v>DSO</v>
          </cell>
          <cell r="M240" t="str">
            <v>TOTAL PAST DUE</v>
          </cell>
          <cell r="O240" t="str">
            <v>0-30 Days PD</v>
          </cell>
          <cell r="Q240" t="str">
            <v>31-60 Days PD</v>
          </cell>
          <cell r="S240" t="str">
            <v>61-90 Days PD</v>
          </cell>
          <cell r="U240" t="str">
            <v>91+ Days PD</v>
          </cell>
          <cell r="W240" t="str">
            <v>Recovery</v>
          </cell>
          <cell r="X240" t="str">
            <v>Bad debt</v>
          </cell>
        </row>
        <row r="241">
          <cell r="C241" t="str">
            <v>LCL</v>
          </cell>
          <cell r="D241" t="str">
            <v>LCL</v>
          </cell>
          <cell r="E241" t="str">
            <v>Days</v>
          </cell>
          <cell r="G241" t="str">
            <v>LCL</v>
          </cell>
          <cell r="H241" t="str">
            <v>%</v>
          </cell>
          <cell r="J241" t="str">
            <v>LCL</v>
          </cell>
          <cell r="K241" t="str">
            <v>LCL</v>
          </cell>
          <cell r="L241" t="str">
            <v>Days</v>
          </cell>
          <cell r="M241" t="str">
            <v>LCL</v>
          </cell>
          <cell r="N241" t="str">
            <v>%</v>
          </cell>
          <cell r="O241" t="str">
            <v>LCL</v>
          </cell>
          <cell r="P241" t="str">
            <v>%</v>
          </cell>
          <cell r="Q241" t="str">
            <v>LCL</v>
          </cell>
          <cell r="R241" t="str">
            <v>%</v>
          </cell>
          <cell r="S241" t="str">
            <v>LCL</v>
          </cell>
          <cell r="T241" t="str">
            <v>%</v>
          </cell>
          <cell r="U241" t="str">
            <v>LCL</v>
          </cell>
          <cell r="V241" t="str">
            <v>%</v>
          </cell>
          <cell r="W241" t="str">
            <v>LCL</v>
          </cell>
          <cell r="X241" t="str">
            <v>LCL</v>
          </cell>
        </row>
        <row r="242">
          <cell r="A242" t="str">
            <v>Merchant</v>
          </cell>
        </row>
        <row r="243">
          <cell r="A243" t="str">
            <v>UK</v>
          </cell>
          <cell r="B243" t="str">
            <v>GBP</v>
          </cell>
          <cell r="C243">
            <v>13187</v>
          </cell>
          <cell r="D243">
            <v>20990</v>
          </cell>
          <cell r="E243">
            <v>48.1</v>
          </cell>
          <cell r="G243">
            <v>7208</v>
          </cell>
          <cell r="H243">
            <v>0.34340161981896139</v>
          </cell>
          <cell r="J243">
            <v>17081</v>
          </cell>
          <cell r="K243">
            <v>28210</v>
          </cell>
          <cell r="L243">
            <v>51.524963645176925</v>
          </cell>
          <cell r="M243">
            <v>8022</v>
          </cell>
          <cell r="N243">
            <v>0.28436724565756821</v>
          </cell>
          <cell r="O243">
            <v>4439</v>
          </cell>
          <cell r="P243">
            <v>0.15735554767812832</v>
          </cell>
          <cell r="Q243">
            <v>1417</v>
          </cell>
          <cell r="R243">
            <v>5.0230414746543779E-2</v>
          </cell>
          <cell r="S243">
            <v>594</v>
          </cell>
          <cell r="T243">
            <v>2.1056362991846864E-2</v>
          </cell>
          <cell r="U243">
            <v>1572</v>
          </cell>
          <cell r="V243">
            <v>5.5724920241049275E-2</v>
          </cell>
          <cell r="W243">
            <v>1309</v>
          </cell>
          <cell r="X243">
            <v>1682</v>
          </cell>
        </row>
        <row r="244">
          <cell r="A244" t="str">
            <v>Ireland</v>
          </cell>
          <cell r="B244" t="str">
            <v>IEP</v>
          </cell>
          <cell r="C244">
            <v>663</v>
          </cell>
          <cell r="D244">
            <v>1209</v>
          </cell>
          <cell r="E244">
            <v>44.7</v>
          </cell>
          <cell r="G244">
            <v>356</v>
          </cell>
          <cell r="H244">
            <v>0.29445822994210091</v>
          </cell>
          <cell r="J244">
            <v>921</v>
          </cell>
          <cell r="K244">
            <v>1905</v>
          </cell>
          <cell r="L244">
            <v>55.729859444634904</v>
          </cell>
          <cell r="M244">
            <v>938</v>
          </cell>
          <cell r="N244">
            <v>0.49238845144356957</v>
          </cell>
          <cell r="O244">
            <v>575</v>
          </cell>
          <cell r="P244">
            <v>0.30183727034120733</v>
          </cell>
          <cell r="Q244">
            <v>65</v>
          </cell>
          <cell r="R244">
            <v>3.4120734908136482E-2</v>
          </cell>
          <cell r="S244">
            <v>92</v>
          </cell>
          <cell r="T244">
            <v>4.8293963254593175E-2</v>
          </cell>
          <cell r="U244">
            <v>206</v>
          </cell>
          <cell r="V244">
            <v>0.10813648293963254</v>
          </cell>
          <cell r="W244">
            <v>54</v>
          </cell>
          <cell r="X244">
            <v>54</v>
          </cell>
        </row>
        <row r="245">
          <cell r="A245" t="str">
            <v>France</v>
          </cell>
          <cell r="B245" t="str">
            <v>FRF</v>
          </cell>
          <cell r="C245">
            <v>61110</v>
          </cell>
          <cell r="D245">
            <v>125033</v>
          </cell>
          <cell r="E245">
            <v>65.900000000000006</v>
          </cell>
          <cell r="G245">
            <v>31735</v>
          </cell>
          <cell r="H245">
            <v>0.25</v>
          </cell>
          <cell r="J245">
            <v>81218</v>
          </cell>
          <cell r="K245">
            <v>141444</v>
          </cell>
          <cell r="L245">
            <v>65.862229612559773</v>
          </cell>
          <cell r="M245">
            <v>35025</v>
          </cell>
          <cell r="N245">
            <v>0.24762450156952576</v>
          </cell>
          <cell r="O245">
            <v>20422</v>
          </cell>
          <cell r="P245">
            <v>0.1443822290093606</v>
          </cell>
          <cell r="Q245">
            <v>7001</v>
          </cell>
          <cell r="R245">
            <v>4.9496620570685219E-2</v>
          </cell>
          <cell r="S245">
            <v>3190</v>
          </cell>
          <cell r="T245">
            <v>2.2553095217895423E-2</v>
          </cell>
          <cell r="U245">
            <v>4412</v>
          </cell>
          <cell r="V245">
            <v>3.1192556771584515E-2</v>
          </cell>
          <cell r="W245">
            <v>3651</v>
          </cell>
          <cell r="X245">
            <v>4559</v>
          </cell>
        </row>
        <row r="246">
          <cell r="A246" t="str">
            <v>Germany</v>
          </cell>
          <cell r="B246" t="str">
            <v>DEM</v>
          </cell>
          <cell r="C246">
            <v>16061</v>
          </cell>
          <cell r="D246">
            <v>17274</v>
          </cell>
          <cell r="E246">
            <v>32.6</v>
          </cell>
          <cell r="G246">
            <v>3113</v>
          </cell>
          <cell r="H246">
            <v>0.18021303693412064</v>
          </cell>
          <cell r="J246">
            <v>20537</v>
          </cell>
          <cell r="K246">
            <v>20073</v>
          </cell>
          <cell r="L246">
            <v>31.147381764296298</v>
          </cell>
          <cell r="M246">
            <v>3874</v>
          </cell>
          <cell r="N246">
            <v>0.19299556618343047</v>
          </cell>
          <cell r="O246">
            <v>3157</v>
          </cell>
          <cell r="P246">
            <v>0.15727594280874807</v>
          </cell>
          <cell r="Q246">
            <v>795</v>
          </cell>
          <cell r="R246">
            <v>3.9605440143476313E-2</v>
          </cell>
          <cell r="S246">
            <v>20</v>
          </cell>
          <cell r="T246">
            <v>9.9636327404971857E-4</v>
          </cell>
          <cell r="U246">
            <v>-98</v>
          </cell>
          <cell r="V246">
            <v>-4.8821800428436209E-3</v>
          </cell>
          <cell r="W246">
            <v>387</v>
          </cell>
          <cell r="X246">
            <v>63</v>
          </cell>
        </row>
        <row r="247">
          <cell r="A247" t="str">
            <v>Belgium</v>
          </cell>
          <cell r="B247" t="str">
            <v>BEF</v>
          </cell>
          <cell r="C247">
            <v>172725</v>
          </cell>
          <cell r="D247">
            <v>344420</v>
          </cell>
          <cell r="E247">
            <v>63</v>
          </cell>
          <cell r="G247">
            <v>172725</v>
          </cell>
          <cell r="H247">
            <v>0.50149526740607397</v>
          </cell>
          <cell r="J247">
            <v>154708</v>
          </cell>
          <cell r="K247">
            <v>278405</v>
          </cell>
          <cell r="L247">
            <v>62.702977400142444</v>
          </cell>
          <cell r="M247">
            <v>91573</v>
          </cell>
          <cell r="N247">
            <v>0.32892009841777264</v>
          </cell>
          <cell r="O247">
            <v>59094</v>
          </cell>
          <cell r="P247">
            <v>0.21225911890950233</v>
          </cell>
          <cell r="Q247">
            <v>17670</v>
          </cell>
          <cell r="R247">
            <v>6.3468687703166257E-2</v>
          </cell>
          <cell r="S247">
            <v>5610</v>
          </cell>
          <cell r="T247">
            <v>2.0150500170614753E-2</v>
          </cell>
          <cell r="U247">
            <v>9199</v>
          </cell>
          <cell r="V247">
            <v>3.3041791634489323E-2</v>
          </cell>
          <cell r="W247">
            <v>10782</v>
          </cell>
          <cell r="X247">
            <v>24694</v>
          </cell>
        </row>
        <row r="248">
          <cell r="A248" t="str">
            <v>Netherlands</v>
          </cell>
          <cell r="B248" t="str">
            <v>NLG</v>
          </cell>
          <cell r="C248">
            <v>5975</v>
          </cell>
          <cell r="D248">
            <v>11853</v>
          </cell>
          <cell r="E248">
            <v>52.3</v>
          </cell>
          <cell r="G248">
            <v>5974</v>
          </cell>
          <cell r="H248">
            <v>0.50400742428077283</v>
          </cell>
          <cell r="J248">
            <v>6877</v>
          </cell>
          <cell r="K248">
            <v>13498</v>
          </cell>
          <cell r="L248">
            <v>63.196668559530572</v>
          </cell>
          <cell r="M248">
            <v>3739</v>
          </cell>
          <cell r="N248">
            <v>0.27700400059268038</v>
          </cell>
          <cell r="O248">
            <v>2733</v>
          </cell>
          <cell r="P248">
            <v>0.20247444065787523</v>
          </cell>
          <cell r="Q248">
            <v>452</v>
          </cell>
          <cell r="R248">
            <v>3.3486442435916433E-2</v>
          </cell>
          <cell r="S248">
            <v>133</v>
          </cell>
          <cell r="T248">
            <v>9.8533116017187738E-3</v>
          </cell>
          <cell r="U248">
            <v>421</v>
          </cell>
          <cell r="V248">
            <v>3.118980589716995E-2</v>
          </cell>
          <cell r="W248">
            <v>459</v>
          </cell>
          <cell r="X248">
            <v>1353</v>
          </cell>
        </row>
        <row r="249">
          <cell r="A249" t="str">
            <v>Subtotal Merchant</v>
          </cell>
          <cell r="C249">
            <v>265329</v>
          </cell>
          <cell r="D249">
            <v>520084</v>
          </cell>
          <cell r="E249">
            <v>0</v>
          </cell>
          <cell r="G249">
            <v>223525</v>
          </cell>
          <cell r="H249">
            <v>0.429786342206259</v>
          </cell>
          <cell r="J249">
            <v>281342</v>
          </cell>
          <cell r="K249">
            <v>483535</v>
          </cell>
          <cell r="L249">
            <v>60.23530718766461</v>
          </cell>
          <cell r="M249">
            <v>143171</v>
          </cell>
          <cell r="N249">
            <v>0.2960923201009234</v>
          </cell>
          <cell r="O249">
            <v>90420</v>
          </cell>
          <cell r="P249">
            <v>0.18699783883276289</v>
          </cell>
          <cell r="Q249">
            <v>27400</v>
          </cell>
          <cell r="R249">
            <v>5.6666011767503903E-2</v>
          </cell>
          <cell r="S249">
            <v>9639</v>
          </cell>
          <cell r="T249">
            <v>1.9934441146969711E-2</v>
          </cell>
          <cell r="U249">
            <v>15712</v>
          </cell>
          <cell r="V249">
            <v>3.2494028353686907E-2</v>
          </cell>
          <cell r="W249">
            <v>16642</v>
          </cell>
          <cell r="X249">
            <v>32405</v>
          </cell>
        </row>
        <row r="251">
          <cell r="A251" t="str">
            <v>x</v>
          </cell>
          <cell r="J251" t="str">
            <v>As of 31st October 1999</v>
          </cell>
        </row>
        <row r="252">
          <cell r="D252" t="str">
            <v>September FY 97 *</v>
          </cell>
          <cell r="W252" t="str">
            <v>Total Debt</v>
          </cell>
          <cell r="X252" t="str">
            <v>Provision for</v>
          </cell>
        </row>
        <row r="253">
          <cell r="B253" t="str">
            <v>CURRENCY</v>
          </cell>
          <cell r="C253" t="str">
            <v>SALES</v>
          </cell>
          <cell r="D253" t="str">
            <v>TAR</v>
          </cell>
          <cell r="E253" t="str">
            <v>DSO</v>
          </cell>
          <cell r="G253" t="str">
            <v>PAST DUE</v>
          </cell>
          <cell r="J253" t="str">
            <v>SALES</v>
          </cell>
          <cell r="K253" t="str">
            <v>TAR</v>
          </cell>
          <cell r="L253" t="str">
            <v>DSO</v>
          </cell>
          <cell r="M253" t="str">
            <v>TOTAL PAST DUE</v>
          </cell>
          <cell r="O253" t="str">
            <v>0-30 Days PD</v>
          </cell>
          <cell r="Q253" t="str">
            <v>31-60 Days PD</v>
          </cell>
          <cell r="S253" t="str">
            <v>61-90 Days PD</v>
          </cell>
          <cell r="U253" t="str">
            <v>91+ Days PD</v>
          </cell>
          <cell r="W253" t="str">
            <v>Recovery</v>
          </cell>
          <cell r="X253" t="str">
            <v>Bad debt</v>
          </cell>
        </row>
        <row r="254">
          <cell r="C254" t="str">
            <v>LCL</v>
          </cell>
          <cell r="D254" t="str">
            <v>LCL</v>
          </cell>
          <cell r="E254" t="str">
            <v>Days</v>
          </cell>
          <cell r="G254" t="str">
            <v>LCL</v>
          </cell>
          <cell r="H254" t="str">
            <v>%</v>
          </cell>
          <cell r="J254" t="str">
            <v>LCL</v>
          </cell>
          <cell r="K254" t="str">
            <v>LCL</v>
          </cell>
          <cell r="L254" t="str">
            <v>Days</v>
          </cell>
          <cell r="M254" t="str">
            <v>LCL</v>
          </cell>
          <cell r="N254" t="str">
            <v>%</v>
          </cell>
          <cell r="O254" t="str">
            <v>LCL</v>
          </cell>
          <cell r="P254" t="str">
            <v>%</v>
          </cell>
          <cell r="Q254" t="str">
            <v>LCL</v>
          </cell>
          <cell r="R254" t="str">
            <v>%</v>
          </cell>
          <cell r="S254" t="str">
            <v>LCL</v>
          </cell>
          <cell r="T254" t="str">
            <v>%</v>
          </cell>
          <cell r="U254" t="str">
            <v>LCL</v>
          </cell>
          <cell r="V254" t="str">
            <v>%</v>
          </cell>
          <cell r="W254" t="str">
            <v>LCL</v>
          </cell>
          <cell r="X254" t="str">
            <v>LCL</v>
          </cell>
        </row>
        <row r="255">
          <cell r="A255" t="str">
            <v>Merchant</v>
          </cell>
        </row>
        <row r="256">
          <cell r="A256" t="str">
            <v>UK</v>
          </cell>
          <cell r="B256" t="str">
            <v>GBP</v>
          </cell>
          <cell r="C256">
            <v>13187</v>
          </cell>
          <cell r="D256">
            <v>20990</v>
          </cell>
          <cell r="E256">
            <v>48.1</v>
          </cell>
          <cell r="G256">
            <v>7208</v>
          </cell>
          <cell r="H256">
            <v>0.34340161981896139</v>
          </cell>
          <cell r="J256">
            <v>16195</v>
          </cell>
          <cell r="K256">
            <v>28981</v>
          </cell>
          <cell r="L256">
            <v>53.01681006682859</v>
          </cell>
          <cell r="M256">
            <v>9205</v>
          </cell>
          <cell r="N256">
            <v>0.31762189020392673</v>
          </cell>
          <cell r="O256">
            <v>5614</v>
          </cell>
          <cell r="P256">
            <v>0.19371312239053173</v>
          </cell>
          <cell r="Q256">
            <v>1125</v>
          </cell>
          <cell r="R256">
            <v>3.8818536282391909E-2</v>
          </cell>
          <cell r="S256">
            <v>686</v>
          </cell>
          <cell r="T256">
            <v>2.3670680790862979E-2</v>
          </cell>
          <cell r="U256">
            <v>1780</v>
          </cell>
          <cell r="V256">
            <v>6.1419550740140091E-2</v>
          </cell>
          <cell r="W256">
            <v>1211</v>
          </cell>
          <cell r="X256">
            <v>1732</v>
          </cell>
        </row>
        <row r="257">
          <cell r="A257" t="str">
            <v>Ireland</v>
          </cell>
          <cell r="B257" t="str">
            <v>IEP</v>
          </cell>
          <cell r="C257">
            <v>663</v>
          </cell>
          <cell r="D257">
            <v>1209</v>
          </cell>
          <cell r="E257">
            <v>44.7</v>
          </cell>
          <cell r="G257">
            <v>356</v>
          </cell>
          <cell r="H257">
            <v>0.29445822994210091</v>
          </cell>
          <cell r="J257">
            <v>972</v>
          </cell>
          <cell r="K257">
            <v>2063</v>
          </cell>
          <cell r="L257">
            <v>58.061282556358059</v>
          </cell>
          <cell r="M257">
            <v>1007</v>
          </cell>
          <cell r="N257">
            <v>0.48812409112942318</v>
          </cell>
          <cell r="O257">
            <v>492</v>
          </cell>
          <cell r="P257">
            <v>0.2384876393601551</v>
          </cell>
          <cell r="Q257">
            <v>260</v>
          </cell>
          <cell r="R257">
            <v>0.12603005332040718</v>
          </cell>
          <cell r="S257">
            <v>29</v>
          </cell>
          <cell r="T257">
            <v>1.4057198254968492E-2</v>
          </cell>
          <cell r="U257">
            <v>226</v>
          </cell>
          <cell r="V257">
            <v>0.10954920019389239</v>
          </cell>
          <cell r="W257">
            <v>49</v>
          </cell>
          <cell r="X257">
            <v>54</v>
          </cell>
        </row>
        <row r="258">
          <cell r="A258" t="str">
            <v>France</v>
          </cell>
          <cell r="B258" t="str">
            <v>FRF</v>
          </cell>
          <cell r="C258">
            <v>61110</v>
          </cell>
          <cell r="D258">
            <v>125033</v>
          </cell>
          <cell r="E258">
            <v>65.900000000000006</v>
          </cell>
          <cell r="G258">
            <v>31735</v>
          </cell>
          <cell r="H258">
            <v>0.25</v>
          </cell>
          <cell r="J258">
            <v>64209</v>
          </cell>
          <cell r="K258">
            <v>151228</v>
          </cell>
          <cell r="L258">
            <v>64.670327264096215</v>
          </cell>
          <cell r="M258">
            <v>41590</v>
          </cell>
          <cell r="N258">
            <v>0.27501520882376279</v>
          </cell>
          <cell r="O258">
            <v>26347</v>
          </cell>
          <cell r="P258">
            <v>0.17422038246885496</v>
          </cell>
          <cell r="Q258">
            <v>7707</v>
          </cell>
          <cell r="R258">
            <v>5.0962784669505649E-2</v>
          </cell>
          <cell r="S258">
            <v>3192</v>
          </cell>
          <cell r="T258">
            <v>2.1107202369931494E-2</v>
          </cell>
          <cell r="U258">
            <v>4344</v>
          </cell>
          <cell r="V258">
            <v>2.8724839315470679E-2</v>
          </cell>
          <cell r="W258">
            <v>3651</v>
          </cell>
          <cell r="X258">
            <v>4559</v>
          </cell>
        </row>
        <row r="259">
          <cell r="A259" t="str">
            <v>Germany</v>
          </cell>
          <cell r="B259" t="str">
            <v>DEM</v>
          </cell>
          <cell r="C259">
            <v>16061</v>
          </cell>
          <cell r="D259">
            <v>17274</v>
          </cell>
          <cell r="E259">
            <v>32.6</v>
          </cell>
          <cell r="G259">
            <v>3113</v>
          </cell>
          <cell r="H259">
            <v>0.18021303693412064</v>
          </cell>
          <cell r="J259">
            <v>20561</v>
          </cell>
          <cell r="K259">
            <v>23172</v>
          </cell>
          <cell r="L259">
            <v>31.746834875245309</v>
          </cell>
          <cell r="M259">
            <v>3674</v>
          </cell>
          <cell r="N259">
            <v>0.15855342654928362</v>
          </cell>
          <cell r="O259">
            <v>2689</v>
          </cell>
          <cell r="P259">
            <v>0.11604522699810116</v>
          </cell>
          <cell r="Q259">
            <v>837</v>
          </cell>
          <cell r="R259">
            <v>3.6121180735370274E-2</v>
          </cell>
          <cell r="S259">
            <v>229</v>
          </cell>
          <cell r="T259">
            <v>9.8826169514931814E-3</v>
          </cell>
          <cell r="U259">
            <v>-81</v>
          </cell>
          <cell r="V259">
            <v>-3.4955981356809942E-3</v>
          </cell>
          <cell r="W259">
            <v>595</v>
          </cell>
          <cell r="X259">
            <v>68</v>
          </cell>
        </row>
        <row r="260">
          <cell r="A260" t="str">
            <v>Belgium</v>
          </cell>
          <cell r="B260" t="str">
            <v>BEF</v>
          </cell>
          <cell r="C260">
            <v>172725</v>
          </cell>
          <cell r="D260">
            <v>344420</v>
          </cell>
          <cell r="E260">
            <v>63</v>
          </cell>
          <cell r="G260">
            <v>172725</v>
          </cell>
          <cell r="H260">
            <v>0.50149526740607397</v>
          </cell>
          <cell r="J260">
            <v>131310.01300000001</v>
          </cell>
          <cell r="K260">
            <v>294442.84899999999</v>
          </cell>
          <cell r="L260">
            <v>63.169553467930164</v>
          </cell>
          <cell r="M260">
            <v>133084.152</v>
          </cell>
          <cell r="N260">
            <v>0.45198636153666616</v>
          </cell>
          <cell r="O260">
            <v>105233.59600000001</v>
          </cell>
          <cell r="P260">
            <v>0.35739905505397418</v>
          </cell>
          <cell r="Q260">
            <v>13759.07</v>
          </cell>
          <cell r="R260">
            <v>4.672917018269987E-2</v>
          </cell>
          <cell r="S260">
            <v>4323.201</v>
          </cell>
          <cell r="T260">
            <v>1.4682648991757311E-2</v>
          </cell>
          <cell r="U260">
            <v>9768.2849999999999</v>
          </cell>
          <cell r="V260">
            <v>3.3175487308234816E-2</v>
          </cell>
          <cell r="W260">
            <v>10243.460999999999</v>
          </cell>
          <cell r="X260">
            <v>24694</v>
          </cell>
        </row>
        <row r="261">
          <cell r="A261" t="str">
            <v>Netherlands</v>
          </cell>
          <cell r="B261" t="str">
            <v>NLG</v>
          </cell>
          <cell r="C261">
            <v>5975</v>
          </cell>
          <cell r="D261">
            <v>11853</v>
          </cell>
          <cell r="E261">
            <v>52.3</v>
          </cell>
          <cell r="G261">
            <v>5974</v>
          </cell>
          <cell r="H261">
            <v>0.50400742428077283</v>
          </cell>
          <cell r="J261">
            <v>6835.0962499999996</v>
          </cell>
          <cell r="K261">
            <v>12009.8886</v>
          </cell>
          <cell r="L261">
            <v>59.072583698600077</v>
          </cell>
          <cell r="M261">
            <v>2902.0673699999998</v>
          </cell>
          <cell r="N261">
            <v>0.24163982420286562</v>
          </cell>
          <cell r="O261">
            <v>1649.57755</v>
          </cell>
          <cell r="P261">
            <v>0.13735161123809259</v>
          </cell>
          <cell r="Q261">
            <v>629.80108999999993</v>
          </cell>
          <cell r="R261">
            <v>5.24402108109479E-2</v>
          </cell>
          <cell r="S261">
            <v>168.00049000000001</v>
          </cell>
          <cell r="T261">
            <v>1.3988513598702323E-2</v>
          </cell>
          <cell r="U261">
            <v>454.68824000000001</v>
          </cell>
          <cell r="V261">
            <v>3.7859488555122819E-2</v>
          </cell>
          <cell r="W261">
            <v>398.85548999999997</v>
          </cell>
          <cell r="X261">
            <v>1353</v>
          </cell>
        </row>
        <row r="262">
          <cell r="A262" t="str">
            <v>Subtotal Merchant</v>
          </cell>
          <cell r="C262">
            <v>265329</v>
          </cell>
          <cell r="D262">
            <v>520084</v>
          </cell>
          <cell r="E262">
            <v>0</v>
          </cell>
          <cell r="G262">
            <v>223525</v>
          </cell>
          <cell r="H262">
            <v>0.429786342206259</v>
          </cell>
          <cell r="J262">
            <v>240082.10925000001</v>
          </cell>
          <cell r="K262">
            <v>511896.73759999999</v>
          </cell>
          <cell r="L262">
            <v>60.227710294534916</v>
          </cell>
          <cell r="M262">
            <v>191462.21937000001</v>
          </cell>
          <cell r="N262">
            <v>0.3740250822219735</v>
          </cell>
          <cell r="O262">
            <v>142025.17355000001</v>
          </cell>
          <cell r="P262">
            <v>0.27744887419262976</v>
          </cell>
          <cell r="Q262">
            <v>24317.871090000001</v>
          </cell>
          <cell r="R262">
            <v>4.7505423074218088E-2</v>
          </cell>
          <cell r="S262">
            <v>8627.2014900000013</v>
          </cell>
          <cell r="T262">
            <v>1.6853401978000809E-2</v>
          </cell>
          <cell r="U262">
            <v>16491.973239999999</v>
          </cell>
          <cell r="V262">
            <v>3.2217382977124877E-2</v>
          </cell>
          <cell r="W262">
            <v>16148.316489999999</v>
          </cell>
          <cell r="X262">
            <v>32460</v>
          </cell>
        </row>
        <row r="264">
          <cell r="A264" t="str">
            <v>x</v>
          </cell>
          <cell r="J264" t="str">
            <v>As of 30th November 1999</v>
          </cell>
        </row>
        <row r="265">
          <cell r="D265" t="str">
            <v>September FY 97 *</v>
          </cell>
          <cell r="W265" t="str">
            <v>Total Debt</v>
          </cell>
          <cell r="X265" t="str">
            <v>Provision for</v>
          </cell>
        </row>
        <row r="266">
          <cell r="B266" t="str">
            <v>CURRENCY</v>
          </cell>
          <cell r="C266" t="str">
            <v>SALES</v>
          </cell>
          <cell r="D266" t="str">
            <v>TAR</v>
          </cell>
          <cell r="E266" t="str">
            <v>DSO</v>
          </cell>
          <cell r="G266" t="str">
            <v>PAST DUE</v>
          </cell>
          <cell r="J266" t="str">
            <v>SALES</v>
          </cell>
          <cell r="K266" t="str">
            <v>TAR</v>
          </cell>
          <cell r="L266" t="str">
            <v>DSO</v>
          </cell>
          <cell r="M266" t="str">
            <v>TOTAL PAST DUE</v>
          </cell>
          <cell r="O266" t="str">
            <v>0-30 Days PD</v>
          </cell>
          <cell r="Q266" t="str">
            <v>31-60 Days PD</v>
          </cell>
          <cell r="S266" t="str">
            <v>61-90 Days PD</v>
          </cell>
          <cell r="U266" t="str">
            <v>91+ Days PD</v>
          </cell>
          <cell r="W266" t="str">
            <v>Recovery</v>
          </cell>
          <cell r="X266" t="str">
            <v>Bad debt</v>
          </cell>
        </row>
        <row r="267">
          <cell r="C267" t="str">
            <v>LCL</v>
          </cell>
          <cell r="D267" t="str">
            <v>LCL</v>
          </cell>
          <cell r="E267" t="str">
            <v>Days</v>
          </cell>
          <cell r="G267" t="str">
            <v>LCL</v>
          </cell>
          <cell r="H267" t="str">
            <v>%</v>
          </cell>
          <cell r="J267" t="str">
            <v>LCL</v>
          </cell>
          <cell r="K267" t="str">
            <v>LCL</v>
          </cell>
          <cell r="L267" t="str">
            <v>Days</v>
          </cell>
          <cell r="M267" t="str">
            <v>LCL</v>
          </cell>
          <cell r="N267" t="str">
            <v>%</v>
          </cell>
          <cell r="O267" t="str">
            <v>LCL</v>
          </cell>
          <cell r="P267" t="str">
            <v>%</v>
          </cell>
          <cell r="Q267" t="str">
            <v>LCL</v>
          </cell>
          <cell r="R267" t="str">
            <v>%</v>
          </cell>
          <cell r="S267" t="str">
            <v>LCL</v>
          </cell>
          <cell r="T267" t="str">
            <v>%</v>
          </cell>
          <cell r="U267" t="str">
            <v>LCL</v>
          </cell>
          <cell r="V267" t="str">
            <v>%</v>
          </cell>
          <cell r="W267" t="str">
            <v>LCL</v>
          </cell>
          <cell r="X267" t="str">
            <v>LCL</v>
          </cell>
        </row>
        <row r="268">
          <cell r="A268" t="str">
            <v>Merchant</v>
          </cell>
        </row>
        <row r="269">
          <cell r="A269" t="str">
            <v>UK</v>
          </cell>
          <cell r="B269" t="str">
            <v>GBP</v>
          </cell>
          <cell r="C269">
            <v>13187</v>
          </cell>
          <cell r="D269">
            <v>20990</v>
          </cell>
          <cell r="E269">
            <v>48.1</v>
          </cell>
          <cell r="G269">
            <v>7208</v>
          </cell>
          <cell r="H269">
            <v>0.34340161981896139</v>
          </cell>
          <cell r="J269">
            <v>15788</v>
          </cell>
          <cell r="K269">
            <v>29316</v>
          </cell>
          <cell r="L269">
            <v>53.482098211859345</v>
          </cell>
          <cell r="M269">
            <v>10121</v>
          </cell>
          <cell r="N269">
            <v>0.34523809523809523</v>
          </cell>
          <cell r="O269">
            <v>5878</v>
          </cell>
          <cell r="P269">
            <v>0.20050484377131941</v>
          </cell>
          <cell r="Q269">
            <v>1796</v>
          </cell>
          <cell r="R269">
            <v>6.1263473870923728E-2</v>
          </cell>
          <cell r="S269">
            <v>563</v>
          </cell>
          <cell r="T269">
            <v>1.9204529949515624E-2</v>
          </cell>
          <cell r="U269">
            <v>1884</v>
          </cell>
          <cell r="V269">
            <v>6.4265247646336468E-2</v>
          </cell>
          <cell r="W269">
            <v>1221</v>
          </cell>
          <cell r="X269">
            <v>1782</v>
          </cell>
        </row>
        <row r="270">
          <cell r="A270" t="str">
            <v>Ireland</v>
          </cell>
          <cell r="B270" t="str">
            <v>IEP</v>
          </cell>
          <cell r="C270">
            <v>663</v>
          </cell>
          <cell r="D270">
            <v>1209</v>
          </cell>
          <cell r="E270">
            <v>44.7</v>
          </cell>
          <cell r="G270">
            <v>356</v>
          </cell>
          <cell r="H270">
            <v>0.29445822994210091</v>
          </cell>
          <cell r="J270">
            <v>1071</v>
          </cell>
          <cell r="K270">
            <v>2439</v>
          </cell>
          <cell r="L270">
            <v>65.568713450292393</v>
          </cell>
          <cell r="M270">
            <v>1290</v>
          </cell>
          <cell r="N270">
            <v>0.52890528905289058</v>
          </cell>
          <cell r="O270">
            <v>536</v>
          </cell>
          <cell r="P270">
            <v>0.21976219762197621</v>
          </cell>
          <cell r="Q270">
            <v>273</v>
          </cell>
          <cell r="R270">
            <v>0.11193111931119311</v>
          </cell>
          <cell r="S270">
            <v>215</v>
          </cell>
          <cell r="T270">
            <v>8.8150881508815088E-2</v>
          </cell>
          <cell r="U270">
            <v>266</v>
          </cell>
          <cell r="V270">
            <v>0.1090610906109061</v>
          </cell>
          <cell r="W270">
            <v>0</v>
          </cell>
          <cell r="X270">
            <v>64</v>
          </cell>
        </row>
        <row r="271">
          <cell r="A271" t="str">
            <v>France</v>
          </cell>
          <cell r="B271" t="str">
            <v>FRF</v>
          </cell>
          <cell r="C271">
            <v>61110</v>
          </cell>
          <cell r="D271">
            <v>125033</v>
          </cell>
          <cell r="E271">
            <v>65.900000000000006</v>
          </cell>
          <cell r="G271">
            <v>31735</v>
          </cell>
          <cell r="H271">
            <v>0.25</v>
          </cell>
          <cell r="J271">
            <v>63582</v>
          </cell>
          <cell r="K271">
            <v>149679</v>
          </cell>
          <cell r="L271">
            <v>64.198098327504241</v>
          </cell>
          <cell r="M271">
            <v>40749</v>
          </cell>
          <cell r="N271">
            <v>0.27224259916220711</v>
          </cell>
          <cell r="O271">
            <v>25036</v>
          </cell>
          <cell r="P271">
            <v>0.16726461293835473</v>
          </cell>
          <cell r="Q271">
            <v>8283</v>
          </cell>
          <cell r="R271">
            <v>5.5338424227847592E-2</v>
          </cell>
          <cell r="S271">
            <v>2632</v>
          </cell>
          <cell r="T271">
            <v>1.7584297062380159E-2</v>
          </cell>
          <cell r="U271">
            <v>4798</v>
          </cell>
          <cell r="V271">
            <v>3.2055264933624622E-2</v>
          </cell>
          <cell r="W271">
            <v>3744</v>
          </cell>
          <cell r="X271">
            <v>3990</v>
          </cell>
        </row>
        <row r="272">
          <cell r="A272" t="str">
            <v>Germany</v>
          </cell>
          <cell r="B272" t="str">
            <v>DEM</v>
          </cell>
          <cell r="C272">
            <v>16061</v>
          </cell>
          <cell r="D272">
            <v>17274</v>
          </cell>
          <cell r="E272">
            <v>32.6</v>
          </cell>
          <cell r="G272">
            <v>3113</v>
          </cell>
          <cell r="H272">
            <v>0.18021303693412064</v>
          </cell>
          <cell r="J272">
            <v>16966</v>
          </cell>
          <cell r="K272">
            <v>21574</v>
          </cell>
          <cell r="L272">
            <v>33.862226738311747</v>
          </cell>
          <cell r="M272">
            <v>4441</v>
          </cell>
          <cell r="N272">
            <v>0.2058496338184852</v>
          </cell>
          <cell r="O272">
            <v>3687</v>
          </cell>
          <cell r="P272">
            <v>0.17090015759710764</v>
          </cell>
          <cell r="Q272">
            <v>539</v>
          </cell>
          <cell r="R272">
            <v>2.4983776768332251E-2</v>
          </cell>
          <cell r="S272">
            <v>120</v>
          </cell>
          <cell r="T272">
            <v>5.5622508575136741E-3</v>
          </cell>
          <cell r="U272">
            <v>95</v>
          </cell>
          <cell r="V272">
            <v>4.4034485955316586E-3</v>
          </cell>
          <cell r="W272">
            <v>302</v>
          </cell>
          <cell r="X272">
            <v>110</v>
          </cell>
        </row>
        <row r="273">
          <cell r="A273" t="str">
            <v>Belgium</v>
          </cell>
          <cell r="B273" t="str">
            <v>BEF</v>
          </cell>
          <cell r="C273">
            <v>172725</v>
          </cell>
          <cell r="D273">
            <v>344420</v>
          </cell>
          <cell r="E273">
            <v>63</v>
          </cell>
          <cell r="G273">
            <v>172725</v>
          </cell>
          <cell r="H273">
            <v>0.50149526740607397</v>
          </cell>
          <cell r="J273">
            <v>135966</v>
          </cell>
          <cell r="K273">
            <v>298557</v>
          </cell>
          <cell r="L273">
            <v>62.63889848594809</v>
          </cell>
          <cell r="M273">
            <v>126980</v>
          </cell>
          <cell r="N273">
            <v>0.42531241940399989</v>
          </cell>
          <cell r="O273">
            <v>86871</v>
          </cell>
          <cell r="P273">
            <v>0.29096956360092041</v>
          </cell>
          <cell r="Q273">
            <v>25742</v>
          </cell>
          <cell r="R273">
            <v>8.6221391560070609E-2</v>
          </cell>
          <cell r="S273">
            <v>4860</v>
          </cell>
          <cell r="T273">
            <v>1.6278298616344618E-2</v>
          </cell>
          <cell r="U273">
            <v>9507</v>
          </cell>
          <cell r="V273">
            <v>3.1843165626664255E-2</v>
          </cell>
          <cell r="W273">
            <v>0</v>
          </cell>
          <cell r="X273">
            <v>24694</v>
          </cell>
        </row>
        <row r="274">
          <cell r="A274" t="str">
            <v>Netherlands</v>
          </cell>
          <cell r="B274" t="str">
            <v>NLG</v>
          </cell>
          <cell r="C274">
            <v>5975</v>
          </cell>
          <cell r="D274">
            <v>11853</v>
          </cell>
          <cell r="E274">
            <v>52.3</v>
          </cell>
          <cell r="G274">
            <v>5974</v>
          </cell>
          <cell r="H274">
            <v>0.50400742428077283</v>
          </cell>
          <cell r="J274">
            <v>6858</v>
          </cell>
          <cell r="K274">
            <v>14136</v>
          </cell>
          <cell r="L274">
            <v>58.460168242204183</v>
          </cell>
          <cell r="M274">
            <v>5459</v>
          </cell>
          <cell r="N274">
            <v>0.38617713638936052</v>
          </cell>
          <cell r="O274">
            <v>3877</v>
          </cell>
          <cell r="P274">
            <v>0.27426428975664968</v>
          </cell>
          <cell r="Q274">
            <v>904</v>
          </cell>
          <cell r="R274">
            <v>6.3950198075834755E-2</v>
          </cell>
          <cell r="S274">
            <v>189</v>
          </cell>
          <cell r="T274">
            <v>1.3370118845500848E-2</v>
          </cell>
          <cell r="U274">
            <v>489</v>
          </cell>
          <cell r="V274">
            <v>3.4592529711375213E-2</v>
          </cell>
          <cell r="W274">
            <v>0</v>
          </cell>
          <cell r="X274">
            <v>1353</v>
          </cell>
        </row>
        <row r="275">
          <cell r="A275" t="str">
            <v>Subtotal Merchant</v>
          </cell>
          <cell r="C275">
            <v>265329</v>
          </cell>
          <cell r="D275">
            <v>520084</v>
          </cell>
          <cell r="E275">
            <v>0</v>
          </cell>
          <cell r="G275">
            <v>223525</v>
          </cell>
          <cell r="H275">
            <v>0.429786342206259</v>
          </cell>
          <cell r="J275">
            <v>240231</v>
          </cell>
          <cell r="K275">
            <v>515701</v>
          </cell>
          <cell r="L275">
            <v>60.181691797051819</v>
          </cell>
          <cell r="M275">
            <v>189040</v>
          </cell>
          <cell r="N275">
            <v>0.36656900025402317</v>
          </cell>
          <cell r="O275">
            <v>125885</v>
          </cell>
          <cell r="P275">
            <v>0.24410462651807927</v>
          </cell>
          <cell r="Q275">
            <v>37537</v>
          </cell>
          <cell r="R275">
            <v>7.2788301748493794E-2</v>
          </cell>
          <cell r="S275">
            <v>8579</v>
          </cell>
          <cell r="T275">
            <v>1.6635608618172159E-2</v>
          </cell>
          <cell r="U275">
            <v>17039</v>
          </cell>
          <cell r="V275">
            <v>3.3040463369277934E-2</v>
          </cell>
          <cell r="W275">
            <v>5267</v>
          </cell>
          <cell r="X275">
            <v>31993</v>
          </cell>
        </row>
        <row r="277">
          <cell r="A277" t="str">
            <v>x</v>
          </cell>
          <cell r="J277" t="str">
            <v>As of 31st December 1999</v>
          </cell>
        </row>
        <row r="278">
          <cell r="D278" t="str">
            <v>September FY 97 *</v>
          </cell>
          <cell r="W278" t="str">
            <v>Total Debt</v>
          </cell>
          <cell r="X278" t="str">
            <v>Provision for</v>
          </cell>
        </row>
        <row r="279">
          <cell r="B279" t="str">
            <v>CURRENCY</v>
          </cell>
          <cell r="C279" t="str">
            <v>SALES</v>
          </cell>
          <cell r="D279" t="str">
            <v>TAR</v>
          </cell>
          <cell r="E279" t="str">
            <v>DSO</v>
          </cell>
          <cell r="G279" t="str">
            <v>PAST DUE</v>
          </cell>
          <cell r="J279" t="str">
            <v>SALES</v>
          </cell>
          <cell r="K279" t="str">
            <v>TAR</v>
          </cell>
          <cell r="L279" t="str">
            <v>DSO</v>
          </cell>
          <cell r="M279" t="str">
            <v>TOTAL PAST DUE</v>
          </cell>
          <cell r="O279" t="str">
            <v>0-30 Days PD</v>
          </cell>
          <cell r="Q279" t="str">
            <v>31-60 Days PD</v>
          </cell>
          <cell r="S279" t="str">
            <v>61-90 Days PD</v>
          </cell>
          <cell r="U279" t="str">
            <v>91+ Days PD</v>
          </cell>
          <cell r="W279" t="str">
            <v>Recovery</v>
          </cell>
          <cell r="X279" t="str">
            <v>Bad debt</v>
          </cell>
        </row>
        <row r="280">
          <cell r="C280" t="str">
            <v>LCL</v>
          </cell>
          <cell r="D280" t="str">
            <v>LCL</v>
          </cell>
          <cell r="E280" t="str">
            <v>Days</v>
          </cell>
          <cell r="G280" t="str">
            <v>LCL</v>
          </cell>
          <cell r="H280" t="str">
            <v>%</v>
          </cell>
          <cell r="J280" t="str">
            <v>LCL</v>
          </cell>
          <cell r="K280" t="str">
            <v>LCL</v>
          </cell>
          <cell r="L280" t="str">
            <v>Days</v>
          </cell>
          <cell r="M280" t="str">
            <v>LCL</v>
          </cell>
          <cell r="N280" t="str">
            <v>%</v>
          </cell>
          <cell r="O280" t="str">
            <v>LCL</v>
          </cell>
          <cell r="P280" t="str">
            <v>%</v>
          </cell>
          <cell r="Q280" t="str">
            <v>LCL</v>
          </cell>
          <cell r="R280" t="str">
            <v>%</v>
          </cell>
          <cell r="S280" t="str">
            <v>LCL</v>
          </cell>
          <cell r="T280" t="str">
            <v>%</v>
          </cell>
          <cell r="U280" t="str">
            <v>LCL</v>
          </cell>
          <cell r="V280" t="str">
            <v>%</v>
          </cell>
          <cell r="W280" t="str">
            <v>LCL</v>
          </cell>
          <cell r="X280" t="str">
            <v>LCL</v>
          </cell>
        </row>
        <row r="281">
          <cell r="A281" t="str">
            <v>Merchant</v>
          </cell>
        </row>
        <row r="282">
          <cell r="A282" t="str">
            <v>UK</v>
          </cell>
          <cell r="B282" t="str">
            <v>GBP</v>
          </cell>
          <cell r="C282">
            <v>13187</v>
          </cell>
          <cell r="D282">
            <v>20990</v>
          </cell>
          <cell r="E282">
            <v>48.1</v>
          </cell>
          <cell r="G282">
            <v>7208</v>
          </cell>
          <cell r="H282">
            <v>0.34340161981896139</v>
          </cell>
          <cell r="J282">
            <v>14070</v>
          </cell>
          <cell r="K282">
            <v>29023</v>
          </cell>
          <cell r="L282">
            <v>58.146338638814697</v>
          </cell>
          <cell r="M282">
            <v>13294</v>
          </cell>
          <cell r="N282">
            <v>0.45805051166316368</v>
          </cell>
          <cell r="O282">
            <v>7845</v>
          </cell>
          <cell r="P282">
            <v>0.2703028632463908</v>
          </cell>
          <cell r="Q282">
            <v>2439</v>
          </cell>
          <cell r="R282">
            <v>8.4036798401267959E-2</v>
          </cell>
          <cell r="S282">
            <v>926</v>
          </cell>
          <cell r="T282">
            <v>3.190572993832478E-2</v>
          </cell>
          <cell r="U282">
            <v>2084</v>
          </cell>
          <cell r="V282">
            <v>7.1805120077180165E-2</v>
          </cell>
          <cell r="W282">
            <v>1306</v>
          </cell>
          <cell r="X282">
            <v>1832</v>
          </cell>
        </row>
        <row r="283">
          <cell r="A283" t="str">
            <v>Ireland</v>
          </cell>
          <cell r="B283" t="str">
            <v>IEP</v>
          </cell>
          <cell r="C283">
            <v>663</v>
          </cell>
          <cell r="D283">
            <v>1209</v>
          </cell>
          <cell r="E283">
            <v>44.7</v>
          </cell>
          <cell r="G283">
            <v>356</v>
          </cell>
          <cell r="H283">
            <v>0.29445822994210091</v>
          </cell>
          <cell r="J283">
            <v>874</v>
          </cell>
          <cell r="K283">
            <v>2199</v>
          </cell>
          <cell r="L283">
            <v>70.44817735115987</v>
          </cell>
          <cell r="M283">
            <v>1196</v>
          </cell>
          <cell r="N283">
            <v>0.54388358344702137</v>
          </cell>
          <cell r="O283">
            <v>367</v>
          </cell>
          <cell r="P283">
            <v>0.16689404274670305</v>
          </cell>
          <cell r="Q283">
            <v>310</v>
          </cell>
          <cell r="R283">
            <v>0.14097316962255571</v>
          </cell>
          <cell r="S283">
            <v>175</v>
          </cell>
          <cell r="T283">
            <v>7.9581628012733066E-2</v>
          </cell>
          <cell r="U283">
            <v>344</v>
          </cell>
          <cell r="V283">
            <v>0.15643474306502955</v>
          </cell>
          <cell r="W283">
            <v>0</v>
          </cell>
          <cell r="X283">
            <v>63.515000000000001</v>
          </cell>
        </row>
        <row r="284">
          <cell r="A284" t="str">
            <v>France</v>
          </cell>
          <cell r="B284" t="str">
            <v>FRF</v>
          </cell>
          <cell r="C284">
            <v>61110</v>
          </cell>
          <cell r="D284">
            <v>125033</v>
          </cell>
          <cell r="E284">
            <v>65.900000000000006</v>
          </cell>
          <cell r="G284">
            <v>31735</v>
          </cell>
          <cell r="H284">
            <v>0.25</v>
          </cell>
          <cell r="J284">
            <v>60865</v>
          </cell>
          <cell r="K284">
            <v>145732</v>
          </cell>
          <cell r="L284">
            <v>72.602670115624903</v>
          </cell>
          <cell r="M284">
            <v>47636</v>
          </cell>
          <cell r="N284">
            <v>0.32687398786814154</v>
          </cell>
          <cell r="O284">
            <v>28867</v>
          </cell>
          <cell r="P284">
            <v>0.1980827820931573</v>
          </cell>
          <cell r="Q284">
            <v>9413</v>
          </cell>
          <cell r="R284">
            <v>6.4591167348283143E-2</v>
          </cell>
          <cell r="S284">
            <v>4988</v>
          </cell>
          <cell r="T284">
            <v>3.4227211593884664E-2</v>
          </cell>
          <cell r="U284">
            <v>4368</v>
          </cell>
          <cell r="V284">
            <v>2.9972826832816404E-2</v>
          </cell>
          <cell r="W284">
            <v>3744</v>
          </cell>
          <cell r="X284">
            <v>4351</v>
          </cell>
        </row>
        <row r="285">
          <cell r="A285" t="str">
            <v>Germany</v>
          </cell>
          <cell r="B285" t="str">
            <v>DEM</v>
          </cell>
          <cell r="C285">
            <v>16061</v>
          </cell>
          <cell r="D285">
            <v>17274</v>
          </cell>
          <cell r="E285">
            <v>32.6</v>
          </cell>
          <cell r="G285">
            <v>3113</v>
          </cell>
          <cell r="H285">
            <v>0.18021303693412064</v>
          </cell>
          <cell r="J285">
            <v>14619</v>
          </cell>
          <cell r="K285">
            <v>17953</v>
          </cell>
          <cell r="L285">
            <v>36.872805840013292</v>
          </cell>
          <cell r="M285">
            <v>5237</v>
          </cell>
          <cell r="N285">
            <v>0.29170612153957554</v>
          </cell>
          <cell r="O285">
            <v>3839</v>
          </cell>
          <cell r="P285">
            <v>0.21383612766668522</v>
          </cell>
          <cell r="Q285">
            <v>1090</v>
          </cell>
          <cell r="R285">
            <v>6.0714086782153398E-2</v>
          </cell>
          <cell r="S285">
            <v>388</v>
          </cell>
          <cell r="T285">
            <v>2.1611986854564696E-2</v>
          </cell>
          <cell r="U285">
            <v>-80</v>
          </cell>
          <cell r="V285">
            <v>-4.4560797638277727E-3</v>
          </cell>
          <cell r="W285">
            <v>391</v>
          </cell>
          <cell r="X285">
            <v>113</v>
          </cell>
        </row>
        <row r="286">
          <cell r="A286" t="str">
            <v>Belgium</v>
          </cell>
          <cell r="B286" t="str">
            <v>BEF</v>
          </cell>
          <cell r="C286">
            <v>172725</v>
          </cell>
          <cell r="D286">
            <v>344420</v>
          </cell>
          <cell r="E286">
            <v>63</v>
          </cell>
          <cell r="G286">
            <v>172725</v>
          </cell>
          <cell r="H286">
            <v>0.50149526740607397</v>
          </cell>
          <cell r="J286">
            <v>122764.743</v>
          </cell>
          <cell r="K286">
            <v>279329.47100000002</v>
          </cell>
          <cell r="L286">
            <v>68.586249176483491</v>
          </cell>
          <cell r="M286">
            <v>123500.02700000002</v>
          </cell>
          <cell r="N286">
            <v>0.44213031499279215</v>
          </cell>
          <cell r="O286">
            <v>81392.229000000007</v>
          </cell>
          <cell r="P286">
            <v>0.29138432371140671</v>
          </cell>
          <cell r="Q286">
            <v>28222.076000000001</v>
          </cell>
          <cell r="R286">
            <v>0.10103508197314418</v>
          </cell>
          <cell r="S286">
            <v>8692.8989999999994</v>
          </cell>
          <cell r="T286">
            <v>3.112059378797162E-2</v>
          </cell>
          <cell r="U286">
            <v>5192.8230000000003</v>
          </cell>
          <cell r="V286">
            <v>1.8590315520269612E-2</v>
          </cell>
          <cell r="W286">
            <v>10128.514999999999</v>
          </cell>
          <cell r="X286">
            <v>24694</v>
          </cell>
        </row>
        <row r="287">
          <cell r="A287" t="str">
            <v>Netherlands</v>
          </cell>
          <cell r="B287" t="str">
            <v>NLG</v>
          </cell>
          <cell r="C287">
            <v>5975</v>
          </cell>
          <cell r="D287">
            <v>11853</v>
          </cell>
          <cell r="E287">
            <v>52.3</v>
          </cell>
          <cell r="G287">
            <v>5974</v>
          </cell>
          <cell r="H287">
            <v>0.50400742428077283</v>
          </cell>
          <cell r="J287">
            <v>6642.8573399999996</v>
          </cell>
          <cell r="K287">
            <v>13567.71531</v>
          </cell>
          <cell r="L287">
            <v>59.888209709471511</v>
          </cell>
          <cell r="M287">
            <v>4593.2542199999998</v>
          </cell>
          <cell r="N287">
            <v>0.33854293925334433</v>
          </cell>
          <cell r="O287">
            <v>2727.5151999999998</v>
          </cell>
          <cell r="P287">
            <v>0.20102980772228482</v>
          </cell>
          <cell r="Q287">
            <v>797.24590000000001</v>
          </cell>
          <cell r="R287">
            <v>5.8760512126341188E-2</v>
          </cell>
          <cell r="S287">
            <v>579.66355999999996</v>
          </cell>
          <cell r="T287">
            <v>4.2723741378385388E-2</v>
          </cell>
          <cell r="U287">
            <v>488.82955999999996</v>
          </cell>
          <cell r="V287">
            <v>3.6028878026332936E-2</v>
          </cell>
          <cell r="W287">
            <v>344.99032999999997</v>
          </cell>
          <cell r="X287">
            <v>1353</v>
          </cell>
        </row>
        <row r="288">
          <cell r="A288" t="str">
            <v>Subtotal Merchant</v>
          </cell>
          <cell r="C288">
            <v>265329</v>
          </cell>
          <cell r="D288">
            <v>520084</v>
          </cell>
          <cell r="E288">
            <v>0</v>
          </cell>
          <cell r="G288">
            <v>223525</v>
          </cell>
          <cell r="H288">
            <v>0.429786342206259</v>
          </cell>
          <cell r="J288">
            <v>219835.60034</v>
          </cell>
          <cell r="K288">
            <v>487804.18631000002</v>
          </cell>
          <cell r="L288">
            <v>66.374935824400865</v>
          </cell>
          <cell r="M288">
            <v>195456.28122</v>
          </cell>
          <cell r="N288">
            <v>0.4006859446995138</v>
          </cell>
          <cell r="O288">
            <v>125037.7442</v>
          </cell>
          <cell r="P288">
            <v>0.25632773909926715</v>
          </cell>
          <cell r="Q288">
            <v>42271.321900000003</v>
          </cell>
          <cell r="R288">
            <v>8.6656332779269221E-2</v>
          </cell>
          <cell r="S288">
            <v>15749.562559999998</v>
          </cell>
          <cell r="T288">
            <v>3.228664903255081E-2</v>
          </cell>
          <cell r="U288">
            <v>12397.65256</v>
          </cell>
          <cell r="V288">
            <v>2.5415223788426613E-2</v>
          </cell>
          <cell r="W288">
            <v>15914.50533</v>
          </cell>
          <cell r="X288">
            <v>32406.514999999999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 Productivity"/>
      <sheetName val="Submitted"/>
      <sheetName val="APS1"/>
      <sheetName val="APS2"/>
      <sheetName val="APS3"/>
      <sheetName val="APS4"/>
      <sheetName val="Retention &amp; New Business"/>
      <sheetName val="Action Plan Summary 1"/>
      <sheetName val="Action Plan Summary 2"/>
      <sheetName val="Action Plan Summary 3"/>
      <sheetName val="Action Plan Summary 4"/>
      <sheetName val="Bulk"/>
      <sheetName val="PG"/>
      <sheetName val="Helium"/>
      <sheetName val="CBulk"/>
      <sheetName val="CPG"/>
      <sheetName val="Consites"/>
      <sheetName val="Medical"/>
      <sheetName val="GIM"/>
    </sheetNames>
    <sheetDataSet>
      <sheetData sheetId="0" refreshError="1"/>
      <sheetData sheetId="1" refreshError="1">
        <row r="1">
          <cell r="A1" t="str">
            <v>WW Gases Hard Productivity</v>
          </cell>
        </row>
        <row r="3">
          <cell r="A3" t="str">
            <v>$Millions, RDV, Ex Disclosed</v>
          </cell>
          <cell r="H3" t="str">
            <v>Op Plan</v>
          </cell>
          <cell r="J3" t="str">
            <v>%</v>
          </cell>
        </row>
        <row r="4">
          <cell r="B4" t="str">
            <v>Q1</v>
          </cell>
          <cell r="C4" t="str">
            <v>Q2</v>
          </cell>
          <cell r="D4" t="str">
            <v>Q3</v>
          </cell>
          <cell r="E4" t="str">
            <v>Q4</v>
          </cell>
          <cell r="F4" t="str">
            <v>Total</v>
          </cell>
          <cell r="H4" t="str">
            <v>FY02</v>
          </cell>
          <cell r="J4" t="str">
            <v>Penetration</v>
          </cell>
        </row>
        <row r="6">
          <cell r="A6" t="str">
            <v>North America Liquid/Bulk</v>
          </cell>
        </row>
        <row r="7">
          <cell r="A7" t="str">
            <v>Vehicle Programs</v>
          </cell>
          <cell r="B7">
            <v>1.1000000000000001</v>
          </cell>
          <cell r="C7">
            <v>0.9</v>
          </cell>
          <cell r="F7">
            <v>2</v>
          </cell>
          <cell r="H7">
            <v>3.8</v>
          </cell>
        </row>
        <row r="8">
          <cell r="A8" t="str">
            <v>Production Programs</v>
          </cell>
          <cell r="B8">
            <v>-0.2</v>
          </cell>
          <cell r="C8">
            <v>0.1</v>
          </cell>
          <cell r="F8">
            <v>-0.1</v>
          </cell>
          <cell r="H8">
            <v>1.9</v>
          </cell>
        </row>
        <row r="9">
          <cell r="A9" t="str">
            <v>Customer Stations</v>
          </cell>
          <cell r="B9">
            <v>0.2</v>
          </cell>
          <cell r="C9">
            <v>0.4</v>
          </cell>
          <cell r="F9">
            <v>0.60000000000000009</v>
          </cell>
          <cell r="H9">
            <v>1.1000000000000001</v>
          </cell>
        </row>
        <row r="11">
          <cell r="A11" t="str">
            <v>GI/Metals Tonnage</v>
          </cell>
          <cell r="B11">
            <v>0</v>
          </cell>
          <cell r="C11">
            <v>0.1</v>
          </cell>
          <cell r="F11">
            <v>0.1</v>
          </cell>
          <cell r="H11">
            <v>0.2</v>
          </cell>
        </row>
        <row r="13">
          <cell r="A13" t="str">
            <v>Packaged Gases - U.S.</v>
          </cell>
        </row>
        <row r="14">
          <cell r="A14" t="str">
            <v>Lean Enterprise</v>
          </cell>
          <cell r="B14">
            <v>1</v>
          </cell>
          <cell r="C14">
            <v>0.6</v>
          </cell>
          <cell r="F14">
            <v>1.6</v>
          </cell>
          <cell r="H14">
            <v>4</v>
          </cell>
        </row>
        <row r="15">
          <cell r="A15" t="str">
            <v>Supply Chain Optimization</v>
          </cell>
          <cell r="B15">
            <v>0</v>
          </cell>
          <cell r="C15">
            <v>0</v>
          </cell>
          <cell r="F15">
            <v>0</v>
          </cell>
          <cell r="H15">
            <v>2</v>
          </cell>
        </row>
        <row r="16">
          <cell r="A16" t="str">
            <v>Logistics</v>
          </cell>
          <cell r="B16">
            <v>0.4</v>
          </cell>
          <cell r="C16">
            <v>0.2</v>
          </cell>
          <cell r="F16">
            <v>0.60000000000000009</v>
          </cell>
          <cell r="H16">
            <v>1.6</v>
          </cell>
        </row>
        <row r="17">
          <cell r="A17" t="str">
            <v>Helium</v>
          </cell>
          <cell r="B17">
            <v>0.05</v>
          </cell>
          <cell r="C17">
            <v>0</v>
          </cell>
          <cell r="F17">
            <v>0.05</v>
          </cell>
          <cell r="H17">
            <v>0.2</v>
          </cell>
        </row>
        <row r="19">
          <cell r="A19" t="str">
            <v>S, G &amp; A Total</v>
          </cell>
          <cell r="B19">
            <v>0.2</v>
          </cell>
          <cell r="C19">
            <v>0</v>
          </cell>
          <cell r="F19">
            <v>0.2</v>
          </cell>
          <cell r="H19">
            <v>0.2</v>
          </cell>
        </row>
        <row r="20">
          <cell r="A20" t="str">
            <v>North America Gases</v>
          </cell>
          <cell r="B20">
            <v>2.75</v>
          </cell>
          <cell r="C20">
            <v>2.3000000000000003</v>
          </cell>
          <cell r="D20">
            <v>0</v>
          </cell>
          <cell r="E20">
            <v>0</v>
          </cell>
          <cell r="F20">
            <v>5.0500000000000007</v>
          </cell>
          <cell r="H20">
            <v>14.999999999999998</v>
          </cell>
          <cell r="J20">
            <v>0.33666666666666678</v>
          </cell>
        </row>
        <row r="22">
          <cell r="A22" t="str">
            <v>WWCPI</v>
          </cell>
        </row>
        <row r="23">
          <cell r="A23" t="str">
            <v>California</v>
          </cell>
          <cell r="B23">
            <v>0.21199999999999999</v>
          </cell>
          <cell r="C23">
            <v>0.375</v>
          </cell>
          <cell r="F23">
            <v>0.58699999999999997</v>
          </cell>
          <cell r="H23">
            <v>1.66875</v>
          </cell>
        </row>
        <row r="24">
          <cell r="A24" t="str">
            <v>Europe</v>
          </cell>
          <cell r="B24">
            <v>0.42199999999999999</v>
          </cell>
          <cell r="C24">
            <v>0.15</v>
          </cell>
          <cell r="F24">
            <v>0.57199999999999995</v>
          </cell>
          <cell r="H24">
            <v>1.4780000000000002</v>
          </cell>
        </row>
        <row r="25">
          <cell r="A25" t="str">
            <v>Louisiana</v>
          </cell>
          <cell r="B25">
            <v>0.36799999999999999</v>
          </cell>
          <cell r="C25">
            <v>0.68100000000000005</v>
          </cell>
          <cell r="F25">
            <v>1.0489999999999999</v>
          </cell>
          <cell r="H25">
            <v>0.25</v>
          </cell>
        </row>
        <row r="26">
          <cell r="A26" t="str">
            <v>Texas</v>
          </cell>
          <cell r="B26">
            <v>0.25900000000000001</v>
          </cell>
          <cell r="C26">
            <v>0.38800000000000001</v>
          </cell>
          <cell r="F26">
            <v>0.64700000000000002</v>
          </cell>
          <cell r="H26">
            <v>2.895</v>
          </cell>
        </row>
        <row r="27">
          <cell r="A27" t="str">
            <v>Recover fixed fuel factors for Iraan #1</v>
          </cell>
          <cell r="B27">
            <v>0</v>
          </cell>
          <cell r="C27">
            <v>0</v>
          </cell>
          <cell r="F27">
            <v>0</v>
          </cell>
          <cell r="H27">
            <v>7.0000000000000007E-2</v>
          </cell>
        </row>
        <row r="28">
          <cell r="A28" t="str">
            <v>Equistar, Morris Avoided LIN Credit</v>
          </cell>
          <cell r="B28">
            <v>0</v>
          </cell>
          <cell r="C28">
            <v>0</v>
          </cell>
          <cell r="F28">
            <v>0</v>
          </cell>
          <cell r="H28">
            <v>7.0000000000000007E-2</v>
          </cell>
        </row>
        <row r="29">
          <cell r="A29" t="str">
            <v>Total WW CPI</v>
          </cell>
          <cell r="B29">
            <v>1.2610000000000001</v>
          </cell>
          <cell r="C29">
            <v>1.5939999999999999</v>
          </cell>
          <cell r="D29">
            <v>0</v>
          </cell>
          <cell r="E29">
            <v>0</v>
          </cell>
          <cell r="F29">
            <v>2.8549999999999995</v>
          </cell>
          <cell r="H29">
            <v>6.431750000000001</v>
          </cell>
          <cell r="J29">
            <v>0.44389163136004961</v>
          </cell>
        </row>
        <row r="31">
          <cell r="A31" t="str">
            <v>WW Electronics</v>
          </cell>
        </row>
        <row r="32">
          <cell r="A32" t="str">
            <v>Hometown</v>
          </cell>
        </row>
        <row r="33">
          <cell r="A33" t="str">
            <v>Total continuous improvement programs</v>
          </cell>
          <cell r="B33">
            <v>3.1007000000000003E-2</v>
          </cell>
          <cell r="C33">
            <v>8.6646000000000001E-2</v>
          </cell>
          <cell r="F33">
            <v>0.11765300000000001</v>
          </cell>
          <cell r="H33">
            <v>0.2</v>
          </cell>
        </row>
        <row r="34">
          <cell r="A34" t="str">
            <v>Warehouse+ Cust Service</v>
          </cell>
          <cell r="B34">
            <v>2.2499999999999998E-3</v>
          </cell>
          <cell r="C34">
            <v>2.2499999999999998E-3</v>
          </cell>
          <cell r="F34">
            <v>4.4999999999999997E-3</v>
          </cell>
        </row>
        <row r="35">
          <cell r="A35" t="str">
            <v>HT-Suggestion Program</v>
          </cell>
          <cell r="B35">
            <v>3.5820000000000001E-3</v>
          </cell>
          <cell r="C35">
            <v>1.7152000000000001E-2</v>
          </cell>
          <cell r="F35">
            <v>2.0734000000000002E-2</v>
          </cell>
        </row>
        <row r="36">
          <cell r="A36" t="str">
            <v>EAST F2 Dept, Cell repair, AEROPAK</v>
          </cell>
          <cell r="B36">
            <v>0</v>
          </cell>
          <cell r="C36">
            <v>1.2749999999999999E-2</v>
          </cell>
          <cell r="F36">
            <v>1.2749999999999999E-2</v>
          </cell>
        </row>
        <row r="37">
          <cell r="A37" t="str">
            <v>FDF</v>
          </cell>
          <cell r="B37">
            <v>0</v>
          </cell>
          <cell r="C37">
            <v>1.7049999999999999E-2</v>
          </cell>
          <cell r="F37">
            <v>1.7049999999999999E-2</v>
          </cell>
        </row>
        <row r="38">
          <cell r="A38" t="str">
            <v>WEST F2, NF3, HF unloading</v>
          </cell>
          <cell r="B38">
            <v>0</v>
          </cell>
          <cell r="C38">
            <v>1.25E-4</v>
          </cell>
          <cell r="F38">
            <v>1.25E-4</v>
          </cell>
        </row>
        <row r="39">
          <cell r="A39" t="str">
            <v>Gas Fill</v>
          </cell>
          <cell r="B39">
            <v>1.2675000000000001E-2</v>
          </cell>
          <cell r="C39">
            <v>2.3567000000000001E-2</v>
          </cell>
          <cell r="F39">
            <v>3.6242000000000003E-2</v>
          </cell>
        </row>
        <row r="40">
          <cell r="A40" t="str">
            <v>Cyl Manitenance</v>
          </cell>
          <cell r="B40">
            <v>0</v>
          </cell>
          <cell r="C40">
            <v>0</v>
          </cell>
          <cell r="F40">
            <v>0</v>
          </cell>
        </row>
        <row r="41">
          <cell r="A41" t="str">
            <v>RGT</v>
          </cell>
          <cell r="B41">
            <v>0</v>
          </cell>
          <cell r="C41">
            <v>1.2520000000000001E-3</v>
          </cell>
          <cell r="F41">
            <v>1.2520000000000001E-3</v>
          </cell>
        </row>
        <row r="42">
          <cell r="A42" t="str">
            <v>ELF+HCl</v>
          </cell>
          <cell r="B42">
            <v>0</v>
          </cell>
          <cell r="C42">
            <v>0</v>
          </cell>
          <cell r="F42">
            <v>0</v>
          </cell>
        </row>
        <row r="43">
          <cell r="A43" t="str">
            <v>HT Maint</v>
          </cell>
          <cell r="B43">
            <v>1.2500000000000001E-2</v>
          </cell>
          <cell r="C43">
            <v>1.2500000000000001E-2</v>
          </cell>
          <cell r="F43">
            <v>2.5000000000000001E-2</v>
          </cell>
        </row>
        <row r="44">
          <cell r="A44" t="str">
            <v>Metals Lab</v>
          </cell>
          <cell r="B44">
            <v>0</v>
          </cell>
          <cell r="C44">
            <v>0</v>
          </cell>
          <cell r="F44">
            <v>0</v>
          </cell>
        </row>
        <row r="45">
          <cell r="A45" t="str">
            <v>CSTR Yield + NF3 Losses Reduction/Recovery Increase, 6 Sigma Event</v>
          </cell>
          <cell r="B45">
            <v>6.2153E-2</v>
          </cell>
          <cell r="C45">
            <v>0.152397</v>
          </cell>
          <cell r="F45">
            <v>0.21455000000000002</v>
          </cell>
          <cell r="H45">
            <v>0.9</v>
          </cell>
        </row>
        <row r="46">
          <cell r="A46" t="str">
            <v>Equipment Life Increase:Spargers,Agitators, Na Mordenite, Drier utility</v>
          </cell>
          <cell r="B46">
            <v>0.02</v>
          </cell>
          <cell r="C46">
            <v>3.1646000000000001E-2</v>
          </cell>
          <cell r="F46">
            <v>5.1645999999999997E-2</v>
          </cell>
          <cell r="H46">
            <v>0.5</v>
          </cell>
        </row>
        <row r="47">
          <cell r="A47" t="str">
            <v xml:space="preserve">Haz waste reduced-Hydrolyzed ABF + KOH </v>
          </cell>
          <cell r="B47">
            <v>0</v>
          </cell>
          <cell r="C47">
            <v>0</v>
          </cell>
          <cell r="F47">
            <v>0</v>
          </cell>
          <cell r="H47">
            <v>0</v>
          </cell>
        </row>
        <row r="48">
          <cell r="A48" t="str">
            <v>GAN/LIN Use Rate Reduction</v>
          </cell>
          <cell r="B48">
            <v>2.8629999999999999E-2</v>
          </cell>
          <cell r="C48">
            <v>5.2167999999999999E-2</v>
          </cell>
          <cell r="F48">
            <v>8.0797999999999995E-2</v>
          </cell>
          <cell r="H48">
            <v>0.25</v>
          </cell>
        </row>
        <row r="49">
          <cell r="A49" t="str">
            <v>He Reduction</v>
          </cell>
          <cell r="B49">
            <v>1.15E-2</v>
          </cell>
          <cell r="C49">
            <v>2.6256000000000002E-2</v>
          </cell>
          <cell r="F49">
            <v>3.7755999999999998E-2</v>
          </cell>
          <cell r="H49">
            <v>0.1</v>
          </cell>
        </row>
        <row r="50">
          <cell r="A50" t="str">
            <v>Adjustment-Helium resale (WW supply sold out)</v>
          </cell>
          <cell r="B50">
            <v>1.7436E-2</v>
          </cell>
          <cell r="C50">
            <v>3.9808000000000003E-2</v>
          </cell>
          <cell r="F50">
            <v>5.7244000000000003E-2</v>
          </cell>
          <cell r="H50">
            <v>0.15</v>
          </cell>
        </row>
        <row r="51">
          <cell r="A51" t="str">
            <v>Infrastructure-Historian Enhancements</v>
          </cell>
          <cell r="B51">
            <v>0</v>
          </cell>
          <cell r="C51">
            <v>0</v>
          </cell>
          <cell r="F51">
            <v>0</v>
          </cell>
          <cell r="H51">
            <v>0</v>
          </cell>
        </row>
        <row r="52">
          <cell r="A52" t="str">
            <v>Waste reduction: POTW, reduce drum shipment</v>
          </cell>
          <cell r="B52">
            <v>0</v>
          </cell>
          <cell r="C52">
            <v>0</v>
          </cell>
          <cell r="F52">
            <v>0</v>
          </cell>
          <cell r="H52">
            <v>0</v>
          </cell>
        </row>
        <row r="53">
          <cell r="A53" t="str">
            <v>Waste reduction: Aqueous HCL Waste Sale to 3rd Party</v>
          </cell>
          <cell r="B53">
            <v>0</v>
          </cell>
          <cell r="C53">
            <v>0</v>
          </cell>
          <cell r="F53">
            <v>0</v>
          </cell>
          <cell r="H53">
            <v>0.15</v>
          </cell>
        </row>
        <row r="54">
          <cell r="A54" t="str">
            <v>Waste reduction: MET KOH recycle reprocessing renegotiation</v>
          </cell>
          <cell r="B54">
            <v>0</v>
          </cell>
          <cell r="C54">
            <v>0</v>
          </cell>
          <cell r="F54">
            <v>0</v>
          </cell>
          <cell r="H54">
            <v>0</v>
          </cell>
        </row>
        <row r="55">
          <cell r="A55" t="str">
            <v>F2 Cell Life Increase / Parts Cost Reduction</v>
          </cell>
          <cell r="B55">
            <v>0</v>
          </cell>
          <cell r="C55">
            <v>1.8749999999999999E-2</v>
          </cell>
          <cell r="F55">
            <v>1.8749999999999999E-2</v>
          </cell>
          <cell r="H55">
            <v>0.25</v>
          </cell>
        </row>
        <row r="56">
          <cell r="A56" t="str">
            <v>Compounds plants cost reduction + capacity</v>
          </cell>
          <cell r="B56">
            <v>2.0351999999999999E-2</v>
          </cell>
          <cell r="C56">
            <v>6.1055999999999999E-2</v>
          </cell>
          <cell r="F56">
            <v>8.1407999999999994E-2</v>
          </cell>
          <cell r="H56">
            <v>0</v>
          </cell>
        </row>
        <row r="57">
          <cell r="A57" t="str">
            <v>Reduce cost- Implement in-situ purification + SD old purifier</v>
          </cell>
          <cell r="B57">
            <v>0</v>
          </cell>
          <cell r="C57">
            <v>0</v>
          </cell>
          <cell r="F57">
            <v>0</v>
          </cell>
          <cell r="H57">
            <v>0</v>
          </cell>
        </row>
        <row r="58">
          <cell r="A58" t="str">
            <v>Reduce BCl3, HCl, HBr Waste + Failures Reduction</v>
          </cell>
          <cell r="B58">
            <v>0</v>
          </cell>
          <cell r="C58">
            <v>1.5E-3</v>
          </cell>
          <cell r="F58">
            <v>1.5E-3</v>
          </cell>
          <cell r="H58">
            <v>0.15</v>
          </cell>
        </row>
        <row r="59">
          <cell r="A59" t="str">
            <v>Reduce wastes</v>
          </cell>
          <cell r="B59">
            <v>0</v>
          </cell>
          <cell r="C59">
            <v>3.6489999999999999E-3</v>
          </cell>
          <cell r="F59">
            <v>3.6489999999999999E-3</v>
          </cell>
          <cell r="H59">
            <v>0</v>
          </cell>
        </row>
        <row r="60">
          <cell r="A60" t="str">
            <v>Hastelloy Valve Program-implement; reduce replacement cost</v>
          </cell>
          <cell r="B60">
            <v>0</v>
          </cell>
          <cell r="C60">
            <v>0</v>
          </cell>
          <cell r="F60">
            <v>0</v>
          </cell>
          <cell r="H60">
            <v>0.1</v>
          </cell>
        </row>
        <row r="61">
          <cell r="A61" t="str">
            <v>Purchased Cost Reduction</v>
          </cell>
          <cell r="B61">
            <v>9.4952999999999996E-2</v>
          </cell>
          <cell r="C61">
            <v>0.17555599999999999</v>
          </cell>
          <cell r="F61">
            <v>0.270509</v>
          </cell>
          <cell r="H61">
            <v>0.25</v>
          </cell>
        </row>
        <row r="62">
          <cell r="A62" t="str">
            <v>Reduced Inventory</v>
          </cell>
          <cell r="B62">
            <v>0</v>
          </cell>
          <cell r="C62">
            <v>0</v>
          </cell>
          <cell r="F62">
            <v>0</v>
          </cell>
          <cell r="H62">
            <v>0.5</v>
          </cell>
        </row>
        <row r="63">
          <cell r="A63" t="str">
            <v>FIBA-Test Aluminum Cylinders</v>
          </cell>
          <cell r="B63">
            <v>0.1149</v>
          </cell>
          <cell r="C63">
            <v>0.12690000000000001</v>
          </cell>
          <cell r="F63">
            <v>0.24180000000000001</v>
          </cell>
          <cell r="H63">
            <v>0.15</v>
          </cell>
        </row>
        <row r="64">
          <cell r="A64" t="str">
            <v>Reduced spending for plant maint, services + support</v>
          </cell>
          <cell r="B64">
            <v>3.9249999999999997E-3</v>
          </cell>
          <cell r="C64">
            <v>2.9725000000000001E-2</v>
          </cell>
          <cell r="F64">
            <v>3.3649999999999999E-2</v>
          </cell>
          <cell r="H64">
            <v>0</v>
          </cell>
        </row>
        <row r="65">
          <cell r="A65" t="str">
            <v>Reductions-Temporary Layoff Program</v>
          </cell>
          <cell r="B65">
            <v>0.153</v>
          </cell>
          <cell r="C65">
            <v>0.11565</v>
          </cell>
          <cell r="F65">
            <v>0.26865</v>
          </cell>
          <cell r="H65">
            <v>0.6</v>
          </cell>
        </row>
        <row r="66">
          <cell r="A66" t="str">
            <v>Labor Reductions via SAP/Package Gas/Position Elimination/Attrition</v>
          </cell>
          <cell r="B66">
            <v>8.7150000000000005E-2</v>
          </cell>
          <cell r="C66">
            <v>4.1088E-2</v>
          </cell>
          <cell r="F66">
            <v>0.12823800000000002</v>
          </cell>
          <cell r="H66">
            <v>0.4</v>
          </cell>
        </row>
        <row r="67">
          <cell r="A67" t="str">
            <v>Labor Productivity-F2: Operations-Job consolidation</v>
          </cell>
          <cell r="B67">
            <v>0</v>
          </cell>
          <cell r="C67">
            <v>0</v>
          </cell>
          <cell r="F67">
            <v>0</v>
          </cell>
          <cell r="H67">
            <v>0.3</v>
          </cell>
        </row>
        <row r="68">
          <cell r="A68" t="str">
            <v>Labor Productivity-Other; Operations-Job consolidation</v>
          </cell>
          <cell r="B68">
            <v>0</v>
          </cell>
          <cell r="C68">
            <v>0</v>
          </cell>
          <cell r="F68">
            <v>0</v>
          </cell>
          <cell r="H68">
            <v>0.1</v>
          </cell>
        </row>
        <row r="69">
          <cell r="A69" t="str">
            <v>Lab Scheduling optimization-reduce costs</v>
          </cell>
          <cell r="B69">
            <v>0</v>
          </cell>
          <cell r="C69">
            <v>0</v>
          </cell>
          <cell r="F69">
            <v>0</v>
          </cell>
          <cell r="H69">
            <v>0.1</v>
          </cell>
        </row>
        <row r="70">
          <cell r="A70" t="str">
            <v>CF4 Operating Cost Reduction</v>
          </cell>
          <cell r="B70">
            <v>0</v>
          </cell>
          <cell r="C70">
            <v>0</v>
          </cell>
          <cell r="F70">
            <v>0</v>
          </cell>
          <cell r="H70">
            <v>0.05</v>
          </cell>
        </row>
        <row r="71">
          <cell r="A71" t="str">
            <v>H116 Operating Cost Reduction</v>
          </cell>
          <cell r="B71">
            <v>0</v>
          </cell>
          <cell r="C71">
            <v>0</v>
          </cell>
          <cell r="F71">
            <v>0</v>
          </cell>
          <cell r="H71">
            <v>0.05</v>
          </cell>
        </row>
        <row r="72">
          <cell r="A72" t="str">
            <v>Best Practices Opportunities Identification and Use</v>
          </cell>
          <cell r="B72">
            <v>0</v>
          </cell>
          <cell r="C72">
            <v>0</v>
          </cell>
          <cell r="F72">
            <v>0</v>
          </cell>
          <cell r="H72">
            <v>0.05</v>
          </cell>
        </row>
        <row r="73">
          <cell r="A73" t="str">
            <v>Analtyical Productivity</v>
          </cell>
          <cell r="B73">
            <v>0</v>
          </cell>
          <cell r="C73">
            <v>0</v>
          </cell>
          <cell r="F73">
            <v>0</v>
          </cell>
          <cell r="H73">
            <v>0</v>
          </cell>
        </row>
        <row r="74">
          <cell r="A74" t="str">
            <v xml:space="preserve">  Total Hometown</v>
          </cell>
          <cell r="B74">
            <v>0.64500599999999997</v>
          </cell>
          <cell r="C74">
            <v>0.96279500000000007</v>
          </cell>
          <cell r="D74">
            <v>0</v>
          </cell>
          <cell r="E74">
            <v>0</v>
          </cell>
          <cell r="F74">
            <v>1.607801</v>
          </cell>
          <cell r="G74">
            <v>0</v>
          </cell>
          <cell r="H74">
            <v>5.2999999999999989</v>
          </cell>
          <cell r="J74">
            <v>0.30335867924528309</v>
          </cell>
        </row>
        <row r="76">
          <cell r="A76" t="str">
            <v>Solkatronic</v>
          </cell>
        </row>
        <row r="77">
          <cell r="A77" t="str">
            <v>Morrisville</v>
          </cell>
        </row>
        <row r="78">
          <cell r="A78" t="str">
            <v>Total continuous improvement programs</v>
          </cell>
          <cell r="B78">
            <v>7.293E-3</v>
          </cell>
          <cell r="C78">
            <v>9.3799999999999994E-3</v>
          </cell>
          <cell r="D78">
            <v>0</v>
          </cell>
          <cell r="E78">
            <v>0</v>
          </cell>
          <cell r="F78">
            <v>1.6673E-2</v>
          </cell>
          <cell r="H78">
            <v>0.15</v>
          </cell>
        </row>
        <row r="79">
          <cell r="A79" t="str">
            <v>Other kaizans, flow projects</v>
          </cell>
          <cell r="B79">
            <v>7.293E-3</v>
          </cell>
          <cell r="C79">
            <v>9.3799999999999994E-3</v>
          </cell>
          <cell r="F79">
            <v>1.6673E-2</v>
          </cell>
        </row>
        <row r="80">
          <cell r="A80" t="str">
            <v>B-NH3 flow improvement</v>
          </cell>
          <cell r="F80">
            <v>0</v>
          </cell>
        </row>
        <row r="81">
          <cell r="A81" t="str">
            <v>Qualify and Implement New Zinc Arsenide Supply in MV</v>
          </cell>
          <cell r="B81">
            <v>0</v>
          </cell>
          <cell r="C81">
            <v>0</v>
          </cell>
          <cell r="F81">
            <v>0</v>
          </cell>
          <cell r="H81">
            <v>0.3</v>
          </cell>
        </row>
        <row r="82">
          <cell r="A82" t="str">
            <v>Capacity + yield Increase</v>
          </cell>
          <cell r="B82">
            <v>2.5659000000000001E-2</v>
          </cell>
          <cell r="C82">
            <v>6.3575999999999994E-2</v>
          </cell>
          <cell r="F82">
            <v>8.9234999999999995E-2</v>
          </cell>
          <cell r="H82">
            <v>0.1</v>
          </cell>
        </row>
        <row r="83">
          <cell r="A83" t="str">
            <v>Quality-cost reductions</v>
          </cell>
          <cell r="B83">
            <v>1.6400000000000001E-2</v>
          </cell>
          <cell r="C83">
            <v>1.6400000000000001E-2</v>
          </cell>
          <cell r="F83">
            <v>3.2800000000000003E-2</v>
          </cell>
          <cell r="H83">
            <v>0</v>
          </cell>
        </row>
        <row r="84">
          <cell r="A84" t="str">
            <v>Waste Reduction</v>
          </cell>
          <cell r="B84">
            <v>0</v>
          </cell>
          <cell r="C84">
            <v>0</v>
          </cell>
          <cell r="F84">
            <v>0</v>
          </cell>
          <cell r="H84">
            <v>0.05</v>
          </cell>
        </row>
        <row r="85">
          <cell r="A85" t="str">
            <v>Reduce N20 Losses</v>
          </cell>
          <cell r="B85">
            <v>0</v>
          </cell>
          <cell r="C85">
            <v>2.5000000000000001E-2</v>
          </cell>
          <cell r="F85">
            <v>2.5000000000000001E-2</v>
          </cell>
          <cell r="H85">
            <v>0.2</v>
          </cell>
        </row>
        <row r="86">
          <cell r="A86" t="str">
            <v>Capacity Increase</v>
          </cell>
          <cell r="B86">
            <v>0</v>
          </cell>
          <cell r="C86">
            <v>0</v>
          </cell>
          <cell r="F86">
            <v>0</v>
          </cell>
          <cell r="H86">
            <v>0</v>
          </cell>
        </row>
        <row r="87">
          <cell r="A87" t="str">
            <v>Capacity + yield Increase</v>
          </cell>
          <cell r="B87">
            <v>1.0833000000000001E-2</v>
          </cell>
          <cell r="C87">
            <v>2.6249999999999999E-2</v>
          </cell>
          <cell r="F87">
            <v>3.7082999999999998E-2</v>
          </cell>
          <cell r="H87">
            <v>0</v>
          </cell>
        </row>
        <row r="88">
          <cell r="A88" t="str">
            <v>Capacity increase/ waste reduction</v>
          </cell>
          <cell r="B88">
            <v>0</v>
          </cell>
          <cell r="C88">
            <v>0</v>
          </cell>
          <cell r="F88">
            <v>0</v>
          </cell>
          <cell r="H88">
            <v>0</v>
          </cell>
        </row>
        <row r="89">
          <cell r="A89" t="str">
            <v>Capacity increase/ waste reduction</v>
          </cell>
          <cell r="B89">
            <v>0</v>
          </cell>
          <cell r="C89">
            <v>0</v>
          </cell>
          <cell r="F89">
            <v>0</v>
          </cell>
          <cell r="H89">
            <v>0</v>
          </cell>
        </row>
        <row r="90">
          <cell r="A90" t="str">
            <v>Cylinder Cycle time and Waste Reduction</v>
          </cell>
          <cell r="B90">
            <v>0</v>
          </cell>
          <cell r="C90">
            <v>0</v>
          </cell>
          <cell r="F90">
            <v>0</v>
          </cell>
          <cell r="H90">
            <v>0.05</v>
          </cell>
        </row>
        <row r="91">
          <cell r="A91" t="str">
            <v>Reduced Package Shippng Costs</v>
          </cell>
          <cell r="B91">
            <v>0</v>
          </cell>
          <cell r="C91">
            <v>0.02</v>
          </cell>
          <cell r="F91">
            <v>0.02</v>
          </cell>
          <cell r="H91">
            <v>0</v>
          </cell>
        </row>
        <row r="92">
          <cell r="A92" t="str">
            <v>Purchasing Leverage - Purchased Cost Reduction</v>
          </cell>
          <cell r="B92">
            <v>4.95E-4</v>
          </cell>
          <cell r="C92">
            <v>5.0577999999999998E-2</v>
          </cell>
          <cell r="F92">
            <v>5.1073E-2</v>
          </cell>
          <cell r="H92">
            <v>0.1</v>
          </cell>
        </row>
        <row r="93">
          <cell r="A93" t="str">
            <v>Reduced Inventory</v>
          </cell>
          <cell r="B93">
            <v>0</v>
          </cell>
          <cell r="C93">
            <v>2.5000000000000001E-2</v>
          </cell>
          <cell r="F93">
            <v>2.5000000000000001E-2</v>
          </cell>
          <cell r="H93">
            <v>0.25</v>
          </cell>
        </row>
        <row r="94">
          <cell r="A94" t="str">
            <v>Labor Reductions via SAP/Position Elimination/Attrition</v>
          </cell>
          <cell r="B94">
            <v>0.104</v>
          </cell>
          <cell r="C94">
            <v>0.125</v>
          </cell>
          <cell r="F94">
            <v>0.22899999999999998</v>
          </cell>
          <cell r="H94">
            <v>0.6</v>
          </cell>
        </row>
        <row r="95">
          <cell r="A95" t="str">
            <v>Analytical Productivity Improvement</v>
          </cell>
          <cell r="B95">
            <v>0</v>
          </cell>
          <cell r="C95">
            <v>0</v>
          </cell>
          <cell r="F95">
            <v>0</v>
          </cell>
          <cell r="H95">
            <v>0.05</v>
          </cell>
        </row>
        <row r="96">
          <cell r="A96" t="str">
            <v>FIBA-Test Aluminum Cylinders</v>
          </cell>
          <cell r="B96">
            <v>0</v>
          </cell>
          <cell r="C96">
            <v>0</v>
          </cell>
          <cell r="F96">
            <v>0</v>
          </cell>
          <cell r="H96">
            <v>0.15</v>
          </cell>
        </row>
        <row r="97">
          <cell r="A97" t="str">
            <v>Total Morrisville</v>
          </cell>
          <cell r="B97">
            <v>0.16467999999999999</v>
          </cell>
          <cell r="C97">
            <v>0.36118400000000001</v>
          </cell>
          <cell r="D97">
            <v>0</v>
          </cell>
          <cell r="E97">
            <v>0</v>
          </cell>
          <cell r="F97">
            <v>0.525864</v>
          </cell>
          <cell r="G97">
            <v>0</v>
          </cell>
          <cell r="H97">
            <v>1.9999999999999998</v>
          </cell>
          <cell r="J97">
            <v>0.26293200000000005</v>
          </cell>
        </row>
        <row r="99">
          <cell r="A99" t="str">
            <v>Catoosa</v>
          </cell>
        </row>
        <row r="100">
          <cell r="A100" t="str">
            <v>Qualify and Implement New Zinc Arsenide Supply in CT</v>
          </cell>
          <cell r="B100">
            <v>0</v>
          </cell>
          <cell r="C100">
            <v>0</v>
          </cell>
          <cell r="F100">
            <v>0</v>
          </cell>
          <cell r="H100">
            <v>0</v>
          </cell>
        </row>
        <row r="101">
          <cell r="A101" t="str">
            <v>Arsine capacity+waste reduction</v>
          </cell>
          <cell r="B101">
            <v>1.7985000000000001E-2</v>
          </cell>
          <cell r="C101">
            <v>2.6734999999999998E-2</v>
          </cell>
          <cell r="F101">
            <v>4.4719999999999996E-2</v>
          </cell>
          <cell r="H101">
            <v>0</v>
          </cell>
        </row>
        <row r="102">
          <cell r="A102" t="str">
            <v>Quality-cost reductions</v>
          </cell>
          <cell r="B102">
            <v>2.65E-3</v>
          </cell>
          <cell r="C102">
            <v>2.65E-3</v>
          </cell>
          <cell r="F102">
            <v>5.3E-3</v>
          </cell>
          <cell r="H102">
            <v>0</v>
          </cell>
        </row>
        <row r="103">
          <cell r="A103" t="str">
            <v>General plant productivity +Shumacher additions</v>
          </cell>
          <cell r="B103">
            <v>0</v>
          </cell>
          <cell r="C103">
            <v>0</v>
          </cell>
          <cell r="F103">
            <v>0</v>
          </cell>
          <cell r="H103">
            <v>0.1</v>
          </cell>
        </row>
        <row r="104">
          <cell r="A104" t="str">
            <v>Labor Reductions via SAP/Position Elimination/Attrition</v>
          </cell>
          <cell r="B104">
            <v>0</v>
          </cell>
          <cell r="C104">
            <v>3.5999999999999997E-2</v>
          </cell>
          <cell r="F104">
            <v>3.5999999999999997E-2</v>
          </cell>
          <cell r="H104">
            <v>0</v>
          </cell>
        </row>
        <row r="105">
          <cell r="A105" t="str">
            <v>Total Catoosa</v>
          </cell>
          <cell r="B105">
            <v>2.0635000000000001E-2</v>
          </cell>
          <cell r="C105">
            <v>6.5384999999999999E-2</v>
          </cell>
          <cell r="D105">
            <v>0</v>
          </cell>
          <cell r="E105">
            <v>0</v>
          </cell>
          <cell r="F105">
            <v>8.6019999999999985E-2</v>
          </cell>
          <cell r="H105">
            <v>0.1</v>
          </cell>
          <cell r="J105">
            <v>0.86019999999999985</v>
          </cell>
        </row>
        <row r="107">
          <cell r="A107" t="str">
            <v>Total Solkatronic</v>
          </cell>
          <cell r="B107">
            <v>0.18531500000000001</v>
          </cell>
          <cell r="C107">
            <v>0.42656899999999998</v>
          </cell>
          <cell r="D107">
            <v>0</v>
          </cell>
          <cell r="E107">
            <v>0</v>
          </cell>
          <cell r="F107">
            <v>0.61188399999999998</v>
          </cell>
          <cell r="H107">
            <v>2.0999999999999996</v>
          </cell>
          <cell r="J107">
            <v>0.29137333333333337</v>
          </cell>
        </row>
        <row r="109">
          <cell r="A109" t="str">
            <v>APEC Lean/Continuous Improvement</v>
          </cell>
          <cell r="B109">
            <v>0</v>
          </cell>
          <cell r="F109">
            <v>0</v>
          </cell>
          <cell r="H109">
            <v>0.42</v>
          </cell>
          <cell r="J109">
            <v>0</v>
          </cell>
        </row>
        <row r="111">
          <cell r="A111" t="str">
            <v xml:space="preserve">Operations </v>
          </cell>
        </row>
        <row r="112">
          <cell r="A112" t="str">
            <v>Global Elecops CIP Revenue Enhancement</v>
          </cell>
          <cell r="B112">
            <v>0</v>
          </cell>
          <cell r="C112">
            <v>0.2</v>
          </cell>
          <cell r="F112">
            <v>0.2</v>
          </cell>
          <cell r="H112">
            <v>2</v>
          </cell>
        </row>
        <row r="113">
          <cell r="A113" t="str">
            <v>Global Elecops CIP Cost Reduction</v>
          </cell>
          <cell r="B113">
            <v>0</v>
          </cell>
          <cell r="C113">
            <v>0.01</v>
          </cell>
          <cell r="F113">
            <v>0.01</v>
          </cell>
          <cell r="H113">
            <v>2</v>
          </cell>
        </row>
        <row r="114">
          <cell r="A114" t="str">
            <v>Total Operations</v>
          </cell>
          <cell r="B114">
            <v>0</v>
          </cell>
          <cell r="C114">
            <v>0.21000000000000002</v>
          </cell>
          <cell r="D114">
            <v>0</v>
          </cell>
          <cell r="E114">
            <v>0</v>
          </cell>
          <cell r="F114">
            <v>0.21000000000000002</v>
          </cell>
          <cell r="H114">
            <v>4</v>
          </cell>
          <cell r="J114">
            <v>5.2500000000000005E-2</v>
          </cell>
        </row>
        <row r="116">
          <cell r="A116" t="str">
            <v>SEMC</v>
          </cell>
        </row>
        <row r="117">
          <cell r="A117" t="str">
            <v>Reduced Spending</v>
          </cell>
          <cell r="B117">
            <v>0.3</v>
          </cell>
          <cell r="C117">
            <v>0.8</v>
          </cell>
          <cell r="F117">
            <v>1.1000000000000001</v>
          </cell>
          <cell r="H117">
            <v>1</v>
          </cell>
        </row>
        <row r="118">
          <cell r="A118" t="str">
            <v>Material Savings</v>
          </cell>
          <cell r="B118">
            <v>0.11</v>
          </cell>
          <cell r="C118">
            <v>0.14000000000000001</v>
          </cell>
          <cell r="F118">
            <v>0.25</v>
          </cell>
          <cell r="H118">
            <v>0.3</v>
          </cell>
        </row>
        <row r="119">
          <cell r="A119" t="str">
            <v>Total SEMC</v>
          </cell>
          <cell r="B119">
            <v>0.41</v>
          </cell>
          <cell r="C119">
            <v>0.94000000000000006</v>
          </cell>
          <cell r="D119">
            <v>0</v>
          </cell>
          <cell r="E119">
            <v>0</v>
          </cell>
          <cell r="F119">
            <v>1.35</v>
          </cell>
          <cell r="H119">
            <v>1.3</v>
          </cell>
          <cell r="J119">
            <v>1.0384615384615385</v>
          </cell>
        </row>
        <row r="121">
          <cell r="A121" t="str">
            <v>COS - Cost reduction actions</v>
          </cell>
          <cell r="B121">
            <v>0.6</v>
          </cell>
          <cell r="C121">
            <v>0.6</v>
          </cell>
          <cell r="F121">
            <v>1.2</v>
          </cell>
          <cell r="H121">
            <v>2.2999999999999998</v>
          </cell>
          <cell r="J121">
            <v>0.52173913043478259</v>
          </cell>
        </row>
        <row r="122">
          <cell r="A122" t="str">
            <v>Overheads-cost reduction actions</v>
          </cell>
          <cell r="B122">
            <v>0.75</v>
          </cell>
          <cell r="C122">
            <v>0.75</v>
          </cell>
          <cell r="F122">
            <v>1.5</v>
          </cell>
          <cell r="H122">
            <v>3</v>
          </cell>
          <cell r="J122">
            <v>0.5</v>
          </cell>
        </row>
        <row r="124">
          <cell r="A124" t="str">
            <v>Total Electronics Hard Productivity FY02</v>
          </cell>
          <cell r="B124">
            <v>2.5903209999999999</v>
          </cell>
          <cell r="C124">
            <v>3.889364</v>
          </cell>
          <cell r="D124">
            <v>0</v>
          </cell>
          <cell r="E124">
            <v>0</v>
          </cell>
          <cell r="F124">
            <v>6.4796849999999999</v>
          </cell>
          <cell r="H124">
            <v>18.419999999999998</v>
          </cell>
          <cell r="J124">
            <v>0.35177442996742675</v>
          </cell>
        </row>
        <row r="126">
          <cell r="A126" t="str">
            <v>Submitted in FY02 Plan</v>
          </cell>
          <cell r="H126">
            <v>5.5</v>
          </cell>
        </row>
        <row r="128">
          <cell r="A128" t="str">
            <v>Additional commitments</v>
          </cell>
          <cell r="H128">
            <v>12.919999999999998</v>
          </cell>
        </row>
        <row r="131">
          <cell r="A131" t="str">
            <v>Asia Gases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s Apr00"/>
      <sheetName val="ServRend Bus Areas"/>
      <sheetName val="BDV"/>
      <sheetName val="Carburos"/>
      <sheetName val="Central Europe"/>
      <sheetName val="Equipment"/>
      <sheetName val="Merchant"/>
      <sheetName val="Tonnage"/>
      <sheetName val="Submitted"/>
      <sheetName val="oc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Working Capital"/>
      <sheetName val="RMC Calc"/>
      <sheetName val="Unit Cost Savings Analysis"/>
      <sheetName val="No Debottleneck (86,600 SP)"/>
      <sheetName val="No Debottleneck (78,000 SP)"/>
      <sheetName val="10% Debottleneck (86,600 SP)"/>
      <sheetName val="10% Debottleneck (78,000 SP)"/>
      <sheetName val="WPS Returns"/>
      <sheetName val="Summary"/>
      <sheetName val="Inputs"/>
      <sheetName val="MICMULT"/>
      <sheetName val="oct"/>
      <sheetName val="Details"/>
      <sheetName val="CM Bex"/>
      <sheetName val="References"/>
      <sheetName val="Sheet1"/>
      <sheetName val="Legal Model"/>
      <sheetName val="BW"/>
      <sheetName val="R3"/>
      <sheetName val="Carburos"/>
      <sheetName val="Central Europe"/>
      <sheetName val="Equipment"/>
      <sheetName val="Merchant"/>
      <sheetName val="Tonnag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"/>
      <sheetName val="Backlog"/>
      <sheetName val="BalanceSheet"/>
      <sheetName val="Selling"/>
      <sheetName val="Required Submissions"/>
      <sheetName val="Overview"/>
      <sheetName val="Key Issues"/>
      <sheetName val="Snapshot III Major Factors"/>
      <sheetName val="Major Factors"/>
      <sheetName val="Risks and Opportunities"/>
      <sheetName val="Book-to-Bill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"/>
      <sheetName val="Period"/>
    </sheetNames>
    <sheetDataSet>
      <sheetData sheetId="0" refreshError="1">
        <row r="6">
          <cell r="B6" t="str">
            <v>Statement of Assets and Current Liabilities Trend</v>
          </cell>
        </row>
        <row r="7">
          <cell r="B7" t="str">
            <v>Total Air Products</v>
          </cell>
        </row>
        <row r="9">
          <cell r="B9" t="str">
            <v>($000)</v>
          </cell>
          <cell r="C9" t="str">
            <v>Actual</v>
          </cell>
          <cell r="G9" t="str">
            <v>Forecast</v>
          </cell>
          <cell r="H9" t="str">
            <v>Operating Plan</v>
          </cell>
        </row>
        <row r="10">
          <cell r="C10" t="str">
            <v>FY 1995</v>
          </cell>
          <cell r="D10" t="str">
            <v>FY 1996</v>
          </cell>
          <cell r="E10" t="str">
            <v>FY 1997</v>
          </cell>
          <cell r="F10" t="str">
            <v>FY 1998</v>
          </cell>
          <cell r="G10" t="str">
            <v>FY 1999</v>
          </cell>
          <cell r="H10" t="str">
            <v>FY 2000</v>
          </cell>
          <cell r="I10" t="str">
            <v>FY 2001</v>
          </cell>
          <cell r="J10" t="str">
            <v>FY 2002</v>
          </cell>
        </row>
        <row r="11">
          <cell r="B11" t="str">
            <v>Assets</v>
          </cell>
        </row>
        <row r="12">
          <cell r="B12" t="str">
            <v>Cash</v>
          </cell>
          <cell r="C12">
            <v>14323</v>
          </cell>
          <cell r="D12">
            <v>13151</v>
          </cell>
          <cell r="E12">
            <v>13469</v>
          </cell>
          <cell r="F12">
            <v>21030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 t="str">
            <v>Short-term Investments</v>
          </cell>
          <cell r="C13">
            <v>10830</v>
          </cell>
          <cell r="D13">
            <v>18980</v>
          </cell>
          <cell r="E13">
            <v>4489</v>
          </cell>
          <cell r="F13">
            <v>11781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 t="str">
            <v>Trade Receivables. Less Allowances</v>
          </cell>
          <cell r="C14">
            <v>629717</v>
          </cell>
          <cell r="D14">
            <v>675578</v>
          </cell>
          <cell r="E14">
            <v>879665</v>
          </cell>
          <cell r="F14">
            <v>877858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B15" t="str">
            <v>Other Receivables</v>
          </cell>
          <cell r="C15">
            <v>71074</v>
          </cell>
          <cell r="D15">
            <v>52135</v>
          </cell>
          <cell r="E15">
            <v>60931</v>
          </cell>
          <cell r="F15">
            <v>66305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Receivables From Associated Companies</v>
          </cell>
          <cell r="C16">
            <v>13817</v>
          </cell>
          <cell r="D16">
            <v>27113</v>
          </cell>
          <cell r="E16">
            <v>33543</v>
          </cell>
          <cell r="F16">
            <v>23120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>Contracts in Progress, Less Prog Billing</v>
          </cell>
          <cell r="C17">
            <v>123788</v>
          </cell>
          <cell r="D17">
            <v>115220</v>
          </cell>
          <cell r="E17">
            <v>121311</v>
          </cell>
          <cell r="F17">
            <v>94034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 t="str">
            <v>Gross Inventories</v>
          </cell>
          <cell r="C18">
            <v>335558</v>
          </cell>
          <cell r="D18">
            <v>369315</v>
          </cell>
          <cell r="E18">
            <v>377516</v>
          </cell>
          <cell r="F18">
            <v>426981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>Prepaid Expenses</v>
          </cell>
          <cell r="C19">
            <v>68247</v>
          </cell>
          <cell r="D19">
            <v>34783</v>
          </cell>
          <cell r="E19">
            <v>34050</v>
          </cell>
          <cell r="F19">
            <v>43051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 xml:space="preserve">     Total Current Assets</v>
          </cell>
          <cell r="C20">
            <v>1267354</v>
          </cell>
          <cell r="D20">
            <v>1306275</v>
          </cell>
          <cell r="E20">
            <v>1524974</v>
          </cell>
          <cell r="F20">
            <v>1564160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2">
          <cell r="B22" t="str">
            <v>Investment in Equity Affiliates</v>
          </cell>
          <cell r="C22">
            <v>654692</v>
          </cell>
          <cell r="D22">
            <v>826094</v>
          </cell>
          <cell r="E22">
            <v>554887</v>
          </cell>
          <cell r="F22">
            <v>356558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 t="str">
            <v xml:space="preserve">Other Investments </v>
          </cell>
          <cell r="C23">
            <v>32864</v>
          </cell>
          <cell r="D23">
            <v>39645</v>
          </cell>
          <cell r="E23">
            <v>51632</v>
          </cell>
          <cell r="F23">
            <v>36220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 t="str">
            <v xml:space="preserve">     Total Investments</v>
          </cell>
          <cell r="C24">
            <v>687556</v>
          </cell>
          <cell r="D24">
            <v>865739</v>
          </cell>
          <cell r="E24">
            <v>606519</v>
          </cell>
          <cell r="F24">
            <v>392778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6">
          <cell r="B26" t="str">
            <v>Gross Plant &amp; Equipment</v>
          </cell>
          <cell r="C26">
            <v>7196121</v>
          </cell>
          <cell r="D26">
            <v>7969193</v>
          </cell>
          <cell r="E26">
            <v>8599553</v>
          </cell>
          <cell r="F26">
            <v>9374447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 t="str">
            <v>Accumulated Depreciation/Amortization</v>
          </cell>
          <cell r="C27">
            <v>3756154</v>
          </cell>
          <cell r="D27">
            <v>4066017</v>
          </cell>
          <cell r="E27">
            <v>4208896</v>
          </cell>
          <cell r="F27">
            <v>4618185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 xml:space="preserve">     Net Plant &amp; Equipment</v>
          </cell>
          <cell r="C28">
            <v>3439967</v>
          </cell>
          <cell r="D28">
            <v>3903176</v>
          </cell>
          <cell r="E28">
            <v>4390657</v>
          </cell>
          <cell r="F28">
            <v>4756262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30">
          <cell r="B30" t="str">
            <v>Goodwill</v>
          </cell>
          <cell r="C30">
            <v>80949</v>
          </cell>
          <cell r="D30">
            <v>84093</v>
          </cell>
          <cell r="E30">
            <v>248850</v>
          </cell>
          <cell r="F30">
            <v>326394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 t="str">
            <v>Other Non-Current Assets</v>
          </cell>
          <cell r="C31">
            <v>177250</v>
          </cell>
          <cell r="D31">
            <v>178778</v>
          </cell>
          <cell r="E31">
            <v>215259</v>
          </cell>
          <cell r="F31">
            <v>231394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 t="str">
            <v xml:space="preserve">     Total Assets</v>
          </cell>
          <cell r="C32">
            <v>5653076</v>
          </cell>
          <cell r="D32">
            <v>6338061</v>
          </cell>
          <cell r="E32">
            <v>6986583</v>
          </cell>
          <cell r="F32">
            <v>7271294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5">
          <cell r="B35" t="str">
            <v>Liabilities</v>
          </cell>
        </row>
        <row r="36">
          <cell r="B36" t="str">
            <v>Negative Cash Balances</v>
          </cell>
          <cell r="C36">
            <v>1629</v>
          </cell>
          <cell r="D36">
            <v>5982</v>
          </cell>
          <cell r="E36">
            <v>2658</v>
          </cell>
          <cell r="F36">
            <v>1622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 t="str">
            <v>Accounts Payable</v>
          </cell>
          <cell r="C37">
            <v>376655</v>
          </cell>
          <cell r="D37">
            <v>338814</v>
          </cell>
          <cell r="E37">
            <v>404250</v>
          </cell>
          <cell r="F37">
            <v>350959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 t="str">
            <v>Customer Advances/Other Deposit</v>
          </cell>
          <cell r="C38">
            <v>24635</v>
          </cell>
          <cell r="D38">
            <v>80373</v>
          </cell>
          <cell r="E38">
            <v>101358</v>
          </cell>
          <cell r="F38">
            <v>55689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 t="str">
            <v>Payables to Associated Companies</v>
          </cell>
          <cell r="C39">
            <v>24415</v>
          </cell>
          <cell r="D39">
            <v>57590</v>
          </cell>
          <cell r="E39">
            <v>81598</v>
          </cell>
          <cell r="F39">
            <v>45232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 t="str">
            <v>Accrued Liabilities</v>
          </cell>
          <cell r="C40">
            <v>165191</v>
          </cell>
          <cell r="D40">
            <v>188115</v>
          </cell>
          <cell r="E40">
            <v>260040</v>
          </cell>
          <cell r="F40">
            <v>242791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 xml:space="preserve">   Current Liabilities (w/o T, D, I)</v>
          </cell>
          <cell r="C41">
            <v>592525</v>
          </cell>
          <cell r="D41">
            <v>670874</v>
          </cell>
          <cell r="E41">
            <v>849904</v>
          </cell>
          <cell r="F41">
            <v>696293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3">
          <cell r="B43" t="str">
            <v>Minority Interest</v>
          </cell>
          <cell r="C43">
            <v>0</v>
          </cell>
          <cell r="D43">
            <v>3344</v>
          </cell>
          <cell r="E43">
            <v>2622</v>
          </cell>
          <cell r="F43">
            <v>4634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</sheetData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PDOGL"/>
      <sheetName val="PDOGL2"/>
      <sheetName val="PDOSHIP"/>
      <sheetName val="GENA"/>
      <sheetName val="INV"/>
      <sheetName val="INPUT"/>
      <sheetName val="DATES"/>
      <sheetName val="REGION-Mos Analys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>
            <v>16</v>
          </cell>
        </row>
        <row r="2">
          <cell r="A2">
            <v>16</v>
          </cell>
        </row>
        <row r="8">
          <cell r="B8" t="str">
            <v>PURCHASES</v>
          </cell>
          <cell r="D8">
            <v>32</v>
          </cell>
          <cell r="E8">
            <v>32</v>
          </cell>
          <cell r="F8">
            <v>32</v>
          </cell>
          <cell r="G8">
            <v>64</v>
          </cell>
          <cell r="I8">
            <v>64</v>
          </cell>
          <cell r="J8">
            <v>110</v>
          </cell>
          <cell r="K8">
            <v>122</v>
          </cell>
          <cell r="L8">
            <v>232</v>
          </cell>
          <cell r="M8">
            <v>123</v>
          </cell>
          <cell r="N8">
            <v>355</v>
          </cell>
          <cell r="O8">
            <v>228</v>
          </cell>
          <cell r="P8">
            <v>583</v>
          </cell>
          <cell r="Q8">
            <v>0</v>
          </cell>
        </row>
        <row r="9">
          <cell r="B9" t="str">
            <v>NON DROP HAULING</v>
          </cell>
          <cell r="E9">
            <v>0</v>
          </cell>
          <cell r="G9">
            <v>0</v>
          </cell>
          <cell r="I9">
            <v>0</v>
          </cell>
          <cell r="L9">
            <v>0</v>
          </cell>
          <cell r="N9">
            <v>0</v>
          </cell>
          <cell r="P9">
            <v>0</v>
          </cell>
          <cell r="Q9">
            <v>0</v>
          </cell>
        </row>
        <row r="10">
          <cell r="B10" t="str">
            <v>NON DROP HAULING VARIANCES</v>
          </cell>
          <cell r="E10">
            <v>0</v>
          </cell>
          <cell r="G10">
            <v>0</v>
          </cell>
          <cell r="I10">
            <v>0</v>
          </cell>
          <cell r="L10">
            <v>0</v>
          </cell>
          <cell r="N10">
            <v>0</v>
          </cell>
          <cell r="P10">
            <v>0</v>
          </cell>
          <cell r="Q10">
            <v>0</v>
          </cell>
        </row>
        <row r="11">
          <cell r="B11" t="str">
            <v>PRODUCT LOSSES</v>
          </cell>
          <cell r="C11">
            <v>-10</v>
          </cell>
          <cell r="D11">
            <v>-10</v>
          </cell>
          <cell r="E11">
            <v>-20</v>
          </cell>
          <cell r="F11">
            <v>-10</v>
          </cell>
          <cell r="G11">
            <v>-30</v>
          </cell>
          <cell r="H11">
            <v>-10</v>
          </cell>
          <cell r="I11">
            <v>-40</v>
          </cell>
          <cell r="J11">
            <v>26</v>
          </cell>
          <cell r="K11">
            <v>22</v>
          </cell>
          <cell r="L11">
            <v>48</v>
          </cell>
          <cell r="M11">
            <v>23</v>
          </cell>
          <cell r="N11">
            <v>71</v>
          </cell>
          <cell r="O11">
            <v>32</v>
          </cell>
          <cell r="P11">
            <v>103</v>
          </cell>
          <cell r="Q11">
            <v>0</v>
          </cell>
        </row>
        <row r="12">
          <cell r="B12" t="str">
            <v>INVENTORY (BUILD)/DRAW</v>
          </cell>
          <cell r="E12">
            <v>0</v>
          </cell>
          <cell r="G12">
            <v>0</v>
          </cell>
          <cell r="I12">
            <v>0</v>
          </cell>
          <cell r="J12">
            <v>13</v>
          </cell>
          <cell r="K12">
            <v>-21</v>
          </cell>
          <cell r="L12">
            <v>-8</v>
          </cell>
          <cell r="M12">
            <v>27</v>
          </cell>
          <cell r="N12">
            <v>19</v>
          </cell>
          <cell r="O12">
            <v>-64</v>
          </cell>
          <cell r="P12">
            <v>-45</v>
          </cell>
          <cell r="Q12">
            <v>0</v>
          </cell>
        </row>
        <row r="13">
          <cell r="B13" t="str">
            <v>CANADIAN SALES</v>
          </cell>
          <cell r="C13">
            <v>-83</v>
          </cell>
          <cell r="D13">
            <v>-83</v>
          </cell>
          <cell r="E13">
            <v>-166</v>
          </cell>
          <cell r="F13">
            <v>-83</v>
          </cell>
          <cell r="G13">
            <v>-249</v>
          </cell>
          <cell r="H13">
            <v>-83</v>
          </cell>
          <cell r="I13">
            <v>-332</v>
          </cell>
          <cell r="J13">
            <v>-89</v>
          </cell>
          <cell r="K13">
            <v>-90</v>
          </cell>
          <cell r="L13">
            <v>-179</v>
          </cell>
          <cell r="M13">
            <v>-97</v>
          </cell>
          <cell r="N13">
            <v>-276</v>
          </cell>
          <cell r="O13">
            <v>-78</v>
          </cell>
          <cell r="P13">
            <v>-354</v>
          </cell>
          <cell r="Q13">
            <v>0</v>
          </cell>
        </row>
        <row r="14">
          <cell r="B14" t="str">
            <v>GOVERNMENT HAULING</v>
          </cell>
          <cell r="E14">
            <v>0</v>
          </cell>
          <cell r="G14">
            <v>0</v>
          </cell>
          <cell r="I14">
            <v>0</v>
          </cell>
          <cell r="L14">
            <v>0</v>
          </cell>
          <cell r="N14">
            <v>0</v>
          </cell>
          <cell r="P14">
            <v>0</v>
          </cell>
          <cell r="Q14">
            <v>0</v>
          </cell>
        </row>
        <row r="15">
          <cell r="B15" t="str">
            <v>WINDFALL SALES</v>
          </cell>
          <cell r="C15">
            <v>-24</v>
          </cell>
          <cell r="D15">
            <v>-24</v>
          </cell>
          <cell r="E15">
            <v>-48</v>
          </cell>
          <cell r="F15">
            <v>-24</v>
          </cell>
          <cell r="G15">
            <v>-72</v>
          </cell>
          <cell r="H15">
            <v>-24</v>
          </cell>
          <cell r="I15">
            <v>-96</v>
          </cell>
          <cell r="J15">
            <v>-313</v>
          </cell>
          <cell r="K15">
            <v>-260</v>
          </cell>
          <cell r="L15">
            <v>-573</v>
          </cell>
          <cell r="M15">
            <v>-205</v>
          </cell>
          <cell r="N15">
            <v>-778</v>
          </cell>
          <cell r="O15">
            <v>-81</v>
          </cell>
          <cell r="P15">
            <v>-859</v>
          </cell>
          <cell r="Q15">
            <v>0</v>
          </cell>
        </row>
        <row r="16">
          <cell r="B16" t="str">
            <v>WINDFALL VARIANCES</v>
          </cell>
          <cell r="E16">
            <v>0</v>
          </cell>
          <cell r="G16">
            <v>0</v>
          </cell>
          <cell r="I16">
            <v>0</v>
          </cell>
          <cell r="L16">
            <v>0</v>
          </cell>
          <cell r="N16">
            <v>0</v>
          </cell>
          <cell r="P16">
            <v>0</v>
          </cell>
          <cell r="Q16">
            <v>0</v>
          </cell>
        </row>
        <row r="17">
          <cell r="B17" t="str">
            <v>INTERNAL USES</v>
          </cell>
          <cell r="C17">
            <v>-283</v>
          </cell>
          <cell r="D17">
            <v>-283</v>
          </cell>
          <cell r="E17">
            <v>-566</v>
          </cell>
          <cell r="F17">
            <v>-283</v>
          </cell>
          <cell r="G17">
            <v>-849</v>
          </cell>
          <cell r="H17">
            <v>-283</v>
          </cell>
          <cell r="I17">
            <v>-1132</v>
          </cell>
          <cell r="J17">
            <v>-270</v>
          </cell>
          <cell r="K17">
            <v>-243</v>
          </cell>
          <cell r="L17">
            <v>-513</v>
          </cell>
          <cell r="M17">
            <v>-250</v>
          </cell>
          <cell r="N17">
            <v>-763</v>
          </cell>
          <cell r="O17">
            <v>-235</v>
          </cell>
          <cell r="P17">
            <v>-998</v>
          </cell>
          <cell r="Q17">
            <v>0</v>
          </cell>
        </row>
        <row r="21">
          <cell r="B21" t="str">
            <v>PURCHASES</v>
          </cell>
          <cell r="D21">
            <v>142</v>
          </cell>
          <cell r="E21">
            <v>142</v>
          </cell>
          <cell r="F21">
            <v>142</v>
          </cell>
          <cell r="G21">
            <v>284</v>
          </cell>
          <cell r="I21">
            <v>284</v>
          </cell>
          <cell r="J21">
            <v>526</v>
          </cell>
          <cell r="K21">
            <v>721</v>
          </cell>
          <cell r="L21">
            <v>1247</v>
          </cell>
          <cell r="M21">
            <v>616</v>
          </cell>
          <cell r="N21">
            <v>1863</v>
          </cell>
          <cell r="O21">
            <v>1057</v>
          </cell>
          <cell r="P21">
            <v>2920</v>
          </cell>
          <cell r="Q21">
            <v>0</v>
          </cell>
        </row>
        <row r="22">
          <cell r="B22" t="str">
            <v>NON DROP HAULING</v>
          </cell>
          <cell r="C22">
            <v>592</v>
          </cell>
          <cell r="D22">
            <v>592</v>
          </cell>
          <cell r="E22">
            <v>1184</v>
          </cell>
          <cell r="F22">
            <v>592</v>
          </cell>
          <cell r="G22">
            <v>1776</v>
          </cell>
          <cell r="H22">
            <v>592</v>
          </cell>
          <cell r="I22">
            <v>2368</v>
          </cell>
          <cell r="J22">
            <v>637</v>
          </cell>
          <cell r="K22">
            <v>640</v>
          </cell>
          <cell r="L22">
            <v>1277</v>
          </cell>
          <cell r="M22">
            <v>578</v>
          </cell>
          <cell r="N22">
            <v>1855</v>
          </cell>
          <cell r="O22">
            <v>981</v>
          </cell>
          <cell r="P22">
            <v>2836</v>
          </cell>
          <cell r="Q22">
            <v>0</v>
          </cell>
        </row>
        <row r="23">
          <cell r="B23" t="str">
            <v>NON DROP HAULING VARIANCES</v>
          </cell>
          <cell r="E23">
            <v>0</v>
          </cell>
          <cell r="G23">
            <v>0</v>
          </cell>
          <cell r="I23">
            <v>0</v>
          </cell>
          <cell r="J23">
            <v>-53</v>
          </cell>
          <cell r="K23">
            <v>-43</v>
          </cell>
          <cell r="L23">
            <v>-96</v>
          </cell>
          <cell r="M23">
            <v>-37</v>
          </cell>
          <cell r="N23">
            <v>-133</v>
          </cell>
          <cell r="O23">
            <v>-89</v>
          </cell>
          <cell r="P23">
            <v>-222</v>
          </cell>
          <cell r="Q23">
            <v>0</v>
          </cell>
        </row>
        <row r="24">
          <cell r="B24" t="str">
            <v>PRODUCT LOSSES</v>
          </cell>
          <cell r="E24">
            <v>0</v>
          </cell>
          <cell r="G24">
            <v>0</v>
          </cell>
          <cell r="I24">
            <v>0</v>
          </cell>
          <cell r="L24">
            <v>0</v>
          </cell>
          <cell r="N24">
            <v>0</v>
          </cell>
          <cell r="P24">
            <v>0</v>
          </cell>
          <cell r="Q24">
            <v>0</v>
          </cell>
        </row>
        <row r="25">
          <cell r="B25" t="str">
            <v>INVENTORY (BUILD)/DRAW</v>
          </cell>
          <cell r="E25">
            <v>0</v>
          </cell>
          <cell r="G25">
            <v>0</v>
          </cell>
          <cell r="I25">
            <v>0</v>
          </cell>
          <cell r="J25">
            <v>41</v>
          </cell>
          <cell r="K25">
            <v>-80</v>
          </cell>
          <cell r="L25">
            <v>-39</v>
          </cell>
          <cell r="M25">
            <v>117</v>
          </cell>
          <cell r="N25">
            <v>78</v>
          </cell>
          <cell r="O25">
            <v>-258</v>
          </cell>
          <cell r="P25">
            <v>-180</v>
          </cell>
          <cell r="Q25">
            <v>0</v>
          </cell>
        </row>
        <row r="26">
          <cell r="B26" t="str">
            <v>CANADIAN SALES</v>
          </cell>
          <cell r="C26">
            <v>-357</v>
          </cell>
          <cell r="D26">
            <v>-362</v>
          </cell>
          <cell r="E26">
            <v>-719</v>
          </cell>
          <cell r="F26">
            <v>-339</v>
          </cell>
          <cell r="G26">
            <v>-1058</v>
          </cell>
          <cell r="H26">
            <v>-359</v>
          </cell>
          <cell r="I26">
            <v>-1417</v>
          </cell>
          <cell r="J26">
            <v>-399</v>
          </cell>
          <cell r="K26">
            <v>-384</v>
          </cell>
          <cell r="L26">
            <v>-783</v>
          </cell>
          <cell r="M26">
            <v>-404</v>
          </cell>
          <cell r="N26">
            <v>-1187</v>
          </cell>
          <cell r="O26">
            <v>-334</v>
          </cell>
          <cell r="P26">
            <v>-1521</v>
          </cell>
          <cell r="Q26">
            <v>0</v>
          </cell>
        </row>
        <row r="27">
          <cell r="B27" t="str">
            <v>GOVERNMENT HAULING</v>
          </cell>
          <cell r="C27">
            <v>489</v>
          </cell>
          <cell r="D27">
            <v>489</v>
          </cell>
          <cell r="E27">
            <v>978</v>
          </cell>
          <cell r="F27">
            <v>489</v>
          </cell>
          <cell r="G27">
            <v>1467</v>
          </cell>
          <cell r="H27">
            <v>489</v>
          </cell>
          <cell r="I27">
            <v>1956</v>
          </cell>
          <cell r="J27">
            <v>29</v>
          </cell>
          <cell r="K27">
            <v>793</v>
          </cell>
          <cell r="L27">
            <v>822</v>
          </cell>
          <cell r="M27">
            <v>415</v>
          </cell>
          <cell r="N27">
            <v>1237</v>
          </cell>
          <cell r="O27">
            <v>430</v>
          </cell>
          <cell r="P27">
            <v>1667</v>
          </cell>
          <cell r="Q27">
            <v>0</v>
          </cell>
        </row>
        <row r="28">
          <cell r="B28" t="str">
            <v>WINDFALL SALES</v>
          </cell>
          <cell r="C28">
            <v>-103</v>
          </cell>
          <cell r="D28">
            <v>-105</v>
          </cell>
          <cell r="E28">
            <v>-208</v>
          </cell>
          <cell r="F28">
            <v>-98</v>
          </cell>
          <cell r="G28">
            <v>-306</v>
          </cell>
          <cell r="H28">
            <v>-104</v>
          </cell>
          <cell r="I28">
            <v>-410</v>
          </cell>
          <cell r="J28">
            <v>-1321</v>
          </cell>
          <cell r="K28">
            <v>-1104</v>
          </cell>
          <cell r="L28">
            <v>-2425</v>
          </cell>
          <cell r="M28">
            <v>-925</v>
          </cell>
          <cell r="N28">
            <v>-3350</v>
          </cell>
          <cell r="O28">
            <v>-397</v>
          </cell>
          <cell r="P28">
            <v>-3747</v>
          </cell>
          <cell r="Q28">
            <v>0</v>
          </cell>
        </row>
        <row r="29">
          <cell r="B29" t="str">
            <v>WINDFALL VARIANCES</v>
          </cell>
          <cell r="E29">
            <v>0</v>
          </cell>
          <cell r="G29">
            <v>0</v>
          </cell>
          <cell r="I29">
            <v>0</v>
          </cell>
          <cell r="J29">
            <v>-119</v>
          </cell>
          <cell r="K29">
            <v>-190</v>
          </cell>
          <cell r="L29">
            <v>-309</v>
          </cell>
          <cell r="M29">
            <v>114</v>
          </cell>
          <cell r="N29">
            <v>-195</v>
          </cell>
          <cell r="O29">
            <v>-65</v>
          </cell>
          <cell r="P29">
            <v>-260</v>
          </cell>
          <cell r="Q29">
            <v>0</v>
          </cell>
        </row>
        <row r="30">
          <cell r="B30" t="str">
            <v>INTERNAL USES</v>
          </cell>
          <cell r="C30">
            <v>-1200</v>
          </cell>
          <cell r="D30">
            <v>-1200</v>
          </cell>
          <cell r="E30">
            <v>-2400</v>
          </cell>
          <cell r="F30">
            <v>-1200</v>
          </cell>
          <cell r="G30">
            <v>-3600</v>
          </cell>
          <cell r="H30">
            <v>-1200</v>
          </cell>
          <cell r="I30">
            <v>-4800</v>
          </cell>
          <cell r="J30">
            <v>-1205</v>
          </cell>
          <cell r="K30">
            <v>-1072</v>
          </cell>
          <cell r="L30">
            <v>-2277</v>
          </cell>
          <cell r="M30">
            <v>-1097</v>
          </cell>
          <cell r="N30">
            <v>-3374</v>
          </cell>
          <cell r="O30">
            <v>-1038</v>
          </cell>
          <cell r="P30">
            <v>-4412</v>
          </cell>
          <cell r="Q30">
            <v>0</v>
          </cell>
        </row>
      </sheetData>
      <sheetData sheetId="7" refreshError="1">
        <row r="1">
          <cell r="A1" t="str">
            <v>P1</v>
          </cell>
          <cell r="B1" t="str">
            <v>OCTOBER</v>
          </cell>
          <cell r="C1" t="str">
            <v>OCTOBER YTD</v>
          </cell>
          <cell r="D1" t="str">
            <v>P1YTD</v>
          </cell>
        </row>
        <row r="2">
          <cell r="A2" t="str">
            <v>P10</v>
          </cell>
          <cell r="B2" t="str">
            <v>JULY</v>
          </cell>
          <cell r="C2" t="str">
            <v>JULY YTD</v>
          </cell>
          <cell r="D2" t="str">
            <v>P10YTD</v>
          </cell>
        </row>
        <row r="3">
          <cell r="A3" t="str">
            <v>P11</v>
          </cell>
          <cell r="B3" t="str">
            <v>AUGUST</v>
          </cell>
          <cell r="C3" t="str">
            <v>AUGUST YTD</v>
          </cell>
          <cell r="D3" t="str">
            <v>P11YTD</v>
          </cell>
        </row>
        <row r="4">
          <cell r="A4" t="str">
            <v>P12</v>
          </cell>
          <cell r="B4" t="str">
            <v>SEPTEMBER</v>
          </cell>
          <cell r="C4" t="str">
            <v>SEPTEMBER YTD</v>
          </cell>
          <cell r="D4" t="str">
            <v>P12YTD</v>
          </cell>
        </row>
        <row r="5">
          <cell r="A5" t="str">
            <v>P2</v>
          </cell>
          <cell r="B5" t="str">
            <v>NOVEMBER</v>
          </cell>
          <cell r="C5" t="str">
            <v>NOVEMBER YTD</v>
          </cell>
          <cell r="D5" t="str">
            <v>P2YTD</v>
          </cell>
        </row>
        <row r="6">
          <cell r="A6" t="str">
            <v>P3</v>
          </cell>
          <cell r="B6" t="str">
            <v>DECEMBER</v>
          </cell>
          <cell r="C6" t="str">
            <v>DECEMBER YTD</v>
          </cell>
          <cell r="D6" t="str">
            <v>P3YTD</v>
          </cell>
        </row>
        <row r="7">
          <cell r="A7" t="str">
            <v>P4</v>
          </cell>
          <cell r="B7" t="str">
            <v>JANUARY</v>
          </cell>
          <cell r="C7" t="str">
            <v>JANUARY YTD</v>
          </cell>
          <cell r="D7" t="str">
            <v>P4YTD</v>
          </cell>
        </row>
        <row r="8">
          <cell r="A8" t="str">
            <v>P5</v>
          </cell>
          <cell r="B8" t="str">
            <v>FEBRUARY</v>
          </cell>
          <cell r="C8" t="str">
            <v>FEBRUARY YTD</v>
          </cell>
          <cell r="D8" t="str">
            <v>P5YTD</v>
          </cell>
        </row>
        <row r="9">
          <cell r="A9" t="str">
            <v>P6</v>
          </cell>
          <cell r="B9" t="str">
            <v>MARCH</v>
          </cell>
          <cell r="C9" t="str">
            <v>MARCH YTD</v>
          </cell>
          <cell r="D9" t="str">
            <v>P6YTD</v>
          </cell>
        </row>
        <row r="10">
          <cell r="A10" t="str">
            <v>P7</v>
          </cell>
          <cell r="B10" t="str">
            <v>APRIL</v>
          </cell>
          <cell r="C10" t="str">
            <v>APRIL YTD</v>
          </cell>
          <cell r="D10" t="str">
            <v>P7YTD</v>
          </cell>
        </row>
        <row r="11">
          <cell r="A11" t="str">
            <v>P8</v>
          </cell>
          <cell r="B11" t="str">
            <v>MAY</v>
          </cell>
          <cell r="C11" t="str">
            <v>MAY YTD</v>
          </cell>
          <cell r="D11" t="str">
            <v>P8YTD</v>
          </cell>
        </row>
        <row r="12">
          <cell r="A12" t="str">
            <v>P9</v>
          </cell>
          <cell r="B12" t="str">
            <v>JUNE</v>
          </cell>
          <cell r="C12" t="str">
            <v>JUNE YTD</v>
          </cell>
          <cell r="D12" t="str">
            <v>P9YTD</v>
          </cell>
        </row>
        <row r="13">
          <cell r="A13" t="str">
            <v>Q1</v>
          </cell>
          <cell r="B13" t="str">
            <v>QUARTER 1</v>
          </cell>
          <cell r="C13" t="str">
            <v>DECEMBER YTD</v>
          </cell>
          <cell r="D13" t="str">
            <v>P3YTD</v>
          </cell>
        </row>
        <row r="14">
          <cell r="A14" t="str">
            <v>Q2</v>
          </cell>
          <cell r="B14" t="str">
            <v>QUARTER 2</v>
          </cell>
          <cell r="C14" t="str">
            <v>MARCH YTD</v>
          </cell>
          <cell r="D14" t="str">
            <v>P6YTD</v>
          </cell>
        </row>
        <row r="15">
          <cell r="A15" t="str">
            <v>Q3</v>
          </cell>
          <cell r="B15" t="str">
            <v>QUARTER 3</v>
          </cell>
          <cell r="C15" t="str">
            <v>JUNE YTD</v>
          </cell>
          <cell r="D15" t="str">
            <v>P9YTD</v>
          </cell>
        </row>
        <row r="16">
          <cell r="A16" t="str">
            <v>Q4</v>
          </cell>
          <cell r="B16" t="str">
            <v>QUARTER 4</v>
          </cell>
          <cell r="C16" t="str">
            <v>SEPTEMBER YTD</v>
          </cell>
          <cell r="D16" t="str">
            <v>P12YTD</v>
          </cell>
        </row>
      </sheetData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Procedure"/>
      <sheetName val="Data Sources &amp; Schedule"/>
      <sheetName val="FY02"/>
      <sheetName val="FY01"/>
      <sheetName val="Major Factors"/>
      <sheetName val="Major Factors &amp; Vol Graph"/>
      <sheetName val="Maj Factor Graph Data"/>
      <sheetName val="Stacked Graph"/>
      <sheetName val="Stacked Graph Data"/>
      <sheetName val="Nat Spend Retr FY02"/>
      <sheetName val="Nat Spend Retr FY02 (2)"/>
      <sheetName val="Nat Spend Retr FY01"/>
      <sheetName val="Asia ESG Activity - FY02"/>
      <sheetName val="Asia ESG Activity - FY01"/>
      <sheetName val="Asia ESG Activity Input- FY02"/>
      <sheetName val="Asia ESG Activity Input - FY01"/>
      <sheetName val="Asia San Fu Activity - FY02"/>
      <sheetName val="Asia San Fu Activity - FY01"/>
      <sheetName val="Asia San Fu DSS Activity - FY02"/>
      <sheetName val="Asia San Fu DSS Activity - FY01"/>
      <sheetName val="Europe ESG Activity - FY02"/>
      <sheetName val="Europe ESG Activity - FY01"/>
      <sheetName val="WWCONS-NA FY02"/>
      <sheetName val="WWCONS-NA FY01"/>
      <sheetName val="Distrib-MERP FY02"/>
      <sheetName val="Distrib-MERP FY01"/>
      <sheetName val="Adj FY02"/>
      <sheetName val="Adj FY01"/>
      <sheetName val="NF3 Sales FY02"/>
      <sheetName val="NF3 Sales FY01"/>
      <sheetName val="WF6 Sales FY02"/>
      <sheetName val="WF6 Sales FY01"/>
      <sheetName val="CF4 Sales FY02"/>
      <sheetName val="CF4 Sales FY01"/>
      <sheetName val="HT LiqFill Sales FY02"/>
      <sheetName val="HT LiqFill Sales FY01"/>
      <sheetName val="HT LiqFill Sales (Purch) FY02"/>
      <sheetName val="HT LiqFill Sales (Purch) FY01"/>
      <sheetName val="Mville&amp;Cat Dop Sales FY02"/>
      <sheetName val="Mville&amp;Cat Dop Sales FY01"/>
      <sheetName val="Mville Solk LiqFill Sales FY02"/>
      <sheetName val="Mville Solk LiqFill Sales FY01"/>
      <sheetName val="Crude F2 Fixed % FY02"/>
      <sheetName val="Crude F2 Fixed % FY01"/>
      <sheetName val="Sheet1"/>
      <sheetName val="Nat Spending Drilldown"/>
      <sheetName val="Unit Cost 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B8" t="str">
            <v>WORLDWIDE ELECTRONICS SPECIALTY GAS NATURAL SPENDING P&amp;L - SEPTEMBER FY02</v>
          </cell>
        </row>
        <row r="9">
          <cell r="B9" t="str">
            <v>(Excludes San Fu Consolidation Effects)</v>
          </cell>
        </row>
        <row r="10">
          <cell r="C10" t="str">
            <v>MONTH</v>
          </cell>
          <cell r="H10" t="str">
            <v>QUARTER</v>
          </cell>
          <cell r="M10" t="str">
            <v>YTD Thru</v>
          </cell>
        </row>
        <row r="11">
          <cell r="C11">
            <v>37135</v>
          </cell>
          <cell r="D11">
            <v>37469</v>
          </cell>
          <cell r="E11">
            <v>37500</v>
          </cell>
          <cell r="H11" t="str">
            <v>Q4 FY01</v>
          </cell>
          <cell r="I11" t="str">
            <v>Q3 FY02</v>
          </cell>
          <cell r="J11" t="str">
            <v>Q4 FY02</v>
          </cell>
          <cell r="M11">
            <v>37135</v>
          </cell>
          <cell r="N11">
            <v>37500</v>
          </cell>
        </row>
        <row r="13">
          <cell r="B13" t="str">
            <v>Revenue</v>
          </cell>
          <cell r="C13">
            <v>23028000</v>
          </cell>
          <cell r="D13">
            <v>24992627.197659999</v>
          </cell>
          <cell r="E13">
            <v>24284055.69427</v>
          </cell>
          <cell r="H13">
            <v>65209000</v>
          </cell>
          <cell r="I13">
            <v>89240100</v>
          </cell>
          <cell r="J13">
            <v>76153482.891929999</v>
          </cell>
          <cell r="M13">
            <v>317021000</v>
          </cell>
          <cell r="N13">
            <v>308195482.89192998</v>
          </cell>
        </row>
        <row r="15">
          <cell r="B15" t="str">
            <v>Variable Cost</v>
          </cell>
          <cell r="C15">
            <v>4441651.8566323891</v>
          </cell>
          <cell r="D15">
            <v>4485039.7754456569</v>
          </cell>
          <cell r="E15">
            <v>4668130.8616724527</v>
          </cell>
          <cell r="H15">
            <v>11156423.891820239</v>
          </cell>
          <cell r="I15">
            <v>18294622.294356719</v>
          </cell>
          <cell r="J15">
            <v>13493838.726574589</v>
          </cell>
          <cell r="M15">
            <v>58796412.71494627</v>
          </cell>
          <cell r="N15">
            <v>58314728.854051545</v>
          </cell>
        </row>
        <row r="17">
          <cell r="B17" t="str">
            <v>Contribution Margin</v>
          </cell>
          <cell r="C17">
            <v>18586348.143367611</v>
          </cell>
          <cell r="D17">
            <v>20507587.422214344</v>
          </cell>
          <cell r="E17">
            <v>19615924.832597546</v>
          </cell>
          <cell r="H17">
            <v>54052576.108179763</v>
          </cell>
          <cell r="I17">
            <v>70945477.705643281</v>
          </cell>
          <cell r="J17">
            <v>62659644.165355414</v>
          </cell>
          <cell r="M17">
            <v>258224587.28505376</v>
          </cell>
          <cell r="N17">
            <v>249880754.03787845</v>
          </cell>
        </row>
        <row r="19">
          <cell r="B19" t="str">
            <v>Plant Spending</v>
          </cell>
          <cell r="C19">
            <v>6963387.9126733579</v>
          </cell>
          <cell r="D19">
            <v>10925918.65508474</v>
          </cell>
          <cell r="E19">
            <v>9368296.7892163862</v>
          </cell>
          <cell r="H19">
            <v>20009458.824634921</v>
          </cell>
          <cell r="I19">
            <v>21934376.659980107</v>
          </cell>
          <cell r="J19">
            <v>28238191.363314129</v>
          </cell>
          <cell r="M19">
            <v>82074501.632084727</v>
          </cell>
          <cell r="N19">
            <v>90096296.054953858</v>
          </cell>
        </row>
        <row r="21">
          <cell r="B21" t="str">
            <v>Inventory (Build) / Draw</v>
          </cell>
          <cell r="C21">
            <v>-210335.26322000005</v>
          </cell>
          <cell r="D21">
            <v>-777235.60750000016</v>
          </cell>
          <cell r="E21">
            <v>-677836.94844999991</v>
          </cell>
          <cell r="H21">
            <v>-389848.38483999996</v>
          </cell>
          <cell r="I21">
            <v>-145846.88615000018</v>
          </cell>
          <cell r="J21">
            <v>-1978101.6556000002</v>
          </cell>
          <cell r="M21">
            <v>-2074914.1848600002</v>
          </cell>
          <cell r="N21">
            <v>-2261665.2364000003</v>
          </cell>
        </row>
        <row r="23">
          <cell r="B23" t="str">
            <v>Distribution Expense</v>
          </cell>
          <cell r="C23">
            <v>1633606</v>
          </cell>
          <cell r="D23">
            <v>2353672</v>
          </cell>
          <cell r="E23">
            <v>2674000</v>
          </cell>
          <cell r="H23">
            <v>5043363</v>
          </cell>
          <cell r="I23">
            <v>6688045</v>
          </cell>
          <cell r="J23">
            <v>7655766</v>
          </cell>
          <cell r="M23">
            <v>22373909</v>
          </cell>
          <cell r="N23">
            <v>27257479</v>
          </cell>
        </row>
        <row r="25">
          <cell r="B25" t="str">
            <v>Difference</v>
          </cell>
          <cell r="C25">
            <v>3268689.4939142521</v>
          </cell>
          <cell r="D25">
            <v>-158950.16547971964</v>
          </cell>
          <cell r="E25">
            <v>-474742.70523883961</v>
          </cell>
          <cell r="H25">
            <v>7702602.6683848351</v>
          </cell>
          <cell r="I25">
            <v>11175302.93181318</v>
          </cell>
          <cell r="J25">
            <v>2791098.2204619683</v>
          </cell>
          <cell r="M25">
            <v>25713090.837828994</v>
          </cell>
          <cell r="N25">
            <v>29461053.982145265</v>
          </cell>
        </row>
        <row r="27">
          <cell r="B27" t="str">
            <v>Direct Profit</v>
          </cell>
          <cell r="C27">
            <v>6931000</v>
          </cell>
          <cell r="D27">
            <v>8164182.5401093233</v>
          </cell>
          <cell r="E27">
            <v>8726207.6970699988</v>
          </cell>
          <cell r="H27">
            <v>21687000</v>
          </cell>
          <cell r="I27">
            <v>31293600</v>
          </cell>
          <cell r="J27">
            <v>25952690.23717932</v>
          </cell>
          <cell r="M27">
            <v>130138000</v>
          </cell>
          <cell r="N27">
            <v>105327590.23717932</v>
          </cell>
        </row>
        <row r="29">
          <cell r="B29" t="str">
            <v>Contribution Margin % of Rev</v>
          </cell>
          <cell r="C29">
            <v>0.80711951291330597</v>
          </cell>
          <cell r="D29">
            <v>0.82054548567564844</v>
          </cell>
          <cell r="E29">
            <v>0.8077697185164201</v>
          </cell>
          <cell r="H29">
            <v>0.82891282044165315</v>
          </cell>
          <cell r="I29">
            <v>0.79499549760302013</v>
          </cell>
          <cell r="J29">
            <v>0.82280733311011134</v>
          </cell>
          <cell r="M29">
            <v>0.81453464371462381</v>
          </cell>
          <cell r="N29">
            <v>0.81078655564040236</v>
          </cell>
        </row>
        <row r="30">
          <cell r="B30" t="str">
            <v>Change In Contrib Margin % of Rev</v>
          </cell>
          <cell r="C30">
            <v>6.50205603114129E-4</v>
          </cell>
          <cell r="D30">
            <v>-1.2775767159228346E-2</v>
          </cell>
          <cell r="H30">
            <v>-6.1054873315418146E-3</v>
          </cell>
          <cell r="I30">
            <v>2.7811835507091209E-2</v>
          </cell>
          <cell r="M30">
            <v>-3.7480880742214451E-3</v>
          </cell>
        </row>
        <row r="32">
          <cell r="B32" t="str">
            <v>Direct Profit % of Rev</v>
          </cell>
          <cell r="C32">
            <v>0.30098141393086675</v>
          </cell>
          <cell r="D32">
            <v>0.32666363866195375</v>
          </cell>
          <cell r="E32">
            <v>0.3593389756196701</v>
          </cell>
          <cell r="H32">
            <v>0.33257679154717906</v>
          </cell>
          <cell r="I32">
            <v>0.35066746899656098</v>
          </cell>
          <cell r="J32">
            <v>0.3407945277303861</v>
          </cell>
          <cell r="M32">
            <v>0.41050277426416548</v>
          </cell>
          <cell r="N32">
            <v>0.34175578840041881</v>
          </cell>
        </row>
        <row r="33">
          <cell r="B33" t="str">
            <v>Change In Direct Profit % of Rev</v>
          </cell>
          <cell r="C33">
            <v>5.835756168880335E-2</v>
          </cell>
          <cell r="D33">
            <v>3.267533695771635E-2</v>
          </cell>
          <cell r="H33">
            <v>8.2177361832070361E-3</v>
          </cell>
          <cell r="I33">
            <v>-9.8729412661748839E-3</v>
          </cell>
          <cell r="M33">
            <v>-6.8746985863746668E-2</v>
          </cell>
        </row>
        <row r="35">
          <cell r="B35" t="str">
            <v>MAJOR FACTORS vs</v>
          </cell>
          <cell r="C35">
            <v>37135</v>
          </cell>
          <cell r="D35">
            <v>37469</v>
          </cell>
          <cell r="H35" t="str">
            <v>Q4 FY01</v>
          </cell>
          <cell r="I35" t="str">
            <v>Q3 FY02</v>
          </cell>
          <cell r="M35">
            <v>37135</v>
          </cell>
        </row>
        <row r="37">
          <cell r="B37" t="str">
            <v>Base Period Direct Profit</v>
          </cell>
          <cell r="C37">
            <v>6931000</v>
          </cell>
          <cell r="D37">
            <v>8164182.5401093233</v>
          </cell>
          <cell r="H37">
            <v>21687000</v>
          </cell>
          <cell r="I37">
            <v>31293600</v>
          </cell>
          <cell r="M37">
            <v>130138000</v>
          </cell>
        </row>
        <row r="39">
          <cell r="B39" t="str">
            <v>Currency / FX</v>
          </cell>
          <cell r="C39">
            <v>0</v>
          </cell>
          <cell r="D39">
            <v>0</v>
          </cell>
          <cell r="H39">
            <v>0</v>
          </cell>
          <cell r="I39">
            <v>0</v>
          </cell>
          <cell r="M39">
            <v>0</v>
          </cell>
        </row>
        <row r="41">
          <cell r="B41" t="str">
            <v>Volume Variance - 6 Categories</v>
          </cell>
          <cell r="C41">
            <v>124330.10187027979</v>
          </cell>
          <cell r="D41">
            <v>-1560619.9907904509</v>
          </cell>
          <cell r="H41">
            <v>8685354.7464848012</v>
          </cell>
          <cell r="I41">
            <v>-11593427.700574284</v>
          </cell>
          <cell r="M41">
            <v>10963684.681502152</v>
          </cell>
        </row>
        <row r="42">
          <cell r="B42" t="str">
            <v xml:space="preserve">     NF3</v>
          </cell>
          <cell r="C42">
            <v>-867219.24489885208</v>
          </cell>
          <cell r="D42">
            <v>-1623581.3712159193</v>
          </cell>
          <cell r="H42">
            <v>4251501.3566839676</v>
          </cell>
          <cell r="I42">
            <v>-9055174.4950636998</v>
          </cell>
          <cell r="M42">
            <v>21921808.322977517</v>
          </cell>
        </row>
        <row r="43">
          <cell r="B43" t="str">
            <v xml:space="preserve">     WF6</v>
          </cell>
          <cell r="C43">
            <v>236917.74661173517</v>
          </cell>
          <cell r="D43">
            <v>85021.911664562067</v>
          </cell>
          <cell r="H43">
            <v>870635.09485915292</v>
          </cell>
          <cell r="I43">
            <v>-1125569.5373743044</v>
          </cell>
          <cell r="M43">
            <v>-10260072.178301368</v>
          </cell>
        </row>
        <row r="44">
          <cell r="B44" t="str">
            <v xml:space="preserve">     CF4</v>
          </cell>
          <cell r="C44">
            <v>-24258.641046015397</v>
          </cell>
          <cell r="D44">
            <v>-15860.200003427617</v>
          </cell>
          <cell r="H44">
            <v>-94903.134460295681</v>
          </cell>
          <cell r="I44">
            <v>-174634.32319639987</v>
          </cell>
          <cell r="M44">
            <v>-1428892.9196790303</v>
          </cell>
        </row>
        <row r="45">
          <cell r="B45" t="str">
            <v xml:space="preserve">     Liquid Fill - Hometown</v>
          </cell>
          <cell r="C45">
            <v>34303.899557831632</v>
          </cell>
          <cell r="D45">
            <v>100132.73418289446</v>
          </cell>
          <cell r="H45">
            <v>16644.174189139154</v>
          </cell>
          <cell r="I45">
            <v>50148.803159827039</v>
          </cell>
          <cell r="M45">
            <v>-3098427.3410891187</v>
          </cell>
        </row>
        <row r="46">
          <cell r="B46" t="str">
            <v xml:space="preserve">     Dopants</v>
          </cell>
          <cell r="C46">
            <v>563106.71046670573</v>
          </cell>
          <cell r="D46">
            <v>-91430.424581553016</v>
          </cell>
          <cell r="H46">
            <v>3018963.4389943383</v>
          </cell>
          <cell r="I46">
            <v>-681115.06835569686</v>
          </cell>
          <cell r="M46">
            <v>3398134.7952050958</v>
          </cell>
        </row>
        <row r="47">
          <cell r="B47" t="str">
            <v xml:space="preserve">     Liquid Fill - Morrisville/Catoosa</v>
          </cell>
          <cell r="C47">
            <v>181479.63117887478</v>
          </cell>
          <cell r="D47">
            <v>-14902.640837007528</v>
          </cell>
          <cell r="H47">
            <v>622513.81621849979</v>
          </cell>
          <cell r="I47">
            <v>-607083.07974401116</v>
          </cell>
          <cell r="M47">
            <v>431134.00238905702</v>
          </cell>
        </row>
        <row r="49">
          <cell r="B49" t="str">
            <v xml:space="preserve">                 Sold Volume</v>
          </cell>
        </row>
        <row r="50">
          <cell r="B50" t="str">
            <v xml:space="preserve">                     NF3</v>
          </cell>
          <cell r="C50">
            <v>91769.64</v>
          </cell>
          <cell r="D50">
            <v>101834.76</v>
          </cell>
          <cell r="E50">
            <v>82678.02</v>
          </cell>
          <cell r="H50">
            <v>252459.88</v>
          </cell>
          <cell r="I50">
            <v>397122.76</v>
          </cell>
          <cell r="J50">
            <v>295097.8</v>
          </cell>
          <cell r="M50">
            <v>1135161.4449999998</v>
          </cell>
          <cell r="N50">
            <v>1353296.5</v>
          </cell>
        </row>
        <row r="51">
          <cell r="B51" t="str">
            <v xml:space="preserve">                     WF6</v>
          </cell>
          <cell r="C51">
            <v>13324.571</v>
          </cell>
          <cell r="D51">
            <v>14810.135000000002</v>
          </cell>
          <cell r="E51">
            <v>15633.757</v>
          </cell>
          <cell r="H51">
            <v>39778.262000000002</v>
          </cell>
          <cell r="I51">
            <v>59289.034</v>
          </cell>
          <cell r="J51">
            <v>47413.376000000004</v>
          </cell>
          <cell r="M51">
            <v>282987.69799999997</v>
          </cell>
          <cell r="N51">
            <v>187270.978</v>
          </cell>
        </row>
        <row r="52">
          <cell r="B52" t="str">
            <v xml:space="preserve">                     CF4</v>
          </cell>
          <cell r="C52">
            <v>32701.934499999999</v>
          </cell>
          <cell r="D52">
            <v>30986.343500000003</v>
          </cell>
          <cell r="E52">
            <v>29944.669000000002</v>
          </cell>
          <cell r="H52">
            <v>92201.308999999994</v>
          </cell>
          <cell r="I52">
            <v>101318.0275</v>
          </cell>
          <cell r="J52">
            <v>85702.816000000006</v>
          </cell>
          <cell r="M52">
            <v>474263.94849999994</v>
          </cell>
          <cell r="N52">
            <v>352545.647</v>
          </cell>
        </row>
        <row r="53">
          <cell r="B53" t="str">
            <v xml:space="preserve">                     Liquid Fill Hometown</v>
          </cell>
          <cell r="C53">
            <v>52616.69</v>
          </cell>
          <cell r="D53">
            <v>50209.372094356258</v>
          </cell>
          <cell r="E53">
            <v>55112.447010582015</v>
          </cell>
          <cell r="H53">
            <v>161697.35</v>
          </cell>
          <cell r="I53">
            <v>222978.96612522047</v>
          </cell>
          <cell r="J53">
            <v>163067.33893386245</v>
          </cell>
          <cell r="M53">
            <v>1011762.2120000001</v>
          </cell>
          <cell r="N53">
            <v>717547.97505908285</v>
          </cell>
        </row>
        <row r="54">
          <cell r="B54" t="str">
            <v xml:space="preserve">                     Dopants</v>
          </cell>
          <cell r="C54">
            <v>27106.274850000002</v>
          </cell>
          <cell r="D54">
            <v>38656.88005</v>
          </cell>
          <cell r="E54">
            <v>37146.348400000003</v>
          </cell>
          <cell r="H54">
            <v>72968.49470000001</v>
          </cell>
          <cell r="I54">
            <v>132343.57490000001</v>
          </cell>
          <cell r="J54">
            <v>121351.48845</v>
          </cell>
          <cell r="M54">
            <v>414741.08009999996</v>
          </cell>
          <cell r="N54">
            <v>466179.12599999993</v>
          </cell>
        </row>
        <row r="55">
          <cell r="B55" t="str">
            <v xml:space="preserve">                     Liquid Fill - Morrisville/Catoosa</v>
          </cell>
          <cell r="C55">
            <v>179370.13800000001</v>
          </cell>
          <cell r="D55">
            <v>238370.59</v>
          </cell>
          <cell r="E55">
            <v>234356.1005</v>
          </cell>
          <cell r="H55">
            <v>580463.875</v>
          </cell>
          <cell r="I55">
            <v>872118.61550000007</v>
          </cell>
          <cell r="J55">
            <v>714537.44200000004</v>
          </cell>
          <cell r="M55">
            <v>3020745.6454999996</v>
          </cell>
          <cell r="N55">
            <v>3109142.7894999995</v>
          </cell>
        </row>
        <row r="57">
          <cell r="B57" t="str">
            <v xml:space="preserve">                 Sold Volume Percent Change</v>
          </cell>
        </row>
        <row r="58">
          <cell r="B58" t="str">
            <v xml:space="preserve">                     NF3</v>
          </cell>
          <cell r="C58">
            <v>-9.9070019235119544E-2</v>
          </cell>
          <cell r="D58">
            <v>-0.18811592426790216</v>
          </cell>
          <cell r="H58">
            <v>0.16888988460265442</v>
          </cell>
          <cell r="I58">
            <v>-0.25691038206926248</v>
          </cell>
          <cell r="M58">
            <v>0.19216214218762531</v>
          </cell>
        </row>
        <row r="59">
          <cell r="B59" t="str">
            <v xml:space="preserve">                     WF6</v>
          </cell>
          <cell r="C59">
            <v>0.17330284029407023</v>
          </cell>
          <cell r="D59">
            <v>5.5612052152124031E-2</v>
          </cell>
          <cell r="H59">
            <v>0.19194187016013925</v>
          </cell>
          <cell r="I59">
            <v>-0.20030108771885197</v>
          </cell>
          <cell r="M59">
            <v>-0.33823632856294689</v>
          </cell>
        </row>
        <row r="60">
          <cell r="B60" t="str">
            <v xml:space="preserve">                     CF4</v>
          </cell>
          <cell r="C60">
            <v>-8.4315057875245819E-2</v>
          </cell>
          <cell r="D60">
            <v>-3.3617212692423709E-2</v>
          </cell>
          <cell r="H60">
            <v>-7.0481569844089612E-2</v>
          </cell>
          <cell r="I60">
            <v>-0.15412076098698221</v>
          </cell>
          <cell r="M60">
            <v>-0.25664675100220052</v>
          </cell>
        </row>
        <row r="61">
          <cell r="B61" t="str">
            <v xml:space="preserve">                     Liquid Fill Hometown</v>
          </cell>
          <cell r="C61">
            <v>4.7432801466265023E-2</v>
          </cell>
          <cell r="D61">
            <v>9.7652583804705304E-2</v>
          </cell>
          <cell r="H61">
            <v>8.472550316145867E-3</v>
          </cell>
          <cell r="I61">
            <v>-0.26868734855337367</v>
          </cell>
          <cell r="M61">
            <v>-0.29079385793558099</v>
          </cell>
        </row>
        <row r="62">
          <cell r="B62" t="str">
            <v xml:space="preserve">                     Dopants</v>
          </cell>
          <cell r="C62">
            <v>0.37039665559209073</v>
          </cell>
          <cell r="D62">
            <v>-3.9075363765679716E-2</v>
          </cell>
          <cell r="H62">
            <v>0.66306690235176236</v>
          </cell>
          <cell r="I62">
            <v>-8.3057197588214782E-2</v>
          </cell>
          <cell r="M62">
            <v>0.12402447784433972</v>
          </cell>
        </row>
        <row r="63">
          <cell r="B63" t="str">
            <v xml:space="preserve">                     Liquid Fill - Morrisville/Catoosa</v>
          </cell>
          <cell r="C63">
            <v>0.30655026033374627</v>
          </cell>
          <cell r="D63">
            <v>-1.684137921544766E-2</v>
          </cell>
          <cell r="H63">
            <v>0.23097659092049447</v>
          </cell>
          <cell r="I63">
            <v>-0.1806877765241327</v>
          </cell>
          <cell r="M63">
            <v>2.9263352289089599E-2</v>
          </cell>
        </row>
        <row r="65">
          <cell r="B65" t="str">
            <v>Vol Var - Other Prods @ 20% Margin</v>
          </cell>
          <cell r="C65">
            <v>287585.38428317924</v>
          </cell>
          <cell r="D65">
            <v>275125.99430592248</v>
          </cell>
          <cell r="H65">
            <v>1212236.2095025894</v>
          </cell>
          <cell r="I65">
            <v>97013.670469047138</v>
          </cell>
          <cell r="M65">
            <v>1312699.1969148517</v>
          </cell>
        </row>
        <row r="67">
          <cell r="B67" t="str">
            <v>Contrib Margin Var - 6 Categories</v>
          </cell>
          <cell r="C67">
            <v>295608.00084458495</v>
          </cell>
          <cell r="D67">
            <v>342936.57926509832</v>
          </cell>
          <cell r="H67">
            <v>-5232930.8061332041</v>
          </cell>
          <cell r="I67">
            <v>1941465.6733500997</v>
          </cell>
          <cell r="M67">
            <v>-23114860.412605707</v>
          </cell>
        </row>
        <row r="68">
          <cell r="B68" t="str">
            <v xml:space="preserve">             NF3 (Chg in Contr Margin * Curr Sold Vol)</v>
          </cell>
          <cell r="C68">
            <v>-579434.46067321638</v>
          </cell>
          <cell r="D68">
            <v>299777.65948216699</v>
          </cell>
          <cell r="H68">
            <v>-3781734.6948236921</v>
          </cell>
          <cell r="I68">
            <v>-548276.6737126779</v>
          </cell>
          <cell r="M68">
            <v>-14287478.901703591</v>
          </cell>
        </row>
        <row r="69">
          <cell r="B69" t="str">
            <v xml:space="preserve">             WF6</v>
          </cell>
          <cell r="C69">
            <v>-146885.22733127687</v>
          </cell>
          <cell r="D69">
            <v>-156755.41504452867</v>
          </cell>
          <cell r="H69">
            <v>-566156.76061412971</v>
          </cell>
          <cell r="I69">
            <v>346590.91071019234</v>
          </cell>
          <cell r="M69">
            <v>-1299299.5574666788</v>
          </cell>
        </row>
        <row r="70">
          <cell r="B70" t="str">
            <v xml:space="preserve">             CF4</v>
          </cell>
          <cell r="C70">
            <v>-65482.021891031152</v>
          </cell>
          <cell r="D70">
            <v>-257954.31692955433</v>
          </cell>
          <cell r="H70">
            <v>-200498.91825786539</v>
          </cell>
          <cell r="I70">
            <v>92627.446521232443</v>
          </cell>
          <cell r="M70">
            <v>427653.94629232585</v>
          </cell>
        </row>
        <row r="71">
          <cell r="B71" t="str">
            <v xml:space="preserve">             Liquid Fill Hometown</v>
          </cell>
          <cell r="C71">
            <v>141118.07132536487</v>
          </cell>
          <cell r="D71">
            <v>-226897.9673370143</v>
          </cell>
          <cell r="H71">
            <v>416918.78007263906</v>
          </cell>
          <cell r="I71">
            <v>2534540.0483217794</v>
          </cell>
          <cell r="M71">
            <v>-3901296.5600216053</v>
          </cell>
        </row>
        <row r="72">
          <cell r="B72" t="str">
            <v xml:space="preserve">             Dopants</v>
          </cell>
          <cell r="C72">
            <v>701038.06869253702</v>
          </cell>
          <cell r="D72">
            <v>536007.09934756986</v>
          </cell>
          <cell r="H72">
            <v>-376003.82635390037</v>
          </cell>
          <cell r="I72">
            <v>-323449.8233308749</v>
          </cell>
          <cell r="M72">
            <v>-1414182.6291400169</v>
          </cell>
        </row>
        <row r="73">
          <cell r="B73" t="str">
            <v xml:space="preserve">             Liquid Fill - Morrisville/Catoosa</v>
          </cell>
          <cell r="C73">
            <v>245253.57072220749</v>
          </cell>
          <cell r="D73">
            <v>148759.51974645871</v>
          </cell>
          <cell r="H73">
            <v>-725455.38615625515</v>
          </cell>
          <cell r="I73">
            <v>-160566.23515955155</v>
          </cell>
          <cell r="M73">
            <v>-2640256.7105661402</v>
          </cell>
        </row>
        <row r="75">
          <cell r="B75" t="str">
            <v xml:space="preserve">                  Variable Spend - Margin Impact</v>
          </cell>
          <cell r="C75">
            <v>1220197.6330237002</v>
          </cell>
          <cell r="D75">
            <v>930278.44312390836</v>
          </cell>
          <cell r="H75">
            <v>674250.20536937471</v>
          </cell>
          <cell r="I75">
            <v>1140327.8808495775</v>
          </cell>
          <cell r="M75">
            <v>-1110555.0694248006</v>
          </cell>
        </row>
        <row r="76">
          <cell r="B76" t="str">
            <v xml:space="preserve">                      NF3 (Chg in Price * Curr Sold Vol)</v>
          </cell>
          <cell r="C76">
            <v>-4791.3238215898164</v>
          </cell>
          <cell r="D76">
            <v>-68404.242907704844</v>
          </cell>
          <cell r="H76">
            <v>135425.50454699202</v>
          </cell>
          <cell r="I76">
            <v>-60344.563272678468</v>
          </cell>
          <cell r="M76">
            <v>724394.37723996677</v>
          </cell>
        </row>
        <row r="77">
          <cell r="B77" t="str">
            <v xml:space="preserve">                      WF6</v>
          </cell>
          <cell r="C77">
            <v>-107965.6268551453</v>
          </cell>
          <cell r="D77">
            <v>-168648.79745140928</v>
          </cell>
          <cell r="H77">
            <v>11283.894534912892</v>
          </cell>
          <cell r="I77">
            <v>243273.63619550614</v>
          </cell>
          <cell r="M77">
            <v>-248165.74580075452</v>
          </cell>
        </row>
        <row r="78">
          <cell r="B78" t="str">
            <v xml:space="preserve">                      CF4</v>
          </cell>
          <cell r="C78">
            <v>-96432.393827202992</v>
          </cell>
          <cell r="D78">
            <v>-242981.93531447311</v>
          </cell>
          <cell r="H78">
            <v>-191023.33776449197</v>
          </cell>
          <cell r="I78">
            <v>3672.351115801619</v>
          </cell>
          <cell r="M78">
            <v>-36643.3301632285</v>
          </cell>
        </row>
        <row r="79">
          <cell r="B79" t="str">
            <v xml:space="preserve">                      Liquid Fill Hometown</v>
          </cell>
          <cell r="C79">
            <v>416135.17522716976</v>
          </cell>
          <cell r="D79">
            <v>1131723.3114988008</v>
          </cell>
          <cell r="H79">
            <v>-255157.14639163023</v>
          </cell>
          <cell r="I79">
            <v>1030653.596271652</v>
          </cell>
          <cell r="M79">
            <v>-3604470.3768958892</v>
          </cell>
        </row>
        <row r="80">
          <cell r="B80" t="str">
            <v xml:space="preserve">                      Dopants</v>
          </cell>
          <cell r="C80">
            <v>545358.26804686931</v>
          </cell>
          <cell r="D80">
            <v>165647.42038933525</v>
          </cell>
          <cell r="H80">
            <v>1062820.0768171344</v>
          </cell>
          <cell r="I80">
            <v>138168.19748479838</v>
          </cell>
          <cell r="M80">
            <v>3158345.7584656319</v>
          </cell>
        </row>
        <row r="81">
          <cell r="B81" t="str">
            <v xml:space="preserve">                      Liquid Fill - Morrisville/Catoosa</v>
          </cell>
          <cell r="C81">
            <v>467893.53425359941</v>
          </cell>
          <cell r="D81">
            <v>112942.68690935941</v>
          </cell>
          <cell r="H81">
            <v>-89098.786373542505</v>
          </cell>
          <cell r="I81">
            <v>-215095.33694550223</v>
          </cell>
          <cell r="M81">
            <v>-1104015.7522705225</v>
          </cell>
        </row>
        <row r="84">
          <cell r="B84" t="str">
            <v xml:space="preserve">                  Selling Price - Margin Impact</v>
          </cell>
          <cell r="C84">
            <v>-924589.63217911532</v>
          </cell>
          <cell r="D84">
            <v>-587341.86385881004</v>
          </cell>
          <cell r="H84">
            <v>-5907181.0115025789</v>
          </cell>
          <cell r="I84">
            <v>801137.79250052234</v>
          </cell>
          <cell r="M84">
            <v>-22004305.343180906</v>
          </cell>
        </row>
        <row r="85">
          <cell r="B85" t="str">
            <v xml:space="preserve">                      NF3 (Chg in Price * Curr Sold Vol)</v>
          </cell>
          <cell r="C85">
            <v>-574643.13685162656</v>
          </cell>
          <cell r="D85">
            <v>368181.90238987183</v>
          </cell>
          <cell r="H85">
            <v>-3917160.1993706841</v>
          </cell>
          <cell r="I85">
            <v>-487932.11043999944</v>
          </cell>
          <cell r="M85">
            <v>-15011873.278943557</v>
          </cell>
        </row>
        <row r="86">
          <cell r="B86" t="str">
            <v xml:space="preserve">                      WF6</v>
          </cell>
          <cell r="C86">
            <v>-38919.600476131578</v>
          </cell>
          <cell r="D86">
            <v>11893.38240688061</v>
          </cell>
          <cell r="H86">
            <v>-577440.65514904261</v>
          </cell>
          <cell r="I86">
            <v>103317.27451468619</v>
          </cell>
          <cell r="M86">
            <v>-1051133.8116659243</v>
          </cell>
        </row>
        <row r="87">
          <cell r="B87" t="str">
            <v xml:space="preserve">                      CF4</v>
          </cell>
          <cell r="C87">
            <v>30950.371936171847</v>
          </cell>
          <cell r="D87">
            <v>-14972.381615081213</v>
          </cell>
          <cell r="H87">
            <v>-9475.5804933734089</v>
          </cell>
          <cell r="I87">
            <v>88955.095405430824</v>
          </cell>
          <cell r="M87">
            <v>464297.27645555435</v>
          </cell>
        </row>
        <row r="88">
          <cell r="B88" t="str">
            <v xml:space="preserve">                      Liquid Fill Hometown</v>
          </cell>
          <cell r="C88">
            <v>-275017.10390180489</v>
          </cell>
          <cell r="D88">
            <v>-1358621.2788358151</v>
          </cell>
          <cell r="H88">
            <v>672075.92646426929</v>
          </cell>
          <cell r="I88">
            <v>1503886.4520501273</v>
          </cell>
          <cell r="M88">
            <v>-296826.18312571628</v>
          </cell>
        </row>
        <row r="89">
          <cell r="B89" t="str">
            <v xml:space="preserve">                      Dopants</v>
          </cell>
          <cell r="C89">
            <v>155679.80064566768</v>
          </cell>
          <cell r="D89">
            <v>370359.67895823461</v>
          </cell>
          <cell r="H89">
            <v>-1438823.9031710348</v>
          </cell>
          <cell r="I89">
            <v>-461618.02081567328</v>
          </cell>
          <cell r="M89">
            <v>-4572528.3876056485</v>
          </cell>
        </row>
        <row r="90">
          <cell r="B90" t="str">
            <v xml:space="preserve">                      Liquid Fill - Morrisville/Catoosa</v>
          </cell>
          <cell r="C90">
            <v>-222639.96353139193</v>
          </cell>
          <cell r="D90">
            <v>35816.832837099289</v>
          </cell>
          <cell r="H90">
            <v>-636356.59978271264</v>
          </cell>
          <cell r="I90">
            <v>54529.101785950676</v>
          </cell>
          <cell r="M90">
            <v>-1536240.9582956177</v>
          </cell>
        </row>
        <row r="93">
          <cell r="B93" t="str">
            <v xml:space="preserve">                  Selling Price</v>
          </cell>
        </row>
        <row r="94">
          <cell r="B94" t="str">
            <v xml:space="preserve">                      NF3</v>
          </cell>
          <cell r="C94">
            <v>98.282431488200444</v>
          </cell>
          <cell r="D94">
            <v>86.878856036810845</v>
          </cell>
          <cell r="E94">
            <v>91.332057775191515</v>
          </cell>
          <cell r="H94">
            <v>102.61916724039612</v>
          </cell>
          <cell r="I94">
            <v>90.998517784755705</v>
          </cell>
          <cell r="J94">
            <v>89.3450587944142</v>
          </cell>
          <cell r="M94">
            <v>103.13712157689855</v>
          </cell>
          <cell r="N94">
            <v>92.044302465237834</v>
          </cell>
        </row>
        <row r="95">
          <cell r="B95" t="str">
            <v xml:space="preserve">                      WF6</v>
          </cell>
          <cell r="C95">
            <v>113.27813636926848</v>
          </cell>
          <cell r="D95">
            <v>110.02792703807495</v>
          </cell>
          <cell r="E95">
            <v>110.78867715123589</v>
          </cell>
          <cell r="H95">
            <v>122.01542949160499</v>
          </cell>
          <cell r="I95">
            <v>107.65749957613707</v>
          </cell>
          <cell r="J95">
            <v>109.83657398996253</v>
          </cell>
          <cell r="M95">
            <v>115.25589340818422</v>
          </cell>
          <cell r="N95">
            <v>109.64299052866851</v>
          </cell>
        </row>
        <row r="96">
          <cell r="B96" t="str">
            <v xml:space="preserve">                      CF4</v>
          </cell>
          <cell r="C96">
            <v>17.937940628558231</v>
          </cell>
          <cell r="D96">
            <v>19.471527576914649</v>
          </cell>
          <cell r="E96">
            <v>18.971526003510007</v>
          </cell>
          <cell r="H96">
            <v>19.630187866421721</v>
          </cell>
          <cell r="I96">
            <v>18.481676294773898</v>
          </cell>
          <cell r="J96">
            <v>19.519624632497489</v>
          </cell>
          <cell r="M96">
            <v>17.688132622418806</v>
          </cell>
          <cell r="N96">
            <v>19.005117473618952</v>
          </cell>
        </row>
        <row r="97">
          <cell r="B97" t="str">
            <v xml:space="preserve">                      Liquid Fill Hometown</v>
          </cell>
          <cell r="C97">
            <v>31.961469596434139</v>
          </cell>
          <cell r="D97">
            <v>51.623165523779733</v>
          </cell>
          <cell r="E97">
            <v>26.971360849330249</v>
          </cell>
          <cell r="H97">
            <v>30.468898196167096</v>
          </cell>
          <cell r="I97">
            <v>25.367873484386969</v>
          </cell>
          <cell r="J97">
            <v>34.590360721147974</v>
          </cell>
          <cell r="M97">
            <v>28.281161428313951</v>
          </cell>
          <cell r="N97">
            <v>27.867494059102469</v>
          </cell>
        </row>
        <row r="98">
          <cell r="B98" t="str">
            <v xml:space="preserve">                      Dopants</v>
          </cell>
          <cell r="C98">
            <v>91.31653632726298</v>
          </cell>
          <cell r="D98">
            <v>85.537236677110371</v>
          </cell>
          <cell r="E98">
            <v>95.507521642138983</v>
          </cell>
          <cell r="H98">
            <v>93.801524535582885</v>
          </cell>
          <cell r="I98">
            <v>85.748834825410967</v>
          </cell>
          <cell r="J98">
            <v>81.944859886892829</v>
          </cell>
          <cell r="M98">
            <v>96.958347236133733</v>
          </cell>
          <cell r="N98">
            <v>87.149824862256253</v>
          </cell>
        </row>
        <row r="99">
          <cell r="B99" t="str">
            <v xml:space="preserve">                      Liquid Fill - Morrisville/Catoosa</v>
          </cell>
          <cell r="C99">
            <v>7.7756481966713986</v>
          </cell>
          <cell r="D99">
            <v>6.6728102683346826</v>
          </cell>
          <cell r="E99">
            <v>6.8256410790568438</v>
          </cell>
          <cell r="H99">
            <v>7.6886095561771697</v>
          </cell>
          <cell r="I99">
            <v>6.7217103274469512</v>
          </cell>
          <cell r="J99">
            <v>6.7980241755125235</v>
          </cell>
          <cell r="M99">
            <v>7.191731374722254</v>
          </cell>
          <cell r="N99">
            <v>6.6976270307584729</v>
          </cell>
        </row>
        <row r="101">
          <cell r="B101" t="str">
            <v xml:space="preserve">                  Selling Price - Percent Change</v>
          </cell>
        </row>
        <row r="102">
          <cell r="B102" t="str">
            <v xml:space="preserve">                      NF3</v>
          </cell>
          <cell r="C102">
            <v>-7.0718373647922772E-2</v>
          </cell>
          <cell r="D102">
            <v>5.1257601003561033E-2</v>
          </cell>
          <cell r="H102">
            <v>-0.12935311017371576</v>
          </cell>
          <cell r="I102">
            <v>-1.8170174971998247E-2</v>
          </cell>
          <cell r="M102">
            <v>-0.10755408859641252</v>
          </cell>
        </row>
        <row r="103">
          <cell r="B103" t="str">
            <v xml:space="preserve">                      WF6</v>
          </cell>
          <cell r="C103">
            <v>-2.1976519898926981E-2</v>
          </cell>
          <cell r="D103">
            <v>6.9141547390753084E-3</v>
          </cell>
          <cell r="H103">
            <v>-9.9814060831383625E-2</v>
          </cell>
          <cell r="I103">
            <v>2.0240804610963357E-2</v>
          </cell>
          <cell r="M103">
            <v>-4.869948697232647E-2</v>
          </cell>
        </row>
        <row r="104">
          <cell r="B104" t="str">
            <v xml:space="preserve">                      CF4</v>
          </cell>
          <cell r="C104">
            <v>5.7620068900565403E-2</v>
          </cell>
          <cell r="D104">
            <v>-2.5678600275688777E-2</v>
          </cell>
          <cell r="H104">
            <v>-5.6323064596521316E-3</v>
          </cell>
          <cell r="I104">
            <v>5.616094131121073E-2</v>
          </cell>
          <cell r="M104">
            <v>7.4455844453073322E-2</v>
          </cell>
        </row>
        <row r="105">
          <cell r="B105" t="str">
            <v xml:space="preserve">                      Liquid Fill Hometown</v>
          </cell>
          <cell r="C105">
            <v>-0.15612888925672627</v>
          </cell>
          <cell r="D105">
            <v>-0.47753376656249136</v>
          </cell>
          <cell r="H105">
            <v>0.13526785571456423</v>
          </cell>
          <cell r="I105">
            <v>0.36354987509840431</v>
          </cell>
          <cell r="M105">
            <v>-1.4626958311455137E-2</v>
          </cell>
        </row>
        <row r="106">
          <cell r="B106" t="str">
            <v xml:space="preserve">                      Dopants</v>
          </cell>
          <cell r="C106">
            <v>4.5895141049330006E-2</v>
          </cell>
          <cell r="D106">
            <v>0.11656075590406165</v>
          </cell>
          <cell r="H106">
            <v>-0.12640161988190632</v>
          </cell>
          <cell r="I106">
            <v>-4.4361826563162364E-2</v>
          </cell>
          <cell r="M106">
            <v>-0.10116222742524339</v>
          </cell>
        </row>
        <row r="107">
          <cell r="B107" t="str">
            <v xml:space="preserve">                      Liquid Fill - Morrisville/Catoosa</v>
          </cell>
          <cell r="C107">
            <v>-0.12217722479024117</v>
          </cell>
          <cell r="D107">
            <v>2.2903515097290907E-2</v>
          </cell>
          <cell r="H107">
            <v>-0.11583178650932191</v>
          </cell>
          <cell r="I107">
            <v>1.135333781849506E-2</v>
          </cell>
          <cell r="M107">
            <v>-6.870450496809101E-2</v>
          </cell>
        </row>
        <row r="108">
          <cell r="C108">
            <v>13.261209070785693</v>
          </cell>
          <cell r="D108">
            <v>14.49362047433298</v>
          </cell>
          <cell r="E108">
            <v>10.66122156915703</v>
          </cell>
        </row>
        <row r="110">
          <cell r="B110" t="str">
            <v>Plant Spending (Fixed Costs)</v>
          </cell>
          <cell r="C110">
            <v>-2404908.8765430283</v>
          </cell>
          <cell r="D110">
            <v>1557621.8658683542</v>
          </cell>
          <cell r="H110">
            <v>-8228732.5386792086</v>
          </cell>
          <cell r="I110">
            <v>-6303814.7033340223</v>
          </cell>
          <cell r="M110">
            <v>-8021794.422869131</v>
          </cell>
        </row>
        <row r="111">
          <cell r="B111" t="str">
            <v xml:space="preserve">     NF3</v>
          </cell>
          <cell r="C111">
            <v>-800778.0142678069</v>
          </cell>
          <cell r="D111">
            <v>1073834.6964137778</v>
          </cell>
          <cell r="H111">
            <v>-3355175.9915566444</v>
          </cell>
          <cell r="I111">
            <v>-3488240.3769769575</v>
          </cell>
          <cell r="M111">
            <v>-1307830.7648497894</v>
          </cell>
        </row>
        <row r="112">
          <cell r="B112" t="str">
            <v xml:space="preserve">     WF6</v>
          </cell>
          <cell r="C112">
            <v>-193731.66502654925</v>
          </cell>
          <cell r="D112">
            <v>898903.67327694432</v>
          </cell>
          <cell r="H112">
            <v>-1564557.6235790497</v>
          </cell>
          <cell r="I112">
            <v>-1220710.9606079957</v>
          </cell>
          <cell r="M112">
            <v>-1247271.2576759867</v>
          </cell>
        </row>
        <row r="113">
          <cell r="B113" t="str">
            <v xml:space="preserve">     CF4</v>
          </cell>
          <cell r="C113">
            <v>-38080.190888766141</v>
          </cell>
          <cell r="D113">
            <v>-13923.604208247154</v>
          </cell>
          <cell r="H113">
            <v>-91382.990967025748</v>
          </cell>
          <cell r="I113">
            <v>-186574.84706981934</v>
          </cell>
          <cell r="M113">
            <v>779615.84872813011</v>
          </cell>
        </row>
        <row r="114">
          <cell r="B114" t="str">
            <v xml:space="preserve">     Liquid Fill - Hometown</v>
          </cell>
          <cell r="C114">
            <v>-356605.76775921677</v>
          </cell>
          <cell r="D114">
            <v>-309850.954877918</v>
          </cell>
          <cell r="H114">
            <v>-553272.29982612678</v>
          </cell>
          <cell r="I114">
            <v>-286861.20841409452</v>
          </cell>
          <cell r="M114">
            <v>-730427.8499892829</v>
          </cell>
        </row>
        <row r="115">
          <cell r="B115" t="str">
            <v xml:space="preserve">     Other Hometown Products</v>
          </cell>
          <cell r="C115">
            <v>-714178.65</v>
          </cell>
          <cell r="D115">
            <v>-114767</v>
          </cell>
          <cell r="H115">
            <v>-2181604.75</v>
          </cell>
          <cell r="I115">
            <v>-166826</v>
          </cell>
          <cell r="M115">
            <v>-4442224.25</v>
          </cell>
        </row>
        <row r="116">
          <cell r="B116" t="str">
            <v xml:space="preserve">     Dopants</v>
          </cell>
          <cell r="C116">
            <v>-41912.318924331572</v>
          </cell>
          <cell r="D116">
            <v>-102324.09059400205</v>
          </cell>
          <cell r="H116">
            <v>-120889.27693414548</v>
          </cell>
          <cell r="I116">
            <v>-522491.66918686312</v>
          </cell>
          <cell r="M116">
            <v>-548331.17327830195</v>
          </cell>
        </row>
        <row r="117">
          <cell r="B117" t="str">
            <v xml:space="preserve">     Liquid Fill - Morrisville/Catoosa</v>
          </cell>
          <cell r="C117">
            <v>-102612.67956034758</v>
          </cell>
          <cell r="D117">
            <v>-88523.709306034492</v>
          </cell>
          <cell r="H117">
            <v>-149598.23733576061</v>
          </cell>
          <cell r="I117">
            <v>-11029.995899409521</v>
          </cell>
          <cell r="M117">
            <v>-160036.04225898441</v>
          </cell>
        </row>
        <row r="118">
          <cell r="B118" t="str">
            <v xml:space="preserve">     Asia Other Prods (In Region)</v>
          </cell>
          <cell r="C118">
            <v>107613.71184697266</v>
          </cell>
          <cell r="D118">
            <v>-25154.077892381341</v>
          </cell>
          <cell r="H118">
            <v>286611.10656985198</v>
          </cell>
          <cell r="I118">
            <v>146671.51648408605</v>
          </cell>
          <cell r="M118">
            <v>627967.00370868039</v>
          </cell>
        </row>
        <row r="119">
          <cell r="B119" t="str">
            <v xml:space="preserve">     Europe Other Prods (In Region)</v>
          </cell>
          <cell r="C119">
            <v>-264623.30196298275</v>
          </cell>
          <cell r="D119">
            <v>239426.93305621535</v>
          </cell>
          <cell r="H119">
            <v>-498862.47505030665</v>
          </cell>
          <cell r="I119">
            <v>-567751.1616629652</v>
          </cell>
          <cell r="M119">
            <v>-993255.93725358695</v>
          </cell>
        </row>
        <row r="121">
          <cell r="B121" t="str">
            <v>Inventory Build / (Draw)</v>
          </cell>
          <cell r="C121">
            <v>467501.68522999983</v>
          </cell>
          <cell r="D121">
            <v>-99398.659050000249</v>
          </cell>
          <cell r="H121">
            <v>1588253.27076</v>
          </cell>
          <cell r="I121">
            <v>1832254.76945</v>
          </cell>
          <cell r="M121">
            <v>186751.0515400013</v>
          </cell>
        </row>
        <row r="122">
          <cell r="B122" t="str">
            <v xml:space="preserve">          NF3 (Sold Less Produced * Fixed Unit Cost)</v>
          </cell>
          <cell r="C122">
            <v>503973.38919999986</v>
          </cell>
          <cell r="D122">
            <v>272149.65959999978</v>
          </cell>
          <cell r="H122">
            <v>989815.48800000013</v>
          </cell>
          <cell r="I122">
            <v>1308623.1184000003</v>
          </cell>
          <cell r="M122">
            <v>-123709.27749999892</v>
          </cell>
        </row>
        <row r="123">
          <cell r="B123" t="str">
            <v xml:space="preserve">          WF6</v>
          </cell>
          <cell r="C123">
            <v>-82550.730069999991</v>
          </cell>
          <cell r="D123">
            <v>-324332.33309999993</v>
          </cell>
          <cell r="H123">
            <v>400532.70635999995</v>
          </cell>
          <cell r="I123">
            <v>325215.6608999999</v>
          </cell>
          <cell r="M123">
            <v>156607.98473999987</v>
          </cell>
        </row>
        <row r="124">
          <cell r="B124" t="str">
            <v xml:space="preserve">          CF4</v>
          </cell>
          <cell r="C124">
            <v>46079.026099999981</v>
          </cell>
          <cell r="D124">
            <v>-47215.98554999999</v>
          </cell>
          <cell r="H124">
            <v>197905.07639999993</v>
          </cell>
          <cell r="I124">
            <v>198415.99014999994</v>
          </cell>
          <cell r="M124">
            <v>153852.3443</v>
          </cell>
        </row>
        <row r="125">
          <cell r="B125" t="str">
            <v xml:space="preserve">          Liquid Fill Hometown</v>
          </cell>
          <cell r="C125">
            <v>0</v>
          </cell>
          <cell r="D125">
            <v>0</v>
          </cell>
          <cell r="H125">
            <v>0</v>
          </cell>
          <cell r="I125">
            <v>0</v>
          </cell>
          <cell r="M125">
            <v>0</v>
          </cell>
        </row>
        <row r="126">
          <cell r="B126" t="str">
            <v xml:space="preserve">          Dopants</v>
          </cell>
          <cell r="C126">
            <v>0</v>
          </cell>
          <cell r="D126">
            <v>0</v>
          </cell>
          <cell r="H126">
            <v>0</v>
          </cell>
          <cell r="I126">
            <v>0</v>
          </cell>
          <cell r="M126">
            <v>0</v>
          </cell>
        </row>
        <row r="127">
          <cell r="B127" t="str">
            <v xml:space="preserve">          Liquid Fill - Morrisville/Catoosa</v>
          </cell>
          <cell r="C127">
            <v>0</v>
          </cell>
          <cell r="D127">
            <v>0</v>
          </cell>
          <cell r="H127">
            <v>0</v>
          </cell>
          <cell r="I127">
            <v>0</v>
          </cell>
          <cell r="M127">
            <v>0</v>
          </cell>
        </row>
        <row r="129">
          <cell r="B129" t="str">
            <v>Distribution Expense</v>
          </cell>
          <cell r="C129">
            <v>-1040394</v>
          </cell>
          <cell r="D129">
            <v>-320328</v>
          </cell>
          <cell r="H129">
            <v>-2612403</v>
          </cell>
          <cell r="I129">
            <v>-967721</v>
          </cell>
          <cell r="M129">
            <v>-4883570</v>
          </cell>
        </row>
        <row r="131">
          <cell r="B131" t="str">
            <v>Overheads</v>
          </cell>
          <cell r="C131">
            <v>0</v>
          </cell>
          <cell r="D131">
            <v>0</v>
          </cell>
          <cell r="H131">
            <v>0</v>
          </cell>
          <cell r="I131">
            <v>0</v>
          </cell>
          <cell r="M131">
            <v>0</v>
          </cell>
        </row>
        <row r="133">
          <cell r="B133" t="str">
            <v>Other</v>
          </cell>
          <cell r="C133">
            <v>4065485.4013849832</v>
          </cell>
          <cell r="D133">
            <v>366687.36736175173</v>
          </cell>
          <cell r="H133">
            <v>8853912.3552443422</v>
          </cell>
          <cell r="I133">
            <v>9653319.5278184805</v>
          </cell>
          <cell r="M133">
            <v>-1253319.8573028399</v>
          </cell>
        </row>
        <row r="135">
          <cell r="B135" t="str">
            <v>Current Period Direct Profit</v>
          </cell>
          <cell r="C135">
            <v>8726207.6970699988</v>
          </cell>
          <cell r="D135">
            <v>8726207.6970699988</v>
          </cell>
          <cell r="H135">
            <v>25952690.23717932</v>
          </cell>
          <cell r="I135">
            <v>25952690.23717932</v>
          </cell>
          <cell r="M135">
            <v>105327590.23717932</v>
          </cell>
        </row>
        <row r="372">
          <cell r="A372">
            <v>1</v>
          </cell>
          <cell r="B372" t="str">
            <v>OCTOBER</v>
          </cell>
          <cell r="C372">
            <v>36800</v>
          </cell>
          <cell r="D372">
            <v>37165</v>
          </cell>
          <cell r="E372">
            <v>37135</v>
          </cell>
          <cell r="H372" t="str">
            <v>Q1 FY01</v>
          </cell>
          <cell r="I372" t="str">
            <v>Q1 FY02</v>
          </cell>
          <cell r="J372" t="str">
            <v>Q4 FY01</v>
          </cell>
        </row>
        <row r="373">
          <cell r="A373">
            <v>2</v>
          </cell>
          <cell r="B373" t="str">
            <v>NOVEMBER</v>
          </cell>
          <cell r="C373">
            <v>36831</v>
          </cell>
          <cell r="D373">
            <v>37196</v>
          </cell>
          <cell r="E373">
            <v>37165</v>
          </cell>
          <cell r="H373" t="str">
            <v>Q1 FY01</v>
          </cell>
          <cell r="I373" t="str">
            <v>Q1 FY02</v>
          </cell>
          <cell r="J373" t="str">
            <v>Q4 FY01</v>
          </cell>
        </row>
        <row r="374">
          <cell r="A374">
            <v>3</v>
          </cell>
          <cell r="B374" t="str">
            <v>DECEMBER</v>
          </cell>
          <cell r="C374">
            <v>36861</v>
          </cell>
          <cell r="D374">
            <v>37226</v>
          </cell>
          <cell r="E374">
            <v>37196</v>
          </cell>
          <cell r="H374" t="str">
            <v>Q1 FY01</v>
          </cell>
          <cell r="I374" t="str">
            <v>Q1 FY02</v>
          </cell>
          <cell r="J374" t="str">
            <v>Q4 FY01</v>
          </cell>
        </row>
        <row r="375">
          <cell r="A375">
            <v>4</v>
          </cell>
          <cell r="B375" t="str">
            <v>JANUARY</v>
          </cell>
          <cell r="C375">
            <v>36892</v>
          </cell>
          <cell r="D375">
            <v>37257</v>
          </cell>
          <cell r="E375">
            <v>37226</v>
          </cell>
          <cell r="H375" t="str">
            <v>Q2 FY01</v>
          </cell>
          <cell r="I375" t="str">
            <v>Q2 FY02</v>
          </cell>
          <cell r="J375" t="str">
            <v>Q1 FY02</v>
          </cell>
        </row>
        <row r="376">
          <cell r="A376">
            <v>5</v>
          </cell>
          <cell r="B376" t="str">
            <v>FEBRUARY</v>
          </cell>
          <cell r="C376">
            <v>36923</v>
          </cell>
          <cell r="D376">
            <v>37288</v>
          </cell>
          <cell r="E376">
            <v>37257</v>
          </cell>
          <cell r="H376" t="str">
            <v>Q2 FY01</v>
          </cell>
          <cell r="I376" t="str">
            <v>Q2 FY02</v>
          </cell>
          <cell r="J376" t="str">
            <v>Q1 FY02</v>
          </cell>
        </row>
        <row r="377">
          <cell r="A377">
            <v>6</v>
          </cell>
          <cell r="B377" t="str">
            <v>MARCH</v>
          </cell>
          <cell r="C377">
            <v>36951</v>
          </cell>
          <cell r="D377">
            <v>37316</v>
          </cell>
          <cell r="E377">
            <v>37288</v>
          </cell>
          <cell r="H377" t="str">
            <v>Q2 FY01</v>
          </cell>
          <cell r="I377" t="str">
            <v>Q2 FY02</v>
          </cell>
          <cell r="J377" t="str">
            <v>Q1 FY02</v>
          </cell>
        </row>
        <row r="378">
          <cell r="A378">
            <v>7</v>
          </cell>
          <cell r="B378" t="str">
            <v>APRIL</v>
          </cell>
          <cell r="C378">
            <v>36982</v>
          </cell>
          <cell r="D378">
            <v>37347</v>
          </cell>
          <cell r="E378">
            <v>37316</v>
          </cell>
          <cell r="H378" t="str">
            <v>Q3 FY01</v>
          </cell>
          <cell r="I378" t="str">
            <v>Q3 FY02</v>
          </cell>
          <cell r="J378" t="str">
            <v>Q2 FY02</v>
          </cell>
        </row>
        <row r="379">
          <cell r="A379">
            <v>8</v>
          </cell>
          <cell r="B379" t="str">
            <v>MAY</v>
          </cell>
          <cell r="C379">
            <v>37012</v>
          </cell>
          <cell r="D379">
            <v>37377</v>
          </cell>
          <cell r="E379">
            <v>37347</v>
          </cell>
          <cell r="H379" t="str">
            <v>Q3 FY01</v>
          </cell>
          <cell r="I379" t="str">
            <v>Q3 FY02</v>
          </cell>
          <cell r="J379" t="str">
            <v>Q2 FY02</v>
          </cell>
        </row>
        <row r="380">
          <cell r="A380">
            <v>9</v>
          </cell>
          <cell r="B380" t="str">
            <v>JUNE</v>
          </cell>
          <cell r="C380">
            <v>37043</v>
          </cell>
          <cell r="D380">
            <v>37408</v>
          </cell>
          <cell r="E380">
            <v>37377</v>
          </cell>
          <cell r="H380" t="str">
            <v>Q3 FY01</v>
          </cell>
          <cell r="I380" t="str">
            <v>Q3 FY02</v>
          </cell>
          <cell r="J380" t="str">
            <v>Q2 FY02</v>
          </cell>
        </row>
        <row r="381">
          <cell r="A381">
            <v>10</v>
          </cell>
          <cell r="B381" t="str">
            <v>JULY</v>
          </cell>
          <cell r="C381">
            <v>37073</v>
          </cell>
          <cell r="D381">
            <v>37438</v>
          </cell>
          <cell r="E381">
            <v>37408</v>
          </cell>
          <cell r="H381" t="str">
            <v>Q4 FY01</v>
          </cell>
          <cell r="I381" t="str">
            <v>Q4 FY02</v>
          </cell>
          <cell r="J381" t="str">
            <v>Q3 FY02</v>
          </cell>
        </row>
        <row r="382">
          <cell r="A382">
            <v>11</v>
          </cell>
          <cell r="B382" t="str">
            <v>AUGUST</v>
          </cell>
          <cell r="C382">
            <v>37104</v>
          </cell>
          <cell r="D382">
            <v>37469</v>
          </cell>
          <cell r="E382">
            <v>37438</v>
          </cell>
          <cell r="H382" t="str">
            <v>Q4 FY01</v>
          </cell>
          <cell r="I382" t="str">
            <v>Q4 FY02</v>
          </cell>
          <cell r="J382" t="str">
            <v>Q3 FY02</v>
          </cell>
        </row>
        <row r="383">
          <cell r="A383">
            <v>12</v>
          </cell>
          <cell r="B383" t="str">
            <v>SEPTEMBER</v>
          </cell>
          <cell r="C383">
            <v>37135</v>
          </cell>
          <cell r="D383">
            <v>37500</v>
          </cell>
          <cell r="E383">
            <v>37469</v>
          </cell>
          <cell r="H383" t="str">
            <v>Q4 FY01</v>
          </cell>
          <cell r="I383" t="str">
            <v>Q4 FY02</v>
          </cell>
          <cell r="J383" t="str">
            <v>Q3 FY02</v>
          </cell>
        </row>
        <row r="385">
          <cell r="B385" t="str">
            <v>San Fu Switch</v>
          </cell>
        </row>
        <row r="386">
          <cell r="B386">
            <v>1</v>
          </cell>
          <cell r="C386">
            <v>1</v>
          </cell>
          <cell r="D386" t="str">
            <v>(Excludes San Fu Consolidation Effects)</v>
          </cell>
        </row>
        <row r="387">
          <cell r="A387">
            <v>1</v>
          </cell>
          <cell r="B387" t="str">
            <v>EXCLUDE SAN FU BUSINESS</v>
          </cell>
        </row>
        <row r="388">
          <cell r="A388">
            <v>2</v>
          </cell>
          <cell r="B388" t="str">
            <v>INCLUDE SAN FU BUSINESS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6">
          <cell r="C6" t="str">
            <v>HOMETOWN - WF6 FLUORINE TECH / CP</v>
          </cell>
          <cell r="W6" t="str">
            <v>HOMETOWN - WF6 FLUORINE TECH / CP</v>
          </cell>
        </row>
        <row r="7">
          <cell r="C7" t="str">
            <v>NATURAL SPENDING EXPENSE REPORT</v>
          </cell>
          <cell r="W7" t="str">
            <v>NATURAL SPENDING UNIT COST REPORT</v>
          </cell>
        </row>
        <row r="8">
          <cell r="C8" t="str">
            <v>FY02 ACTUAL</v>
          </cell>
          <cell r="W8" t="str">
            <v>FY02 ACTUAL</v>
          </cell>
        </row>
        <row r="11">
          <cell r="T11" t="str">
            <v>TOTAL</v>
          </cell>
          <cell r="AN11" t="str">
            <v>TOTAL</v>
          </cell>
        </row>
        <row r="12">
          <cell r="D12" t="str">
            <v>Oct-2001</v>
          </cell>
          <cell r="E12" t="str">
            <v>Nov-2001</v>
          </cell>
          <cell r="F12" t="str">
            <v>Dec-2001</v>
          </cell>
          <cell r="G12" t="str">
            <v>Q1 FY02</v>
          </cell>
          <cell r="H12" t="str">
            <v>Jan-2002</v>
          </cell>
          <cell r="I12" t="str">
            <v>Feb-2002</v>
          </cell>
          <cell r="J12" t="str">
            <v>Mar-2002</v>
          </cell>
          <cell r="K12" t="str">
            <v>Q2 FY02</v>
          </cell>
          <cell r="L12" t="str">
            <v>Apr-2002</v>
          </cell>
          <cell r="M12" t="str">
            <v>May-2002</v>
          </cell>
          <cell r="N12" t="str">
            <v>Jun-2002</v>
          </cell>
          <cell r="O12" t="str">
            <v>Q3 FY02</v>
          </cell>
          <cell r="P12" t="str">
            <v>Jul-2002</v>
          </cell>
          <cell r="Q12" t="str">
            <v>Aug-2002</v>
          </cell>
          <cell r="R12" t="str">
            <v>Sep-2002</v>
          </cell>
          <cell r="S12" t="str">
            <v>Q4 FY02</v>
          </cell>
          <cell r="T12" t="str">
            <v>YTD</v>
          </cell>
          <cell r="X12" t="str">
            <v>Oct-2001</v>
          </cell>
          <cell r="Y12" t="str">
            <v>Nov-2001</v>
          </cell>
          <cell r="Z12" t="str">
            <v>Dec-2001</v>
          </cell>
          <cell r="AA12" t="str">
            <v>Q1 FY02</v>
          </cell>
          <cell r="AB12" t="str">
            <v>Jan-2002</v>
          </cell>
          <cell r="AC12" t="str">
            <v>Feb-2002</v>
          </cell>
          <cell r="AD12" t="str">
            <v>Mar-2002</v>
          </cell>
          <cell r="AE12" t="str">
            <v>Q2 FY02</v>
          </cell>
          <cell r="AF12" t="str">
            <v>Apr-2002</v>
          </cell>
          <cell r="AG12" t="str">
            <v>May-2002</v>
          </cell>
          <cell r="AH12" t="str">
            <v>Jun-2002</v>
          </cell>
          <cell r="AI12" t="str">
            <v>Q3 FY02</v>
          </cell>
          <cell r="AJ12" t="str">
            <v>Jul-2002</v>
          </cell>
          <cell r="AK12" t="str">
            <v>Aug-2002</v>
          </cell>
          <cell r="AL12" t="str">
            <v>Sep-2002</v>
          </cell>
          <cell r="AM12" t="str">
            <v>Q4 FY02</v>
          </cell>
          <cell r="AN12" t="str">
            <v>YTD</v>
          </cell>
        </row>
        <row r="15">
          <cell r="C15" t="str">
            <v>PRODUCED VOLUME</v>
          </cell>
          <cell r="D15">
            <v>9934</v>
          </cell>
          <cell r="E15">
            <v>10190</v>
          </cell>
          <cell r="F15">
            <v>10380</v>
          </cell>
          <cell r="G15">
            <v>30504</v>
          </cell>
          <cell r="H15">
            <v>13658</v>
          </cell>
          <cell r="I15">
            <v>15240</v>
          </cell>
          <cell r="J15">
            <v>14124</v>
          </cell>
          <cell r="K15">
            <v>43022</v>
          </cell>
          <cell r="L15">
            <v>12550</v>
          </cell>
          <cell r="M15">
            <v>16496</v>
          </cell>
          <cell r="N15">
            <v>26096</v>
          </cell>
          <cell r="O15">
            <v>55142</v>
          </cell>
          <cell r="P15">
            <v>30609</v>
          </cell>
          <cell r="Q15">
            <v>26152</v>
          </cell>
          <cell r="R15">
            <v>6768</v>
          </cell>
          <cell r="S15">
            <v>63529</v>
          </cell>
          <cell r="T15">
            <v>192197</v>
          </cell>
          <cell r="W15" t="str">
            <v>PRODUCED VOLUME</v>
          </cell>
          <cell r="X15">
            <v>9934</v>
          </cell>
          <cell r="Y15">
            <v>10190</v>
          </cell>
          <cell r="Z15">
            <v>10380</v>
          </cell>
          <cell r="AA15">
            <v>30504</v>
          </cell>
          <cell r="AB15">
            <v>13658</v>
          </cell>
          <cell r="AC15">
            <v>15240</v>
          </cell>
          <cell r="AD15">
            <v>14124</v>
          </cell>
          <cell r="AE15">
            <v>43022</v>
          </cell>
          <cell r="AF15">
            <v>12550</v>
          </cell>
          <cell r="AG15">
            <v>16496</v>
          </cell>
          <cell r="AH15">
            <v>26096</v>
          </cell>
          <cell r="AI15">
            <v>55142</v>
          </cell>
          <cell r="AJ15">
            <v>30609</v>
          </cell>
          <cell r="AK15">
            <v>26152</v>
          </cell>
          <cell r="AL15">
            <v>6768</v>
          </cell>
          <cell r="AM15">
            <v>63529</v>
          </cell>
          <cell r="AN15">
            <v>192197</v>
          </cell>
        </row>
        <row r="17">
          <cell r="C17" t="str">
            <v>PURCHASED - POWER</v>
          </cell>
          <cell r="D17">
            <v>7355</v>
          </cell>
          <cell r="E17">
            <v>7452</v>
          </cell>
          <cell r="F17">
            <v>8252</v>
          </cell>
          <cell r="G17">
            <v>23059</v>
          </cell>
          <cell r="H17">
            <v>9127</v>
          </cell>
          <cell r="I17">
            <v>11134</v>
          </cell>
          <cell r="J17">
            <v>8435</v>
          </cell>
          <cell r="K17">
            <v>28696</v>
          </cell>
          <cell r="L17">
            <v>9674</v>
          </cell>
          <cell r="M17">
            <v>8527</v>
          </cell>
          <cell r="N17">
            <v>8714</v>
          </cell>
          <cell r="O17">
            <v>26915</v>
          </cell>
          <cell r="P17">
            <v>9068</v>
          </cell>
          <cell r="Q17">
            <v>7762</v>
          </cell>
          <cell r="R17">
            <v>7056</v>
          </cell>
          <cell r="S17">
            <v>23886</v>
          </cell>
          <cell r="T17">
            <v>102556</v>
          </cell>
          <cell r="W17" t="str">
            <v>PURCHASED - POWER</v>
          </cell>
          <cell r="X17">
            <v>0.74038655123817199</v>
          </cell>
          <cell r="Y17">
            <v>0.7313052011776251</v>
          </cell>
          <cell r="Z17">
            <v>0.79499036608863194</v>
          </cell>
          <cell r="AA17">
            <v>0.75593364804615792</v>
          </cell>
          <cell r="AB17">
            <v>0.66825303851222728</v>
          </cell>
          <cell r="AC17">
            <v>0.73057742782152235</v>
          </cell>
          <cell r="AD17">
            <v>0.59721042197677709</v>
          </cell>
          <cell r="AE17">
            <v>0.66700757751847894</v>
          </cell>
          <cell r="AF17">
            <v>0.77083665338645413</v>
          </cell>
          <cell r="AG17">
            <v>0.51691319107662459</v>
          </cell>
          <cell r="AH17">
            <v>0.33392090741876151</v>
          </cell>
          <cell r="AI17">
            <v>0.48810344202241485</v>
          </cell>
          <cell r="AJ17">
            <v>0.29625273612336239</v>
          </cell>
          <cell r="AK17">
            <v>0.29680330376261854</v>
          </cell>
          <cell r="AL17">
            <v>1.0425531914893618</v>
          </cell>
          <cell r="AM17">
            <v>0.37598577027814067</v>
          </cell>
          <cell r="AN17">
            <v>0.53359833920404587</v>
          </cell>
        </row>
        <row r="18">
          <cell r="C18" t="str">
            <v>PURCHASED WATER</v>
          </cell>
          <cell r="D18">
            <v>25</v>
          </cell>
          <cell r="E18">
            <v>23</v>
          </cell>
          <cell r="F18">
            <v>34</v>
          </cell>
          <cell r="G18">
            <v>82</v>
          </cell>
          <cell r="H18">
            <v>32</v>
          </cell>
          <cell r="I18">
            <v>48</v>
          </cell>
          <cell r="J18">
            <v>45</v>
          </cell>
          <cell r="K18">
            <v>125</v>
          </cell>
          <cell r="L18">
            <v>51</v>
          </cell>
          <cell r="M18">
            <v>33</v>
          </cell>
          <cell r="N18">
            <v>62</v>
          </cell>
          <cell r="O18">
            <v>146</v>
          </cell>
          <cell r="P18">
            <v>40</v>
          </cell>
          <cell r="Q18">
            <v>62</v>
          </cell>
          <cell r="R18">
            <v>33</v>
          </cell>
          <cell r="S18">
            <v>135</v>
          </cell>
          <cell r="T18">
            <v>488</v>
          </cell>
          <cell r="W18" t="str">
            <v>PURCHASED WATER</v>
          </cell>
          <cell r="X18">
            <v>2.5166096235152004E-3</v>
          </cell>
          <cell r="Y18">
            <v>2.2571148184494603E-3</v>
          </cell>
          <cell r="Z18">
            <v>3.2755298651252407E-3</v>
          </cell>
          <cell r="AA18">
            <v>2.6881720430107529E-3</v>
          </cell>
          <cell r="AB18">
            <v>2.3429491872895007E-3</v>
          </cell>
          <cell r="AC18">
            <v>3.1496062992125984E-3</v>
          </cell>
          <cell r="AD18">
            <v>3.1860662701784196E-3</v>
          </cell>
          <cell r="AE18">
            <v>2.9054902143089583E-3</v>
          </cell>
          <cell r="AF18">
            <v>4.0637450199203186E-3</v>
          </cell>
          <cell r="AG18">
            <v>2.0004849660523764E-3</v>
          </cell>
          <cell r="AH18">
            <v>2.3758430410790927E-3</v>
          </cell>
          <cell r="AI18">
            <v>2.6477095498893765E-3</v>
          </cell>
          <cell r="AJ18">
            <v>1.3068051880165965E-3</v>
          </cell>
          <cell r="AK18">
            <v>2.3707555827470173E-3</v>
          </cell>
          <cell r="AL18">
            <v>4.8758865248226951E-3</v>
          </cell>
          <cell r="AM18">
            <v>2.1250137732374192E-3</v>
          </cell>
          <cell r="AN18">
            <v>2.5390614837900696E-3</v>
          </cell>
        </row>
        <row r="19">
          <cell r="C19" t="str">
            <v>PURCHASED HEATING FUEL</v>
          </cell>
          <cell r="D19">
            <v>1355</v>
          </cell>
          <cell r="E19">
            <v>1395</v>
          </cell>
          <cell r="F19">
            <v>6112</v>
          </cell>
          <cell r="G19">
            <v>8862</v>
          </cell>
          <cell r="H19">
            <v>14297</v>
          </cell>
          <cell r="I19">
            <v>3310</v>
          </cell>
          <cell r="J19">
            <v>7950</v>
          </cell>
          <cell r="K19">
            <v>25557</v>
          </cell>
          <cell r="L19">
            <v>6295</v>
          </cell>
          <cell r="M19">
            <v>1351</v>
          </cell>
          <cell r="N19">
            <v>-114</v>
          </cell>
          <cell r="O19">
            <v>7532</v>
          </cell>
          <cell r="P19">
            <v>-474</v>
          </cell>
          <cell r="Q19">
            <v>2332</v>
          </cell>
          <cell r="R19">
            <v>-273</v>
          </cell>
          <cell r="S19">
            <v>1585</v>
          </cell>
          <cell r="T19">
            <v>43536</v>
          </cell>
          <cell r="W19" t="str">
            <v>PURCHASED HEATING FUEL</v>
          </cell>
          <cell r="X19">
            <v>0.13640024159452385</v>
          </cell>
          <cell r="Y19">
            <v>0.13689892051030422</v>
          </cell>
          <cell r="Z19">
            <v>0.58882466281310208</v>
          </cell>
          <cell r="AA19">
            <v>0.29051927616050355</v>
          </cell>
          <cell r="AB19">
            <v>1.0467857665836873</v>
          </cell>
          <cell r="AC19">
            <v>0.21719160104986876</v>
          </cell>
          <cell r="AD19">
            <v>0.56287170773152084</v>
          </cell>
          <cell r="AE19">
            <v>0.59404490725675241</v>
          </cell>
          <cell r="AF19">
            <v>0.50159362549800801</v>
          </cell>
          <cell r="AG19">
            <v>8.1898642095053348E-2</v>
          </cell>
          <cell r="AH19">
            <v>-4.3684855916615575E-3</v>
          </cell>
          <cell r="AI19">
            <v>0.13659279677922453</v>
          </cell>
          <cell r="AJ19">
            <v>-1.5485641477996668E-2</v>
          </cell>
          <cell r="AK19">
            <v>8.9171000305903941E-2</v>
          </cell>
          <cell r="AL19">
            <v>-4.0336879432624116E-2</v>
          </cell>
          <cell r="AM19">
            <v>2.4949235782083773E-2</v>
          </cell>
          <cell r="AN19">
            <v>0.22651758352107473</v>
          </cell>
        </row>
        <row r="20">
          <cell r="C20" t="str">
            <v>PURCHASED STEAM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W20" t="str">
            <v>PURCHASED STEAM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C21" t="str">
            <v>PURCH POWER - DEMAND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W21" t="str">
            <v>PURCH POWER - DEMAND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C22" t="str">
            <v>PURCH POWER - ENERGY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W22" t="str">
            <v>PURCH POWER - ENERGY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C23" t="str">
            <v>SEWER RENTAL</v>
          </cell>
          <cell r="D23">
            <v>0</v>
          </cell>
          <cell r="E23">
            <v>0</v>
          </cell>
          <cell r="F23">
            <v>1523</v>
          </cell>
          <cell r="G23">
            <v>1523</v>
          </cell>
          <cell r="H23">
            <v>1615</v>
          </cell>
          <cell r="I23">
            <v>104</v>
          </cell>
          <cell r="J23">
            <v>-4</v>
          </cell>
          <cell r="K23">
            <v>1715</v>
          </cell>
          <cell r="L23">
            <v>1576</v>
          </cell>
          <cell r="M23">
            <v>-17</v>
          </cell>
          <cell r="N23">
            <v>-19</v>
          </cell>
          <cell r="O23">
            <v>1540</v>
          </cell>
          <cell r="P23">
            <v>1676</v>
          </cell>
          <cell r="Q23">
            <v>-28</v>
          </cell>
          <cell r="R23">
            <v>150</v>
          </cell>
          <cell r="S23">
            <v>1798</v>
          </cell>
          <cell r="T23">
            <v>6576</v>
          </cell>
          <cell r="W23" t="str">
            <v>SEWER RENTAL</v>
          </cell>
          <cell r="X23">
            <v>0</v>
          </cell>
          <cell r="Y23">
            <v>0</v>
          </cell>
          <cell r="Z23">
            <v>0.14672447013487475</v>
          </cell>
          <cell r="AA23">
            <v>4.9927878311041174E-2</v>
          </cell>
          <cell r="AB23">
            <v>0.11824571679601699</v>
          </cell>
          <cell r="AC23">
            <v>6.8241469816272965E-3</v>
          </cell>
          <cell r="AD23">
            <v>-2.8320589068252618E-4</v>
          </cell>
          <cell r="AE23">
            <v>3.9863325740318908E-2</v>
          </cell>
          <cell r="AF23">
            <v>0.1255776892430279</v>
          </cell>
          <cell r="AG23">
            <v>-1.030552861299709E-3</v>
          </cell>
          <cell r="AH23">
            <v>-7.2808093194359292E-4</v>
          </cell>
          <cell r="AI23">
            <v>2.7927895252257806E-2</v>
          </cell>
          <cell r="AJ23">
            <v>5.4755137377895391E-2</v>
          </cell>
          <cell r="AK23">
            <v>-1.0706638115631692E-3</v>
          </cell>
          <cell r="AL23">
            <v>2.2163120567375887E-2</v>
          </cell>
          <cell r="AM23">
            <v>2.8302035290969477E-2</v>
          </cell>
          <cell r="AN23">
            <v>3.4214894093039953E-2</v>
          </cell>
        </row>
        <row r="24">
          <cell r="C24" t="str">
            <v>POWER CREDITS FROM UTILITIES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W24" t="str">
            <v>POWER CREDITS FROM UTILITIES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C25" t="str">
            <v>HYDROCARBON COSTS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W25" t="str">
            <v>HYDROCARBON COSTS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C26" t="str">
            <v>PURCHASED INSTRUMENT GAS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W26" t="str">
            <v>PURCHASED INSTRUMENT GAS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C27" t="str">
            <v>FUEL COST TRANSFER OUT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W27" t="str">
            <v>FUEL COST TRANSFER OUT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C28" t="str">
            <v>BY-PRODUCT FUEL TRANSFER OUT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W28" t="str">
            <v>BY-PRODUCT FUEL TRANSFER OUT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C29" t="str">
            <v>HPVOH BY-PROD CONDENSATE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W29" t="str">
            <v>HPVOH BY-PROD CONDENSATE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C30" t="str">
            <v>HYDROGEN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W30" t="str">
            <v>HYDROGEN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C31" t="str">
            <v>ELECTRICITY-PURCHASED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W31" t="str">
            <v>ELECTRICITY-PURCHASED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C32" t="str">
            <v>PURCHASED WATER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W32" t="str">
            <v>PURCHASED WATER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C33" t="str">
            <v>FUEL-PURCHASED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W33" t="str">
            <v>FUEL-PURCHASED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C34" t="str">
            <v>COAL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W34" t="str">
            <v>COAL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C35" t="str">
            <v>FUEL COST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W35" t="str">
            <v>FUEL COST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C36" t="str">
            <v>PROCESSABLE WASTE COAL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W36" t="str">
            <v>PROCESSABLE WASTE COAL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C37" t="str">
            <v>PROPANE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W37" t="str">
            <v>PROPANE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C38" t="str">
            <v>STEAM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 t="str">
            <v>STEAM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C39" t="str">
            <v>FUEL INTERRUPTIBLE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W39" t="str">
            <v>FUEL INTERRUPTIBLE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C40" t="str">
            <v>BY-PRODUCT FUEL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W40" t="str">
            <v>BY-PRODUCT FUEL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C41" t="str">
            <v>DIESEL OIL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W41" t="str">
            <v>DIESEL OIL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</row>
        <row r="42">
          <cell r="C42" t="str">
            <v>GASOLINE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W42" t="str">
            <v>GASOLINE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C43" t="str">
            <v>PRICE VAR-ELECTRICITY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W43" t="str">
            <v>PRICE VAR-ELECTRICITY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C44" t="str">
            <v>PRICE VAR-FUEL IN STEAM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W44" t="str">
            <v>PRICE VAR-FUEL IN STEAM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C45" t="str">
            <v>PRICE VAR-FUEL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W45" t="str">
            <v>PRICE VAR-FUEL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C46" t="str">
            <v>PRICE VAR-COAL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W46" t="str">
            <v>PRICE VAR-COAL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C47" t="str">
            <v>PRICE VAR-FUEL OIL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W47" t="str">
            <v>PRICE VAR-FUEL OIL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C48" t="str">
            <v>PRICE VAR-PURCH STEAM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W48" t="str">
            <v>PRICE VAR-PURCH STEAM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</row>
        <row r="49">
          <cell r="C49" t="str">
            <v>PRICE VAR-FUEL INTERRUPTIBLE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 t="str">
            <v>PRICE VAR-FUEL INTERRUPTIBLE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C50" t="str">
            <v>FUEL COSTS TRF IN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W50" t="str">
            <v>FUEL COSTS TRF IN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</row>
        <row r="51">
          <cell r="C51" t="str">
            <v>BY-PRODUCT FUEL TRF IN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W51" t="str">
            <v>BY-PRODUCT FUEL TRF IN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2">
          <cell r="C52" t="str">
            <v>BY-PRODUCT STEAM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W52" t="str">
            <v>BY-PRODUCT STEAM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C53" t="str">
            <v>PURGE EXPENSE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W53" t="str">
            <v>PURGE EXPENSE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C54" t="str">
            <v>PURGE PRICE VARIANCE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W54" t="str">
            <v>PURGE PRICE VARIANCE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C55" t="str">
            <v>TOTAL UTILITIES</v>
          </cell>
          <cell r="D55">
            <v>8735</v>
          </cell>
          <cell r="E55">
            <v>8870</v>
          </cell>
          <cell r="F55">
            <v>15921</v>
          </cell>
          <cell r="G55">
            <v>33526</v>
          </cell>
          <cell r="H55">
            <v>25071</v>
          </cell>
          <cell r="I55">
            <v>14596</v>
          </cell>
          <cell r="J55">
            <v>16426</v>
          </cell>
          <cell r="K55">
            <v>56093</v>
          </cell>
          <cell r="L55">
            <v>17596</v>
          </cell>
          <cell r="M55">
            <v>9894</v>
          </cell>
          <cell r="N55">
            <v>8643</v>
          </cell>
          <cell r="O55">
            <v>36133</v>
          </cell>
          <cell r="P55">
            <v>10310</v>
          </cell>
          <cell r="Q55">
            <v>10128</v>
          </cell>
          <cell r="R55">
            <v>6966</v>
          </cell>
          <cell r="S55">
            <v>27404</v>
          </cell>
          <cell r="T55">
            <v>153156</v>
          </cell>
          <cell r="W55" t="str">
            <v>TOTAL UTILITIES</v>
          </cell>
          <cell r="X55">
            <v>0.87930340245621097</v>
          </cell>
          <cell r="Y55">
            <v>0.87046123650637885</v>
          </cell>
          <cell r="Z55">
            <v>1.533815028901734</v>
          </cell>
          <cell r="AA55">
            <v>1.0990689745607134</v>
          </cell>
          <cell r="AB55">
            <v>1.8356274710792209</v>
          </cell>
          <cell r="AC55">
            <v>0.95774278215223096</v>
          </cell>
          <cell r="AD55">
            <v>1.1629849900877938</v>
          </cell>
          <cell r="AE55">
            <v>1.3038213007298591</v>
          </cell>
          <cell r="AF55">
            <v>1.4020717131474103</v>
          </cell>
          <cell r="AG55">
            <v>0.59978176527643068</v>
          </cell>
          <cell r="AH55">
            <v>0.33120018393623546</v>
          </cell>
          <cell r="AI55">
            <v>0.65527184360378654</v>
          </cell>
          <cell r="AJ55">
            <v>0.33682903721127772</v>
          </cell>
          <cell r="AK55">
            <v>0.38727439583970635</v>
          </cell>
          <cell r="AL55">
            <v>1.0292553191489362</v>
          </cell>
          <cell r="AM55">
            <v>0.43136205512443138</v>
          </cell>
          <cell r="AN55">
            <v>0.79686987830195055</v>
          </cell>
        </row>
        <row r="56"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H56" t="str">
            <v xml:space="preserve"> </v>
          </cell>
          <cell r="I56" t="str">
            <v xml:space="preserve"> </v>
          </cell>
          <cell r="J56" t="str">
            <v xml:space="preserve"> </v>
          </cell>
          <cell r="K56" t="str">
            <v xml:space="preserve"> </v>
          </cell>
          <cell r="L56" t="str">
            <v xml:space="preserve"> </v>
          </cell>
          <cell r="M56" t="str">
            <v xml:space="preserve"> 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</row>
        <row r="57">
          <cell r="C57" t="str">
            <v>DIRECT LABOR-PRODUCTIVE</v>
          </cell>
          <cell r="D57">
            <v>682</v>
          </cell>
          <cell r="E57">
            <v>2909</v>
          </cell>
          <cell r="F57">
            <v>1580</v>
          </cell>
          <cell r="G57">
            <v>5171</v>
          </cell>
          <cell r="H57">
            <v>2377</v>
          </cell>
          <cell r="I57">
            <v>2725</v>
          </cell>
          <cell r="J57">
            <v>1408</v>
          </cell>
          <cell r="K57">
            <v>6510</v>
          </cell>
          <cell r="L57">
            <v>3175</v>
          </cell>
          <cell r="M57">
            <v>2612</v>
          </cell>
          <cell r="N57">
            <v>1427</v>
          </cell>
          <cell r="O57">
            <v>7214</v>
          </cell>
          <cell r="P57">
            <v>2453</v>
          </cell>
          <cell r="Q57">
            <v>2726</v>
          </cell>
          <cell r="R57">
            <v>2571</v>
          </cell>
          <cell r="S57">
            <v>7750</v>
          </cell>
          <cell r="T57">
            <v>26645</v>
          </cell>
          <cell r="W57" t="str">
            <v>DIRECT LABOR-PRODUCTIVE</v>
          </cell>
          <cell r="X57">
            <v>6.865311052949466E-2</v>
          </cell>
          <cell r="Y57">
            <v>0.28547595682041216</v>
          </cell>
          <cell r="Z57">
            <v>0.15221579961464354</v>
          </cell>
          <cell r="AA57">
            <v>0.1695187516391293</v>
          </cell>
          <cell r="AB57">
            <v>0.17403719431834822</v>
          </cell>
          <cell r="AC57">
            <v>0.17880577427821523</v>
          </cell>
          <cell r="AD57">
            <v>9.9688473520249218E-2</v>
          </cell>
          <cell r="AE57">
            <v>0.15131793036121055</v>
          </cell>
          <cell r="AF57">
            <v>0.25298804780876494</v>
          </cell>
          <cell r="AG57">
            <v>0.15834141610087293</v>
          </cell>
          <cell r="AH57">
            <v>5.4682709993868789E-2</v>
          </cell>
          <cell r="AI57">
            <v>0.13082586775960248</v>
          </cell>
          <cell r="AJ57">
            <v>8.0139828155117776E-2</v>
          </cell>
          <cell r="AK57">
            <v>0.10423676965432854</v>
          </cell>
          <cell r="AL57">
            <v>0.37987588652482268</v>
          </cell>
          <cell r="AM57">
            <v>0.12199153142659258</v>
          </cell>
          <cell r="AN57">
            <v>0.13863379761390657</v>
          </cell>
        </row>
        <row r="58">
          <cell r="C58" t="str">
            <v>DIRECT LABOR REWORK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W58" t="str">
            <v>DIRECT LABOR REWORK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C59" t="str">
            <v>DIRECT LABOR - TRAINING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W59" t="str">
            <v>DIRECT LABOR - TRAINING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C60" t="str">
            <v>DIRECT LABOR - OTHER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W60" t="str">
            <v>DIRECT LABOR - OTHER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C61" t="str">
            <v>DIRECT LABOR TRANSFER OUT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W61" t="str">
            <v>DIRECT LABOR TRANSFER OUT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C62" t="str">
            <v>INTERDEPT W.O. LABOR</v>
          </cell>
          <cell r="D62">
            <v>13911</v>
          </cell>
          <cell r="E62">
            <v>14678</v>
          </cell>
          <cell r="F62">
            <v>8766</v>
          </cell>
          <cell r="G62">
            <v>37355</v>
          </cell>
          <cell r="H62">
            <v>12967</v>
          </cell>
          <cell r="I62">
            <v>26468</v>
          </cell>
          <cell r="J62">
            <v>20347</v>
          </cell>
          <cell r="K62">
            <v>59782</v>
          </cell>
          <cell r="L62">
            <v>15193</v>
          </cell>
          <cell r="M62">
            <v>15091</v>
          </cell>
          <cell r="N62">
            <v>9970</v>
          </cell>
          <cell r="O62">
            <v>40254</v>
          </cell>
          <cell r="P62">
            <v>16199</v>
          </cell>
          <cell r="Q62">
            <v>12918</v>
          </cell>
          <cell r="R62">
            <v>14561</v>
          </cell>
          <cell r="S62">
            <v>43678</v>
          </cell>
          <cell r="T62">
            <v>181069</v>
          </cell>
          <cell r="W62" t="str">
            <v>INTERDEPT W.O. LABOR</v>
          </cell>
          <cell r="X62">
            <v>1.4003422589087982</v>
          </cell>
          <cell r="Y62">
            <v>1.4404317958783122</v>
          </cell>
          <cell r="Z62">
            <v>0.84450867052023126</v>
          </cell>
          <cell r="AA62">
            <v>1.2245934959349594</v>
          </cell>
          <cell r="AB62">
            <v>0.94940694098696732</v>
          </cell>
          <cell r="AC62">
            <v>1.736745406824147</v>
          </cell>
          <cell r="AD62">
            <v>1.4405975644293401</v>
          </cell>
          <cell r="AE62">
            <v>1.3895681279345451</v>
          </cell>
          <cell r="AF62">
            <v>1.210597609561753</v>
          </cell>
          <cell r="AG62">
            <v>0.91482783705140636</v>
          </cell>
          <cell r="AH62">
            <v>0.38205088902513795</v>
          </cell>
          <cell r="AI62">
            <v>0.73000616589895184</v>
          </cell>
          <cell r="AJ62">
            <v>0.52922343101702118</v>
          </cell>
          <cell r="AK62">
            <v>0.49395839706332212</v>
          </cell>
          <cell r="AL62">
            <v>2.1514479905437351</v>
          </cell>
          <cell r="AM62">
            <v>0.68752853027751104</v>
          </cell>
          <cell r="AN62">
            <v>0.94210107337783633</v>
          </cell>
        </row>
        <row r="63">
          <cell r="C63" t="str">
            <v>OPERATING LABOR</v>
          </cell>
          <cell r="D63">
            <v>30918</v>
          </cell>
          <cell r="E63">
            <v>18168</v>
          </cell>
          <cell r="F63">
            <v>27256</v>
          </cell>
          <cell r="G63">
            <v>76342</v>
          </cell>
          <cell r="H63">
            <v>35419</v>
          </cell>
          <cell r="I63">
            <v>24728</v>
          </cell>
          <cell r="J63">
            <v>32988</v>
          </cell>
          <cell r="K63">
            <v>93135</v>
          </cell>
          <cell r="L63">
            <v>34548</v>
          </cell>
          <cell r="M63">
            <v>31850</v>
          </cell>
          <cell r="N63">
            <v>38670</v>
          </cell>
          <cell r="O63">
            <v>105068</v>
          </cell>
          <cell r="P63">
            <v>49046</v>
          </cell>
          <cell r="Q63">
            <v>46784</v>
          </cell>
          <cell r="R63">
            <v>40516</v>
          </cell>
          <cell r="S63">
            <v>136346</v>
          </cell>
          <cell r="T63">
            <v>410891</v>
          </cell>
          <cell r="W63" t="str">
            <v>OPERATING LABOR</v>
          </cell>
          <cell r="X63">
            <v>3.1123414535937184</v>
          </cell>
          <cell r="Y63">
            <v>1.7829244357212954</v>
          </cell>
          <cell r="Z63">
            <v>2.6258188824662811</v>
          </cell>
          <cell r="AA63">
            <v>2.502688172043011</v>
          </cell>
          <cell r="AB63">
            <v>2.5932786645189632</v>
          </cell>
          <cell r="AC63">
            <v>1.6225721784776903</v>
          </cell>
          <cell r="AD63">
            <v>2.3355989804587933</v>
          </cell>
          <cell r="AE63">
            <v>2.1648226488773186</v>
          </cell>
          <cell r="AF63">
            <v>2.7528286852589643</v>
          </cell>
          <cell r="AG63">
            <v>1.9307710960232785</v>
          </cell>
          <cell r="AH63">
            <v>1.4818362967504599</v>
          </cell>
          <cell r="AI63">
            <v>1.9054078560806644</v>
          </cell>
          <cell r="AJ63">
            <v>1.6023391812865497</v>
          </cell>
          <cell r="AK63">
            <v>1.7889262771489751</v>
          </cell>
          <cell r="AL63">
            <v>5.9864066193853427</v>
          </cell>
          <cell r="AM63">
            <v>2.1462009475987345</v>
          </cell>
          <cell r="AN63">
            <v>2.1378637543770194</v>
          </cell>
        </row>
        <row r="64">
          <cell r="C64" t="str">
            <v>CHAINMEN AND CRANEMEN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 t="str">
            <v>CHAINMEN AND CRANEMEN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C65" t="str">
            <v>DEGREASING PKG &amp; PRESERVING LABOR - GOVT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W65" t="str">
            <v>DEGREASING PKG &amp; PRESERVING LABOR - GOVT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C66" t="str">
            <v>DEGREASING PKG &amp; PRESERVING LABOR - COMM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W66" t="str">
            <v>DEGREASING PKG &amp; PRESERVING LABOR - COMM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C67" t="str">
            <v>MATERIAL CLERKS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W67" t="str">
            <v>MATERIAL CLERKS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C68" t="str">
            <v>MATERIAL HANDLING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108</v>
          </cell>
          <cell r="O68">
            <v>108</v>
          </cell>
          <cell r="P68">
            <v>-21</v>
          </cell>
          <cell r="Q68">
            <v>1</v>
          </cell>
          <cell r="R68">
            <v>-1</v>
          </cell>
          <cell r="S68">
            <v>-21</v>
          </cell>
          <cell r="T68">
            <v>87</v>
          </cell>
          <cell r="W68" t="str">
            <v>MATERIAL HANDLING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4.1385652973635802E-3</v>
          </cell>
          <cell r="AI68">
            <v>1.9585796670414566E-3</v>
          </cell>
          <cell r="AJ68">
            <v>-6.860727237087131E-4</v>
          </cell>
          <cell r="AK68">
            <v>3.8237993270113186E-5</v>
          </cell>
          <cell r="AL68">
            <v>-1.4775413711583924E-4</v>
          </cell>
          <cell r="AM68">
            <v>-3.3055769805915409E-4</v>
          </cell>
          <cell r="AN68">
            <v>4.5266055141339354E-4</v>
          </cell>
        </row>
        <row r="69">
          <cell r="C69" t="str">
            <v>UTILITY SERVICES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W69" t="str">
            <v>UTILITY SERVICES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C70" t="str">
            <v>INDIRECT ANALYTICAL LABOR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W70" t="str">
            <v>INDIRECT ANALYTICAL LABOR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C71" t="str">
            <v>INSPECTION AND QUALITY CONTROL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W71" t="str">
            <v>INSPECTION AND QUALITY CONTROL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C72" t="str">
            <v>INDIRECT INSTRUMENTATION LABOR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W72" t="str">
            <v>INDIRECT INSTRUMENTATION LABOR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C73" t="str">
            <v>O-T PREM OPERATING LABOR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W73" t="str">
            <v>O-T PREM OPERATING LABOR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C74" t="str">
            <v>SHIFT PREM OPERATING LABOR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W74" t="str">
            <v>SHIFT PREM OPERATING LABOR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C75" t="str">
            <v>UNION ACTIVITIES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W75" t="str">
            <v>UNION ACTIVITIES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C76" t="str">
            <v>BREAK TIME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W76" t="str">
            <v>BREAK TIME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C77" t="str">
            <v>AWAITING WORK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W77" t="str">
            <v>AWAITING WORK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C78" t="str">
            <v>IDLE TIME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10</v>
          </cell>
          <cell r="R78">
            <v>-1</v>
          </cell>
          <cell r="S78">
            <v>9</v>
          </cell>
          <cell r="T78">
            <v>9</v>
          </cell>
          <cell r="W78" t="str">
            <v>IDLE TIME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3.8237993270113184E-4</v>
          </cell>
          <cell r="AL78">
            <v>-1.4775413711583924E-4</v>
          </cell>
          <cell r="AM78">
            <v>1.4166758488249462E-4</v>
          </cell>
          <cell r="AN78">
            <v>4.6826953594488985E-5</v>
          </cell>
        </row>
        <row r="79">
          <cell r="C79" t="str">
            <v>LABOR - LIGHT DUTY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 t="str">
            <v>LABOR - LIGHT DUTY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C80" t="str">
            <v>DRIVER LABOR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W80" t="str">
            <v>DRIVER LABOR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C81" t="str">
            <v>SET UP LABOR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W81" t="str">
            <v>SET UP LABOR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C82" t="str">
            <v>VEHICLE MECHANIC LABOR - OTHER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W82" t="str">
            <v>VEHICLE MECHANIC LABOR - OTHER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C83" t="str">
            <v>CHANGES &amp; ALTERATIONS LABOR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W83" t="str">
            <v>CHANGES &amp; ALTERATIONS LABOR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C84" t="str">
            <v>PRODUCT REWORK LABOR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W84" t="str">
            <v>PRODUCT REWORK LABOR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C85" t="str">
            <v>TOOLS, JIGS &amp; FIXTURES LABOR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W85" t="str">
            <v>TOOLS, JIGS &amp; FIXTURES LABOR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C86" t="str">
            <v>CO-SPONSORED ACTIVITIES LABOR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W86" t="str">
            <v>CO-SPONSORED ACTIVITIES LABOR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C87" t="str">
            <v>ENGINEERING STANDARDS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W87" t="str">
            <v>ENGINEERING STANDARDS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C88" t="str">
            <v>PROCESS ENGINEERING STANDARDS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W88" t="str">
            <v>PROCESS ENGINEERING STANDARDS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C89" t="str">
            <v>ENG/MFG INTERFACE COMMITTEE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W89" t="str">
            <v>ENG/MFG INTERFACE COMMITTEE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C90" t="str">
            <v>SALES ESTIMATE &amp; BID LABOR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W90" t="str">
            <v>SALES ESTIMATE &amp; BID LABOR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C91" t="str">
            <v>SALES ESTIMATE &amp; BID LABOR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W91" t="str">
            <v>SALES ESTIMATE &amp; BID LABOR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C92" t="str">
            <v>SALES ESTIMATE BID LABOR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W92" t="str">
            <v>SALES ESTIMATE BID LABOR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</row>
        <row r="93">
          <cell r="C93" t="str">
            <v>SALARIES-NON CLERICAL</v>
          </cell>
          <cell r="D93">
            <v>34254</v>
          </cell>
          <cell r="E93">
            <v>26697</v>
          </cell>
          <cell r="F93">
            <v>26482</v>
          </cell>
          <cell r="G93">
            <v>87433</v>
          </cell>
          <cell r="H93">
            <v>29132</v>
          </cell>
          <cell r="I93">
            <v>27850</v>
          </cell>
          <cell r="J93">
            <v>37314</v>
          </cell>
          <cell r="K93">
            <v>94296</v>
          </cell>
          <cell r="L93">
            <v>38996</v>
          </cell>
          <cell r="M93">
            <v>34623</v>
          </cell>
          <cell r="N93">
            <v>29398</v>
          </cell>
          <cell r="O93">
            <v>103017</v>
          </cell>
          <cell r="P93">
            <v>41175</v>
          </cell>
          <cell r="Q93">
            <v>37948</v>
          </cell>
          <cell r="R93">
            <v>33514</v>
          </cell>
          <cell r="S93">
            <v>112637</v>
          </cell>
          <cell r="T93">
            <v>397383</v>
          </cell>
          <cell r="W93" t="str">
            <v>SALARIES-NON CLERICAL</v>
          </cell>
          <cell r="X93">
            <v>3.4481578417555867</v>
          </cell>
          <cell r="Y93">
            <v>2.6199214916584888</v>
          </cell>
          <cell r="Z93">
            <v>2.5512524084778421</v>
          </cell>
          <cell r="AA93">
            <v>2.8662798321531602</v>
          </cell>
          <cell r="AB93">
            <v>2.132962366378679</v>
          </cell>
          <cell r="AC93">
            <v>1.8274278215223096</v>
          </cell>
          <cell r="AD93">
            <v>2.6418861512319456</v>
          </cell>
          <cell r="AE93">
            <v>2.1918088419878203</v>
          </cell>
          <cell r="AF93">
            <v>3.1072509960159365</v>
          </cell>
          <cell r="AG93">
            <v>2.0988724539282249</v>
          </cell>
          <cell r="AH93">
            <v>1.1265328019619865</v>
          </cell>
          <cell r="AI93">
            <v>1.8682129774037939</v>
          </cell>
          <cell r="AJ93">
            <v>1.3451925904145841</v>
          </cell>
          <cell r="AK93">
            <v>1.4510553686142551</v>
          </cell>
          <cell r="AL93">
            <v>4.9518321513002368</v>
          </cell>
          <cell r="AM93">
            <v>1.7730013064899495</v>
          </cell>
          <cell r="AN93">
            <v>2.0675817000265351</v>
          </cell>
        </row>
        <row r="94">
          <cell r="C94" t="str">
            <v>DRIVER SALESMAN SALARIES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W94" t="str">
            <v>DRIVER SALESMAN SALARIES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C95" t="str">
            <v>FOREMEN SALARIES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W95" t="str">
            <v>FOREMEN SALARIES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C96" t="str">
            <v>PROFESSIONAL &amp; TECHNICAL</v>
          </cell>
          <cell r="D96">
            <v>14</v>
          </cell>
          <cell r="E96">
            <v>44</v>
          </cell>
          <cell r="F96">
            <v>43</v>
          </cell>
          <cell r="G96">
            <v>101</v>
          </cell>
          <cell r="H96">
            <v>73</v>
          </cell>
          <cell r="I96">
            <v>80</v>
          </cell>
          <cell r="J96">
            <v>-15</v>
          </cell>
          <cell r="K96">
            <v>138</v>
          </cell>
          <cell r="L96">
            <v>1</v>
          </cell>
          <cell r="M96">
            <v>-1</v>
          </cell>
          <cell r="N96">
            <v>65</v>
          </cell>
          <cell r="O96">
            <v>65</v>
          </cell>
          <cell r="P96">
            <v>67</v>
          </cell>
          <cell r="Q96">
            <v>-10</v>
          </cell>
          <cell r="R96">
            <v>9</v>
          </cell>
          <cell r="S96">
            <v>66</v>
          </cell>
          <cell r="T96">
            <v>370</v>
          </cell>
          <cell r="W96" t="str">
            <v>PROFESSIONAL &amp; TECHNICAL</v>
          </cell>
          <cell r="X96">
            <v>1.4093013891685123E-3</v>
          </cell>
          <cell r="Y96">
            <v>4.3179587831207065E-3</v>
          </cell>
          <cell r="Z96">
            <v>4.1425818882466284E-3</v>
          </cell>
          <cell r="AA96">
            <v>3.3110411749278784E-3</v>
          </cell>
          <cell r="AB96">
            <v>5.3448528335041734E-3</v>
          </cell>
          <cell r="AC96">
            <v>5.2493438320209973E-3</v>
          </cell>
          <cell r="AD96">
            <v>-1.0620220900594733E-3</v>
          </cell>
          <cell r="AE96">
            <v>3.2076611965970898E-3</v>
          </cell>
          <cell r="AF96">
            <v>7.9681274900398409E-5</v>
          </cell>
          <cell r="AG96">
            <v>-6.0620756547041708E-5</v>
          </cell>
          <cell r="AH96">
            <v>2.4908031882280809E-3</v>
          </cell>
          <cell r="AI96">
            <v>1.1787747996082842E-3</v>
          </cell>
          <cell r="AJ96">
            <v>2.1888986899277988E-3</v>
          </cell>
          <cell r="AK96">
            <v>-3.8237993270113184E-4</v>
          </cell>
          <cell r="AL96">
            <v>1.3297872340425532E-3</v>
          </cell>
          <cell r="AM96">
            <v>1.0388956224716272E-3</v>
          </cell>
          <cell r="AN96">
            <v>1.9251080922178807E-3</v>
          </cell>
        </row>
        <row r="97">
          <cell r="C97" t="str">
            <v>QUALITY PROCESS LABOR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W97" t="str">
            <v>QUALITY PROCESS LABOR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</row>
        <row r="98">
          <cell r="C98" t="str">
            <v>MIP ACCRUAL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W98" t="str">
            <v>MIP ACCRUAL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</row>
        <row r="99">
          <cell r="C99" t="str">
            <v>CLERICAL LABOR</v>
          </cell>
          <cell r="D99">
            <v>11342</v>
          </cell>
          <cell r="E99">
            <v>11089</v>
          </cell>
          <cell r="F99">
            <v>10049</v>
          </cell>
          <cell r="G99">
            <v>32480</v>
          </cell>
          <cell r="H99">
            <v>11166</v>
          </cell>
          <cell r="I99">
            <v>5654</v>
          </cell>
          <cell r="J99">
            <v>9730</v>
          </cell>
          <cell r="K99">
            <v>26550</v>
          </cell>
          <cell r="L99">
            <v>11884</v>
          </cell>
          <cell r="M99">
            <v>12505</v>
          </cell>
          <cell r="N99">
            <v>11506</v>
          </cell>
          <cell r="O99">
            <v>35895</v>
          </cell>
          <cell r="P99">
            <v>13760</v>
          </cell>
          <cell r="Q99">
            <v>11397</v>
          </cell>
          <cell r="R99">
            <v>18330</v>
          </cell>
          <cell r="S99">
            <v>43487</v>
          </cell>
          <cell r="T99">
            <v>138412</v>
          </cell>
          <cell r="W99" t="str">
            <v>CLERICAL LABOR</v>
          </cell>
          <cell r="X99">
            <v>1.141735453996376</v>
          </cell>
          <cell r="Y99">
            <v>1.0882237487733071</v>
          </cell>
          <cell r="Z99">
            <v>0.96811175337186894</v>
          </cell>
          <cell r="AA99">
            <v>1.064778389719381</v>
          </cell>
          <cell r="AB99">
            <v>0.81754283203983014</v>
          </cell>
          <cell r="AC99">
            <v>0.37099737532808397</v>
          </cell>
          <cell r="AD99">
            <v>0.68889832908524495</v>
          </cell>
          <cell r="AE99">
            <v>0.61712612151922275</v>
          </cell>
          <cell r="AF99">
            <v>0.9469322709163347</v>
          </cell>
          <cell r="AG99">
            <v>0.7580625606207565</v>
          </cell>
          <cell r="AH99">
            <v>0.44091048436541996</v>
          </cell>
          <cell r="AI99">
            <v>0.65095571433752852</v>
          </cell>
          <cell r="AJ99">
            <v>0.44954098467770914</v>
          </cell>
          <cell r="AK99">
            <v>0.43579840929947994</v>
          </cell>
          <cell r="AL99">
            <v>2.7083333333333335</v>
          </cell>
          <cell r="AM99">
            <v>0.68452202930944928</v>
          </cell>
          <cell r="AN99">
            <v>0.72015692232449002</v>
          </cell>
        </row>
        <row r="100">
          <cell r="C100" t="str">
            <v>SAFETY LABOR ROUTINE</v>
          </cell>
          <cell r="D100">
            <v>83</v>
          </cell>
          <cell r="E100">
            <v>39</v>
          </cell>
          <cell r="F100">
            <v>-9</v>
          </cell>
          <cell r="G100">
            <v>113</v>
          </cell>
          <cell r="H100">
            <v>3</v>
          </cell>
          <cell r="I100">
            <v>56</v>
          </cell>
          <cell r="J100">
            <v>32</v>
          </cell>
          <cell r="K100">
            <v>91</v>
          </cell>
          <cell r="L100">
            <v>28</v>
          </cell>
          <cell r="M100">
            <v>71</v>
          </cell>
          <cell r="N100">
            <v>18</v>
          </cell>
          <cell r="O100">
            <v>117</v>
          </cell>
          <cell r="P100">
            <v>81</v>
          </cell>
          <cell r="Q100">
            <v>7</v>
          </cell>
          <cell r="R100">
            <v>7</v>
          </cell>
          <cell r="S100">
            <v>95</v>
          </cell>
          <cell r="T100">
            <v>416</v>
          </cell>
          <cell r="W100" t="str">
            <v>SAFETY LABOR ROUTINE</v>
          </cell>
          <cell r="X100">
            <v>8.3551439500704656E-3</v>
          </cell>
          <cell r="Y100">
            <v>3.8272816486751718E-3</v>
          </cell>
          <cell r="Z100">
            <v>-8.6705202312138728E-4</v>
          </cell>
          <cell r="AA100">
            <v>3.7044322056123788E-3</v>
          </cell>
          <cell r="AB100">
            <v>2.1965148630839068E-4</v>
          </cell>
          <cell r="AC100">
            <v>3.6745406824146981E-3</v>
          </cell>
          <cell r="AD100">
            <v>2.2656471254602095E-3</v>
          </cell>
          <cell r="AE100">
            <v>2.1151968760169215E-3</v>
          </cell>
          <cell r="AF100">
            <v>2.2310756972111555E-3</v>
          </cell>
          <cell r="AG100">
            <v>4.3040737148399609E-3</v>
          </cell>
          <cell r="AH100">
            <v>6.8976088289393015E-4</v>
          </cell>
          <cell r="AI100">
            <v>2.1217946392949115E-3</v>
          </cell>
          <cell r="AJ100">
            <v>2.6462805057336078E-3</v>
          </cell>
          <cell r="AK100">
            <v>2.6766595289079231E-4</v>
          </cell>
          <cell r="AL100">
            <v>1.0342789598108747E-3</v>
          </cell>
          <cell r="AM100">
            <v>1.4953800626485542E-3</v>
          </cell>
          <cell r="AN100">
            <v>2.1644458550341577E-3</v>
          </cell>
        </row>
        <row r="101">
          <cell r="C101" t="str">
            <v>SAFETY LABOR - OSHA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W101" t="str">
            <v>SAFETY LABOR - OSHA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</row>
        <row r="102">
          <cell r="C102" t="str">
            <v>INSTRUCTION &amp; TRAINING LABOR</v>
          </cell>
          <cell r="D102">
            <v>-5</v>
          </cell>
          <cell r="E102">
            <v>-15</v>
          </cell>
          <cell r="F102">
            <v>6</v>
          </cell>
          <cell r="G102">
            <v>-14</v>
          </cell>
          <cell r="H102">
            <v>113</v>
          </cell>
          <cell r="I102">
            <v>-9</v>
          </cell>
          <cell r="J102">
            <v>-2</v>
          </cell>
          <cell r="K102">
            <v>102</v>
          </cell>
          <cell r="L102">
            <v>-4</v>
          </cell>
          <cell r="M102">
            <v>2</v>
          </cell>
          <cell r="N102">
            <v>3</v>
          </cell>
          <cell r="O102">
            <v>1</v>
          </cell>
          <cell r="P102">
            <v>19</v>
          </cell>
          <cell r="Q102">
            <v>5</v>
          </cell>
          <cell r="R102">
            <v>6</v>
          </cell>
          <cell r="S102">
            <v>30</v>
          </cell>
          <cell r="T102">
            <v>119</v>
          </cell>
          <cell r="W102" t="str">
            <v>INSTRUCTION &amp; TRAINING LABOR</v>
          </cell>
          <cell r="X102">
            <v>-5.0332192470304009E-4</v>
          </cell>
          <cell r="Y102">
            <v>-1.4720314033366045E-3</v>
          </cell>
          <cell r="Z102">
            <v>5.7803468208092489E-4</v>
          </cell>
          <cell r="AA102">
            <v>-4.5895620246525046E-4</v>
          </cell>
          <cell r="AB102">
            <v>8.2735393176160497E-3</v>
          </cell>
          <cell r="AC102">
            <v>-5.905511811023622E-4</v>
          </cell>
          <cell r="AD102">
            <v>-1.4160294534126309E-4</v>
          </cell>
          <cell r="AE102">
            <v>2.37088001487611E-3</v>
          </cell>
          <cell r="AF102">
            <v>-3.1872509960159364E-4</v>
          </cell>
          <cell r="AG102">
            <v>1.2124151309408342E-4</v>
          </cell>
          <cell r="AH102">
            <v>1.1496014714898834E-4</v>
          </cell>
          <cell r="AI102">
            <v>1.8134996917050524E-5</v>
          </cell>
          <cell r="AJ102">
            <v>6.207324643078833E-4</v>
          </cell>
          <cell r="AK102">
            <v>1.9118996635056592E-4</v>
          </cell>
          <cell r="AL102">
            <v>8.8652482269503544E-4</v>
          </cell>
          <cell r="AM102">
            <v>4.7222528294164868E-4</v>
          </cell>
          <cell r="AN102">
            <v>6.1915638641602108E-4</v>
          </cell>
        </row>
        <row r="103">
          <cell r="C103" t="str">
            <v>CONFERENCE/SEMINAR LABOR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W103" t="str">
            <v>CONFERENCE/SEMINAR LABOR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</row>
        <row r="104">
          <cell r="C104" t="str">
            <v>SAFETY MEETING - COMMITTEE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W104" t="str">
            <v>SAFETY MEETING - COMMITTEE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</row>
        <row r="105">
          <cell r="C105" t="str">
            <v>TECHNICAN DEELOPMENT PROG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 t="str">
            <v>TECHNICAN DEELOPMENT PROG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</row>
        <row r="106">
          <cell r="C106" t="str">
            <v>ISO 9000 CERTIFICATE LABOR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W106" t="str">
            <v>ISO 9000 CERTIFICATE LABOR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</row>
        <row r="107">
          <cell r="C107" t="str">
            <v>SICK PAY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W107" t="str">
            <v>SICK PAY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</row>
        <row r="108">
          <cell r="C108" t="str">
            <v>O-T PREM CLERICAL LABOR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W108" t="str">
            <v>O-T PREM CLERICAL LABOR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</row>
        <row r="109">
          <cell r="C109" t="str">
            <v>SHIFT PREM CLERICAL LABOR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W109" t="str">
            <v>SHIFT PREM CLERICAL LABOR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</row>
        <row r="110">
          <cell r="C110" t="str">
            <v>LABOR FOR PC SUPPORT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W110" t="str">
            <v>LABOR FOR PC SUPPORT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</row>
        <row r="111">
          <cell r="C111" t="str">
            <v>LAN SUPPORT LABOR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W111" t="str">
            <v>LAN SUPPORT LABOR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2">
          <cell r="C112" t="str">
            <v>COMMISSIONS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W112" t="str">
            <v>COMMISSIONS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</row>
        <row r="113">
          <cell r="C113" t="str">
            <v>DRIVER SALESMAN COMMISSIONS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W113" t="str">
            <v>DRIVER SALESMAN COMMISSIONS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C114" t="str">
            <v>SICKNESS &amp; EXCUSED ABSENT</v>
          </cell>
          <cell r="D114">
            <v>767</v>
          </cell>
          <cell r="E114">
            <v>2296</v>
          </cell>
          <cell r="F114">
            <v>6973</v>
          </cell>
          <cell r="G114">
            <v>10036</v>
          </cell>
          <cell r="H114">
            <v>2690</v>
          </cell>
          <cell r="I114">
            <v>1171</v>
          </cell>
          <cell r="J114">
            <v>1018</v>
          </cell>
          <cell r="K114">
            <v>4879</v>
          </cell>
          <cell r="L114">
            <v>2887</v>
          </cell>
          <cell r="M114">
            <v>2713</v>
          </cell>
          <cell r="N114">
            <v>6709</v>
          </cell>
          <cell r="O114">
            <v>12309</v>
          </cell>
          <cell r="P114">
            <v>9364</v>
          </cell>
          <cell r="Q114">
            <v>6015</v>
          </cell>
          <cell r="R114">
            <v>6206</v>
          </cell>
          <cell r="S114">
            <v>21585</v>
          </cell>
          <cell r="T114">
            <v>48809</v>
          </cell>
          <cell r="W114" t="str">
            <v>SICKNESS &amp; EXCUSED ABSENT</v>
          </cell>
          <cell r="X114">
            <v>7.7209583249446351E-2</v>
          </cell>
          <cell r="Y114">
            <v>0.2253189401373896</v>
          </cell>
          <cell r="Z114">
            <v>0.67177263969171486</v>
          </cell>
          <cell r="AA114">
            <v>0.3290060319958038</v>
          </cell>
          <cell r="AB114">
            <v>0.19695416605652366</v>
          </cell>
          <cell r="AC114">
            <v>7.6837270341207353E-2</v>
          </cell>
          <cell r="AD114">
            <v>7.2075899178702912E-2</v>
          </cell>
          <cell r="AE114">
            <v>0.11340709404490726</v>
          </cell>
          <cell r="AF114">
            <v>0.2300398406374502</v>
          </cell>
          <cell r="AG114">
            <v>0.16446411251212414</v>
          </cell>
          <cell r="AH114">
            <v>0.25708920907418764</v>
          </cell>
          <cell r="AI114">
            <v>0.22322367705197491</v>
          </cell>
          <cell r="AJ114">
            <v>0.30592309451468525</v>
          </cell>
          <cell r="AK114">
            <v>0.2300015295197308</v>
          </cell>
          <cell r="AL114">
            <v>0.91696217494089838</v>
          </cell>
          <cell r="AM114">
            <v>0.33976609107651623</v>
          </cell>
          <cell r="AN114">
            <v>0.25395297533260147</v>
          </cell>
        </row>
        <row r="115">
          <cell r="C115" t="str">
            <v>EXC ABSENT-OFF JOB INJURY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W115" t="str">
            <v>EXC ABSENT-OFF JOB INJURY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</row>
        <row r="116">
          <cell r="C116" t="str">
            <v>EXC ABSENT-OTHER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W116" t="str">
            <v>EXC ABSENT-OTHER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</row>
        <row r="117">
          <cell r="C117" t="str">
            <v>SUPL VACATION HOURLY EMP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W117" t="str">
            <v>SUPL VACATION HOURLY EMP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</row>
        <row r="118">
          <cell r="C118" t="str">
            <v>OVERTIME RATE ADJUSTMENT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W118" t="str">
            <v>OVERTIME RATE ADJUSTMENT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</row>
        <row r="119">
          <cell r="C119" t="str">
            <v>LABOR-0THER DEPTS-ENGINEERING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W119" t="str">
            <v>LABOR-0THER DEPTS-ENGINEERING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</row>
        <row r="120">
          <cell r="C120" t="str">
            <v>UNDESIGNATED LABOR</v>
          </cell>
          <cell r="D120">
            <v>6</v>
          </cell>
          <cell r="E120">
            <v>1</v>
          </cell>
          <cell r="F120">
            <v>-1</v>
          </cell>
          <cell r="G120">
            <v>6</v>
          </cell>
          <cell r="H120">
            <v>0</v>
          </cell>
          <cell r="I120">
            <v>-1</v>
          </cell>
          <cell r="J120">
            <v>0</v>
          </cell>
          <cell r="K120">
            <v>-1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1</v>
          </cell>
          <cell r="Q120">
            <v>0</v>
          </cell>
          <cell r="R120">
            <v>0</v>
          </cell>
          <cell r="S120">
            <v>1</v>
          </cell>
          <cell r="T120">
            <v>6</v>
          </cell>
          <cell r="W120" t="str">
            <v>UNDESIGNATED LABOR</v>
          </cell>
          <cell r="X120">
            <v>6.0398630964364811E-4</v>
          </cell>
          <cell r="Y120">
            <v>9.8135426889106971E-5</v>
          </cell>
          <cell r="Z120">
            <v>-9.6339113680154144E-5</v>
          </cell>
          <cell r="AA120">
            <v>1.966955153422502E-4</v>
          </cell>
          <cell r="AB120">
            <v>0</v>
          </cell>
          <cell r="AC120">
            <v>-6.5616797900262466E-5</v>
          </cell>
          <cell r="AD120">
            <v>0</v>
          </cell>
          <cell r="AE120">
            <v>-2.3243921714471664E-5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3.2670129700414909E-5</v>
          </cell>
          <cell r="AK120">
            <v>0</v>
          </cell>
          <cell r="AL120">
            <v>0</v>
          </cell>
          <cell r="AM120">
            <v>1.5740842764721624E-5</v>
          </cell>
          <cell r="AN120">
            <v>3.1217969062992661E-5</v>
          </cell>
        </row>
        <row r="121">
          <cell r="C121" t="str">
            <v>UNDISTRIBUTED LABOR CHARGES</v>
          </cell>
          <cell r="D121">
            <v>873</v>
          </cell>
          <cell r="E121">
            <v>25889</v>
          </cell>
          <cell r="F121">
            <v>-5030</v>
          </cell>
          <cell r="G121">
            <v>21732</v>
          </cell>
          <cell r="H121">
            <v>1096</v>
          </cell>
          <cell r="I121">
            <v>667</v>
          </cell>
          <cell r="J121">
            <v>140</v>
          </cell>
          <cell r="K121">
            <v>1903</v>
          </cell>
          <cell r="L121">
            <v>-2791</v>
          </cell>
          <cell r="M121">
            <v>383</v>
          </cell>
          <cell r="N121">
            <v>357</v>
          </cell>
          <cell r="O121">
            <v>-2051</v>
          </cell>
          <cell r="P121">
            <v>667</v>
          </cell>
          <cell r="Q121">
            <v>668</v>
          </cell>
          <cell r="R121">
            <v>100</v>
          </cell>
          <cell r="S121">
            <v>1435</v>
          </cell>
          <cell r="T121">
            <v>23019</v>
          </cell>
          <cell r="W121" t="str">
            <v>UNDISTRIBUTED LABOR CHARGES</v>
          </cell>
          <cell r="X121">
            <v>8.7880008053150799E-2</v>
          </cell>
          <cell r="Y121">
            <v>2.5406280667320904</v>
          </cell>
          <cell r="Z121">
            <v>-0.48458574181117536</v>
          </cell>
          <cell r="AA121">
            <v>0.71243115656963019</v>
          </cell>
          <cell r="AB121">
            <v>8.0246009664665399E-2</v>
          </cell>
          <cell r="AC121">
            <v>4.3766404199475063E-2</v>
          </cell>
          <cell r="AD121">
            <v>9.9122061738884173E-3</v>
          </cell>
          <cell r="AE121">
            <v>4.423318302263958E-2</v>
          </cell>
          <cell r="AF121">
            <v>-0.22239043824701196</v>
          </cell>
          <cell r="AG121">
            <v>2.3217749757516972E-2</v>
          </cell>
          <cell r="AH121">
            <v>1.3680257510729614E-2</v>
          </cell>
          <cell r="AI121">
            <v>-3.7194878676870623E-2</v>
          </cell>
          <cell r="AJ121">
            <v>2.1790976510176745E-2</v>
          </cell>
          <cell r="AK121">
            <v>2.5542979504435608E-2</v>
          </cell>
          <cell r="AL121">
            <v>1.4775413711583925E-2</v>
          </cell>
          <cell r="AM121">
            <v>2.2588109367375528E-2</v>
          </cell>
          <cell r="AN121">
            <v>0.11976773831017133</v>
          </cell>
        </row>
        <row r="122">
          <cell r="C122" t="str">
            <v>OTHER INDIRECT LABOR SERVICES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W122" t="str">
            <v>OTHER INDIRECT LABOR SERVICES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3">
          <cell r="C123" t="str">
            <v>OTHER EXEC COMPENSATION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W123" t="str">
            <v>OTHER EXEC COMPENSATION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4">
          <cell r="C124" t="str">
            <v>VARIABLE COMPENSATION AWARDS</v>
          </cell>
          <cell r="D124">
            <v>7324</v>
          </cell>
          <cell r="E124">
            <v>8562</v>
          </cell>
          <cell r="F124">
            <v>7624</v>
          </cell>
          <cell r="G124">
            <v>23510</v>
          </cell>
          <cell r="H124">
            <v>8498</v>
          </cell>
          <cell r="I124">
            <v>7774</v>
          </cell>
          <cell r="J124">
            <v>7812</v>
          </cell>
          <cell r="K124">
            <v>24084</v>
          </cell>
          <cell r="L124">
            <v>7977</v>
          </cell>
          <cell r="M124">
            <v>7591</v>
          </cell>
          <cell r="N124">
            <v>7546</v>
          </cell>
          <cell r="O124">
            <v>23114</v>
          </cell>
          <cell r="P124">
            <v>40726</v>
          </cell>
          <cell r="Q124">
            <v>7443</v>
          </cell>
          <cell r="R124">
            <v>72766</v>
          </cell>
          <cell r="S124">
            <v>120935</v>
          </cell>
          <cell r="T124">
            <v>191643</v>
          </cell>
          <cell r="W124" t="str">
            <v>VARIABLE COMPENSATION AWARDS</v>
          </cell>
          <cell r="X124">
            <v>0.73726595530501304</v>
          </cell>
          <cell r="Y124">
            <v>0.8402355250245338</v>
          </cell>
          <cell r="Z124">
            <v>0.73448940269749519</v>
          </cell>
          <cell r="AA124">
            <v>0.77071859428271705</v>
          </cell>
          <cell r="AB124">
            <v>0.62219944354956802</v>
          </cell>
          <cell r="AC124">
            <v>0.51010498687664041</v>
          </cell>
          <cell r="AD124">
            <v>0.55310110450297367</v>
          </cell>
          <cell r="AE124">
            <v>0.55980661057133563</v>
          </cell>
          <cell r="AF124">
            <v>0.63561752988047804</v>
          </cell>
          <cell r="AG124">
            <v>0.46017216294859359</v>
          </cell>
          <cell r="AH124">
            <v>0.28916309012875535</v>
          </cell>
          <cell r="AI124">
            <v>0.41917231874070582</v>
          </cell>
          <cell r="AJ124">
            <v>1.3305237021790977</v>
          </cell>
          <cell r="AK124">
            <v>0.28460538390945245</v>
          </cell>
          <cell r="AL124">
            <v>10.751477541371159</v>
          </cell>
          <cell r="AM124">
            <v>1.9036188197516095</v>
          </cell>
          <cell r="AN124">
            <v>0.99711754085651705</v>
          </cell>
        </row>
        <row r="125">
          <cell r="C125" t="str">
            <v>QUALITY AWARDS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W125" t="str">
            <v>QUALITY AWARDS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C126" t="str">
            <v>LABOR BAD CHARGES</v>
          </cell>
          <cell r="D126">
            <v>0</v>
          </cell>
          <cell r="E126">
            <v>11</v>
          </cell>
          <cell r="F126">
            <v>11</v>
          </cell>
          <cell r="G126">
            <v>22</v>
          </cell>
          <cell r="H126">
            <v>-5</v>
          </cell>
          <cell r="I126">
            <v>11</v>
          </cell>
          <cell r="J126">
            <v>89</v>
          </cell>
          <cell r="K126">
            <v>95</v>
          </cell>
          <cell r="L126">
            <v>-14</v>
          </cell>
          <cell r="M126">
            <v>1</v>
          </cell>
          <cell r="N126">
            <v>-4</v>
          </cell>
          <cell r="O126">
            <v>-17</v>
          </cell>
          <cell r="P126">
            <v>3</v>
          </cell>
          <cell r="Q126">
            <v>1687</v>
          </cell>
          <cell r="R126">
            <v>-1754</v>
          </cell>
          <cell r="S126">
            <v>-64</v>
          </cell>
          <cell r="T126">
            <v>36</v>
          </cell>
          <cell r="W126" t="str">
            <v>LABOR BAD CHARGES</v>
          </cell>
          <cell r="X126">
            <v>0</v>
          </cell>
          <cell r="Y126">
            <v>1.0794896957801766E-3</v>
          </cell>
          <cell r="Z126">
            <v>1.0597302504816955E-3</v>
          </cell>
          <cell r="AA126">
            <v>7.2121688958825072E-4</v>
          </cell>
          <cell r="AB126">
            <v>-3.6608581051398448E-4</v>
          </cell>
          <cell r="AC126">
            <v>7.2178477690288713E-4</v>
          </cell>
          <cell r="AD126">
            <v>6.3013310676862076E-3</v>
          </cell>
          <cell r="AE126">
            <v>2.2081725628748084E-3</v>
          </cell>
          <cell r="AF126">
            <v>-1.1155378486055777E-3</v>
          </cell>
          <cell r="AG126">
            <v>6.0620756547041708E-5</v>
          </cell>
          <cell r="AH126">
            <v>-1.5328019619865113E-4</v>
          </cell>
          <cell r="AI126">
            <v>-3.0829494758985893E-4</v>
          </cell>
          <cell r="AJ126">
            <v>9.8010389101244733E-5</v>
          </cell>
          <cell r="AK126">
            <v>6.4507494646680943E-2</v>
          </cell>
          <cell r="AL126">
            <v>-0.25916075650118203</v>
          </cell>
          <cell r="AM126">
            <v>-1.007413936942184E-3</v>
          </cell>
          <cell r="AN126">
            <v>1.8730781437795594E-4</v>
          </cell>
        </row>
        <row r="127">
          <cell r="C127" t="str">
            <v>SHIFT PREMIUM</v>
          </cell>
          <cell r="D127">
            <v>202</v>
          </cell>
          <cell r="E127">
            <v>172</v>
          </cell>
          <cell r="F127">
            <v>39</v>
          </cell>
          <cell r="G127">
            <v>413</v>
          </cell>
          <cell r="H127">
            <v>52</v>
          </cell>
          <cell r="I127">
            <v>43</v>
          </cell>
          <cell r="J127">
            <v>60</v>
          </cell>
          <cell r="K127">
            <v>155</v>
          </cell>
          <cell r="L127">
            <v>62</v>
          </cell>
          <cell r="M127">
            <v>69</v>
          </cell>
          <cell r="N127">
            <v>69</v>
          </cell>
          <cell r="O127">
            <v>200</v>
          </cell>
          <cell r="P127">
            <v>101</v>
          </cell>
          <cell r="Q127">
            <v>100</v>
          </cell>
          <cell r="R127">
            <v>74</v>
          </cell>
          <cell r="S127">
            <v>275</v>
          </cell>
          <cell r="T127">
            <v>1043</v>
          </cell>
          <cell r="W127" t="str">
            <v>SHIFT PREMIUM</v>
          </cell>
          <cell r="X127">
            <v>2.0334205758002818E-2</v>
          </cell>
          <cell r="Y127">
            <v>1.68792934249264E-2</v>
          </cell>
          <cell r="Z127">
            <v>3.7572254335260114E-3</v>
          </cell>
          <cell r="AA127">
            <v>1.3539207972724888E-2</v>
          </cell>
          <cell r="AB127">
            <v>3.8072924293454384E-3</v>
          </cell>
          <cell r="AC127">
            <v>2.8215223097112861E-3</v>
          </cell>
          <cell r="AD127">
            <v>4.248088360237893E-3</v>
          </cell>
          <cell r="AE127">
            <v>3.6028078657431083E-3</v>
          </cell>
          <cell r="AF127">
            <v>4.9402390438247016E-3</v>
          </cell>
          <cell r="AG127">
            <v>4.1828322017458779E-3</v>
          </cell>
          <cell r="AH127">
            <v>2.644083384426732E-3</v>
          </cell>
          <cell r="AI127">
            <v>3.626999383410105E-3</v>
          </cell>
          <cell r="AJ127">
            <v>3.299683099741906E-3</v>
          </cell>
          <cell r="AK127">
            <v>3.8237993270113183E-3</v>
          </cell>
          <cell r="AL127">
            <v>1.0933806146572104E-2</v>
          </cell>
          <cell r="AM127">
            <v>4.3287317602984463E-3</v>
          </cell>
          <cell r="AN127">
            <v>5.4267236221168906E-3</v>
          </cell>
        </row>
        <row r="128">
          <cell r="C128" t="str">
            <v>OVERTIME PREMIUM</v>
          </cell>
          <cell r="D128">
            <v>1782</v>
          </cell>
          <cell r="E128">
            <v>6741</v>
          </cell>
          <cell r="F128">
            <v>4117</v>
          </cell>
          <cell r="G128">
            <v>12640</v>
          </cell>
          <cell r="H128">
            <v>6894</v>
          </cell>
          <cell r="I128">
            <v>2916</v>
          </cell>
          <cell r="J128">
            <v>3421</v>
          </cell>
          <cell r="K128">
            <v>13231</v>
          </cell>
          <cell r="L128">
            <v>8416</v>
          </cell>
          <cell r="M128">
            <v>5076</v>
          </cell>
          <cell r="N128">
            <v>9634</v>
          </cell>
          <cell r="O128">
            <v>23126</v>
          </cell>
          <cell r="P128">
            <v>16940</v>
          </cell>
          <cell r="Q128">
            <v>10471</v>
          </cell>
          <cell r="R128">
            <v>6494</v>
          </cell>
          <cell r="S128">
            <v>33905</v>
          </cell>
          <cell r="T128">
            <v>82902</v>
          </cell>
          <cell r="W128" t="str">
            <v>OVERTIME PREMIUM</v>
          </cell>
          <cell r="X128">
            <v>0.17938393396416347</v>
          </cell>
          <cell r="Y128">
            <v>0.66153091265947006</v>
          </cell>
          <cell r="Z128">
            <v>0.3966281310211946</v>
          </cell>
          <cell r="AA128">
            <v>0.41437188565434041</v>
          </cell>
          <cell r="AB128">
            <v>0.50475911553668185</v>
          </cell>
          <cell r="AC128">
            <v>0.19133858267716536</v>
          </cell>
          <cell r="AD128">
            <v>0.24221183800623053</v>
          </cell>
          <cell r="AE128">
            <v>0.3075403282041746</v>
          </cell>
          <cell r="AF128">
            <v>0.67059760956175296</v>
          </cell>
          <cell r="AG128">
            <v>0.30771096023278371</v>
          </cell>
          <cell r="AH128">
            <v>0.36917535254445127</v>
          </cell>
          <cell r="AI128">
            <v>0.41938993870371044</v>
          </cell>
          <cell r="AJ128">
            <v>0.55343199712502855</v>
          </cell>
          <cell r="AK128">
            <v>0.40039002753135516</v>
          </cell>
          <cell r="AL128">
            <v>0.95951536643026003</v>
          </cell>
          <cell r="AM128">
            <v>0.53369327393788668</v>
          </cell>
          <cell r="AN128">
            <v>0.43133867854336955</v>
          </cell>
        </row>
        <row r="129">
          <cell r="C129" t="str">
            <v>FRINGE BENEFITS-SPLIT CHARGE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W129" t="str">
            <v>FRINGE BENEFITS-SPLIT CHARGE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</row>
        <row r="130">
          <cell r="C130" t="str">
            <v>SUPPLEMENTAL COMPENSATION</v>
          </cell>
          <cell r="D130">
            <v>2881</v>
          </cell>
          <cell r="E130">
            <v>3369</v>
          </cell>
          <cell r="F130">
            <v>3248</v>
          </cell>
          <cell r="G130">
            <v>9498</v>
          </cell>
          <cell r="H130">
            <v>3247</v>
          </cell>
          <cell r="I130">
            <v>3321</v>
          </cell>
          <cell r="J130">
            <v>3450</v>
          </cell>
          <cell r="K130">
            <v>10018</v>
          </cell>
          <cell r="L130">
            <v>3451</v>
          </cell>
          <cell r="M130">
            <v>3438</v>
          </cell>
          <cell r="N130">
            <v>3107</v>
          </cell>
          <cell r="O130">
            <v>9996</v>
          </cell>
          <cell r="P130">
            <v>3804</v>
          </cell>
          <cell r="Q130">
            <v>3509</v>
          </cell>
          <cell r="R130">
            <v>3713</v>
          </cell>
          <cell r="S130">
            <v>11026</v>
          </cell>
          <cell r="T130">
            <v>40538</v>
          </cell>
          <cell r="W130" t="str">
            <v>SUPPLEMENTAL COMPENSATION</v>
          </cell>
          <cell r="X130">
            <v>0.29001409301389169</v>
          </cell>
          <cell r="Y130">
            <v>0.33061825318940136</v>
          </cell>
          <cell r="Z130">
            <v>0.31290944123314063</v>
          </cell>
          <cell r="AA130">
            <v>0.31136900078678204</v>
          </cell>
          <cell r="AB130">
            <v>0.23773612534778152</v>
          </cell>
          <cell r="AC130">
            <v>0.21791338582677167</v>
          </cell>
          <cell r="AD130">
            <v>0.24426508071367883</v>
          </cell>
          <cell r="AE130">
            <v>0.23285760773557715</v>
          </cell>
          <cell r="AF130">
            <v>0.27498007968127491</v>
          </cell>
          <cell r="AG130">
            <v>0.20841416100872939</v>
          </cell>
          <cell r="AH130">
            <v>0.11906039239730228</v>
          </cell>
          <cell r="AI130">
            <v>0.18127742918283704</v>
          </cell>
          <cell r="AJ130">
            <v>0.12427717338037832</v>
          </cell>
          <cell r="AK130">
            <v>0.13417711838482715</v>
          </cell>
          <cell r="AL130">
            <v>0.54861111111111116</v>
          </cell>
          <cell r="AM130">
            <v>0.17355853232382062</v>
          </cell>
          <cell r="AN130">
            <v>0.21091900497926608</v>
          </cell>
        </row>
        <row r="131">
          <cell r="C131" t="str">
            <v>FRINGE BENEFITS</v>
          </cell>
          <cell r="D131">
            <v>28485</v>
          </cell>
          <cell r="E131">
            <v>27928</v>
          </cell>
          <cell r="F131">
            <v>22684</v>
          </cell>
          <cell r="G131">
            <v>79097</v>
          </cell>
          <cell r="H131">
            <v>27681</v>
          </cell>
          <cell r="I131">
            <v>27346</v>
          </cell>
          <cell r="J131">
            <v>31226</v>
          </cell>
          <cell r="K131">
            <v>86253</v>
          </cell>
          <cell r="L131">
            <v>30616</v>
          </cell>
          <cell r="M131">
            <v>31025</v>
          </cell>
          <cell r="N131">
            <v>28163</v>
          </cell>
          <cell r="O131">
            <v>89804</v>
          </cell>
          <cell r="P131">
            <v>35664</v>
          </cell>
          <cell r="Q131">
            <v>33393</v>
          </cell>
          <cell r="R131">
            <v>32364</v>
          </cell>
          <cell r="S131">
            <v>101421</v>
          </cell>
          <cell r="T131">
            <v>356575</v>
          </cell>
          <cell r="W131" t="str">
            <v>FRINGE BENEFITS</v>
          </cell>
          <cell r="X131">
            <v>2.8674250050332191</v>
          </cell>
          <cell r="Y131">
            <v>2.7407262021589793</v>
          </cell>
          <cell r="Z131">
            <v>2.1853564547206163</v>
          </cell>
          <cell r="AA131">
            <v>2.5930041961709938</v>
          </cell>
          <cell r="AB131">
            <v>2.0267242641675209</v>
          </cell>
          <cell r="AC131">
            <v>1.7943569553805774</v>
          </cell>
          <cell r="AD131">
            <v>2.2108467856131409</v>
          </cell>
          <cell r="AE131">
            <v>2.0048579796383246</v>
          </cell>
          <cell r="AF131">
            <v>2.4395219123505978</v>
          </cell>
          <cell r="AG131">
            <v>1.8807589718719691</v>
          </cell>
          <cell r="AH131">
            <v>1.079207541385653</v>
          </cell>
          <cell r="AI131">
            <v>1.6285952631388052</v>
          </cell>
          <cell r="AJ131">
            <v>1.1651475056355973</v>
          </cell>
          <cell r="AK131">
            <v>1.2768813092688895</v>
          </cell>
          <cell r="AL131">
            <v>4.7819148936170217</v>
          </cell>
          <cell r="AM131">
            <v>1.5964520140408318</v>
          </cell>
          <cell r="AN131">
            <v>1.8552578864394345</v>
          </cell>
        </row>
        <row r="132">
          <cell r="C132" t="str">
            <v>FIELD FITNESS EXPENSE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1</v>
          </cell>
          <cell r="K132">
            <v>1</v>
          </cell>
          <cell r="L132">
            <v>1</v>
          </cell>
          <cell r="M132">
            <v>2</v>
          </cell>
          <cell r="N132">
            <v>10</v>
          </cell>
          <cell r="O132">
            <v>13</v>
          </cell>
          <cell r="P132">
            <v>9</v>
          </cell>
          <cell r="Q132">
            <v>0</v>
          </cell>
          <cell r="R132">
            <v>15</v>
          </cell>
          <cell r="S132">
            <v>24</v>
          </cell>
          <cell r="T132">
            <v>38</v>
          </cell>
          <cell r="W132" t="str">
            <v>FIELD FITNESS EXPENSE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7.0801472670631546E-5</v>
          </cell>
          <cell r="AE132">
            <v>2.3243921714471664E-5</v>
          </cell>
          <cell r="AF132">
            <v>7.9681274900398409E-5</v>
          </cell>
          <cell r="AG132">
            <v>1.2124151309408342E-4</v>
          </cell>
          <cell r="AH132">
            <v>3.8320049049662784E-4</v>
          </cell>
          <cell r="AI132">
            <v>2.357549599216568E-4</v>
          </cell>
          <cell r="AJ132">
            <v>2.9403116730373417E-4</v>
          </cell>
          <cell r="AK132">
            <v>0</v>
          </cell>
          <cell r="AL132">
            <v>2.2163120567375888E-3</v>
          </cell>
          <cell r="AM132">
            <v>3.7778022635331893E-4</v>
          </cell>
          <cell r="AN132">
            <v>1.9771380406562018E-4</v>
          </cell>
        </row>
        <row r="133">
          <cell r="C133" t="str">
            <v>EDUCATIONAL ASSISTANCE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274</v>
          </cell>
          <cell r="M133">
            <v>66</v>
          </cell>
          <cell r="N133">
            <v>51</v>
          </cell>
          <cell r="O133">
            <v>391</v>
          </cell>
          <cell r="P133">
            <v>551</v>
          </cell>
          <cell r="Q133">
            <v>79</v>
          </cell>
          <cell r="R133">
            <v>24</v>
          </cell>
          <cell r="S133">
            <v>654</v>
          </cell>
          <cell r="T133">
            <v>1045</v>
          </cell>
          <cell r="W133" t="str">
            <v>EDUCATIONAL ASSISTANCE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2.1832669322709164E-2</v>
          </cell>
          <cell r="AG133">
            <v>4.0009699321047528E-3</v>
          </cell>
          <cell r="AH133">
            <v>1.9543225015328019E-3</v>
          </cell>
          <cell r="AI133">
            <v>7.0907837945667551E-3</v>
          </cell>
          <cell r="AJ133">
            <v>1.8001241464928614E-2</v>
          </cell>
          <cell r="AK133">
            <v>3.0208014683389415E-3</v>
          </cell>
          <cell r="AL133">
            <v>3.5460992907801418E-3</v>
          </cell>
          <cell r="AM133">
            <v>1.0294511168127941E-2</v>
          </cell>
          <cell r="AN133">
            <v>5.4371296118045547E-3</v>
          </cell>
        </row>
        <row r="134">
          <cell r="C134" t="str">
            <v>MEAL ALLOWANCE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W134" t="str">
            <v>MEAL ALLOWANCE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</row>
        <row r="135">
          <cell r="C135" t="str">
            <v>MISC/SUPPLEMENTAL PAYROLL EXP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W135" t="str">
            <v>MISC/SUPPLEMENTAL PAYROLL EXP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6">
          <cell r="C136" t="str">
            <v>ALLOC LABOR TRF OUT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W136" t="str">
            <v>ALLOC LABOR TRF OUT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</row>
        <row r="137">
          <cell r="C137" t="str">
            <v>LABOR CHARGES TRF IN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W137" t="str">
            <v>LABOR CHARGES TRF IN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</row>
        <row r="138">
          <cell r="C138" t="str">
            <v>TOTAL OPERATING/ADMIN LABOR</v>
          </cell>
          <cell r="D138">
            <v>133519</v>
          </cell>
          <cell r="E138">
            <v>148578</v>
          </cell>
          <cell r="F138">
            <v>113838</v>
          </cell>
          <cell r="G138">
            <v>395935</v>
          </cell>
          <cell r="H138">
            <v>141403</v>
          </cell>
          <cell r="I138">
            <v>130800</v>
          </cell>
          <cell r="J138">
            <v>149019</v>
          </cell>
          <cell r="K138">
            <v>421222</v>
          </cell>
          <cell r="L138">
            <v>154700</v>
          </cell>
          <cell r="M138">
            <v>147117</v>
          </cell>
          <cell r="N138">
            <v>146807</v>
          </cell>
          <cell r="O138">
            <v>448624</v>
          </cell>
          <cell r="P138">
            <v>230609</v>
          </cell>
          <cell r="Q138">
            <v>175151</v>
          </cell>
          <cell r="R138">
            <v>229514</v>
          </cell>
          <cell r="S138">
            <v>635274</v>
          </cell>
          <cell r="T138">
            <v>1901055</v>
          </cell>
          <cell r="W138" t="str">
            <v>TOTAL OPERATING/ADMIN LABOR</v>
          </cell>
          <cell r="X138">
            <v>13.440608012885042</v>
          </cell>
          <cell r="Y138">
            <v>14.580765456329734</v>
          </cell>
          <cell r="Z138">
            <v>10.967052023121388</v>
          </cell>
          <cell r="AA138">
            <v>12.979773144505639</v>
          </cell>
          <cell r="AB138">
            <v>10.353126372821789</v>
          </cell>
          <cell r="AC138">
            <v>8.5826771653543314</v>
          </cell>
          <cell r="AD138">
            <v>10.550764655904842</v>
          </cell>
          <cell r="AE138">
            <v>9.790851192413184</v>
          </cell>
          <cell r="AF138">
            <v>12.326693227091633</v>
          </cell>
          <cell r="AG138">
            <v>8.9183438409311346</v>
          </cell>
          <cell r="AH138">
            <v>5.6256514408338445</v>
          </cell>
          <cell r="AI138">
            <v>8.1357948569148739</v>
          </cell>
          <cell r="AJ138">
            <v>7.5340259400829819</v>
          </cell>
          <cell r="AK138">
            <v>6.6974227592535946</v>
          </cell>
          <cell r="AL138">
            <v>33.911643026004725</v>
          </cell>
          <cell r="AM138">
            <v>9.9997481465157652</v>
          </cell>
          <cell r="AN138">
            <v>9.8911793628412514</v>
          </cell>
        </row>
        <row r="139">
          <cell r="D139" t="str">
            <v xml:space="preserve"> </v>
          </cell>
          <cell r="E139" t="str">
            <v xml:space="preserve"> </v>
          </cell>
          <cell r="F139" t="str">
            <v xml:space="preserve"> </v>
          </cell>
          <cell r="G139" t="str">
            <v xml:space="preserve"> </v>
          </cell>
          <cell r="H139" t="str">
            <v xml:space="preserve"> </v>
          </cell>
          <cell r="I139" t="str">
            <v xml:space="preserve"> </v>
          </cell>
          <cell r="J139" t="str">
            <v xml:space="preserve"> </v>
          </cell>
          <cell r="K139" t="str">
            <v xml:space="preserve"> </v>
          </cell>
          <cell r="L139" t="str">
            <v xml:space="preserve"> </v>
          </cell>
          <cell r="M139" t="str">
            <v xml:space="preserve"> </v>
          </cell>
          <cell r="N139" t="str">
            <v xml:space="preserve"> </v>
          </cell>
          <cell r="O139" t="str">
            <v xml:space="preserve"> </v>
          </cell>
          <cell r="P139" t="str">
            <v xml:space="preserve"> </v>
          </cell>
          <cell r="Q139" t="str">
            <v xml:space="preserve"> </v>
          </cell>
          <cell r="R139" t="str">
            <v xml:space="preserve"> </v>
          </cell>
          <cell r="S139" t="str">
            <v xml:space="preserve"> </v>
          </cell>
        </row>
        <row r="140">
          <cell r="C140" t="str">
            <v>MAINT &amp; REPAIR LABOR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41</v>
          </cell>
          <cell r="S140">
            <v>41</v>
          </cell>
          <cell r="T140">
            <v>41</v>
          </cell>
          <cell r="W140" t="str">
            <v>MAINT &amp; REPAIR LABOR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6.0579196217494091E-3</v>
          </cell>
          <cell r="AM140">
            <v>6.4537455335358658E-4</v>
          </cell>
          <cell r="AN140">
            <v>2.1332278859711651E-4</v>
          </cell>
        </row>
        <row r="141">
          <cell r="C141" t="str">
            <v>OVERTIME PREM MAINT LABOR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W141" t="str">
            <v>OVERTIME PREM MAINT LABOR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</row>
        <row r="142">
          <cell r="C142" t="str">
            <v>SHIFT PREM MAINT LABOR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W142" t="str">
            <v>SHIFT PREM MAINT LABOR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</row>
        <row r="143">
          <cell r="C143" t="str">
            <v>OVERTIME - MAINT LABOR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W143" t="str">
            <v>OVERTIME - MAINT LABOR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</row>
        <row r="144">
          <cell r="C144" t="str">
            <v>TOTAL MAINTENANCE LABOR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41</v>
          </cell>
          <cell r="S144">
            <v>41</v>
          </cell>
          <cell r="T144">
            <v>41</v>
          </cell>
          <cell r="W144" t="str">
            <v>TOTAL MAINTENANCE LABOR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6.0579196217494091E-3</v>
          </cell>
          <cell r="AM144">
            <v>6.4537455335358658E-4</v>
          </cell>
          <cell r="AN144">
            <v>2.1332278859711651E-4</v>
          </cell>
        </row>
        <row r="145"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 xml:space="preserve"> </v>
          </cell>
          <cell r="I145" t="str">
            <v xml:space="preserve"> </v>
          </cell>
          <cell r="J145" t="str">
            <v xml:space="preserve"> </v>
          </cell>
          <cell r="K145" t="str">
            <v xml:space="preserve"> </v>
          </cell>
          <cell r="L145" t="str">
            <v xml:space="preserve"> </v>
          </cell>
          <cell r="M145" t="str">
            <v xml:space="preserve"> </v>
          </cell>
          <cell r="N145" t="str">
            <v xml:space="preserve"> </v>
          </cell>
          <cell r="O145" t="str">
            <v xml:space="preserve"> </v>
          </cell>
          <cell r="P145" t="str">
            <v xml:space="preserve"> </v>
          </cell>
          <cell r="Q145" t="str">
            <v xml:space="preserve"> </v>
          </cell>
          <cell r="R145" t="str">
            <v xml:space="preserve"> </v>
          </cell>
          <cell r="S145" t="str">
            <v xml:space="preserve"> </v>
          </cell>
        </row>
        <row r="146">
          <cell r="C146" t="str">
            <v>PURCHASED OPERATING LABOR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W146" t="str">
            <v>PURCHASED OPERATING LABOR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</row>
        <row r="147">
          <cell r="C147" t="str">
            <v>LABOR-MAINT PURCH-GENL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W147" t="str">
            <v>LABOR-MAINT PURCH-GENL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</row>
        <row r="148">
          <cell r="C148" t="str">
            <v>PURCH MAINT LABOR-MECH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W148" t="str">
            <v>PURCH MAINT LABOR-MECH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</row>
        <row r="149">
          <cell r="C149" t="str">
            <v>LABOR-MAINT PURCH-I&amp;E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W149" t="str">
            <v>LABOR-MAINT PURCH-I&amp;E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</row>
        <row r="150">
          <cell r="C150" t="str">
            <v>LABOR-SALARIED PURCHASED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W150" t="str">
            <v>LABOR-SALARIED PURCHASED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</row>
        <row r="151">
          <cell r="C151" t="str">
            <v>PURCHASED FRINGE BENEFITS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W151" t="str">
            <v>PURCHASED FRINGE BENEFITS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</row>
        <row r="152">
          <cell r="C152" t="str">
            <v>LABOR-CLERICAL PURCHASED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91</v>
          </cell>
          <cell r="S152">
            <v>91</v>
          </cell>
          <cell r="T152">
            <v>91</v>
          </cell>
          <cell r="W152" t="str">
            <v>LABOR-CLERICAL PURCHASED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1.3445626477541371E-2</v>
          </cell>
          <cell r="AM152">
            <v>1.4324166915896676E-3</v>
          </cell>
          <cell r="AN152">
            <v>4.7347253078872201E-4</v>
          </cell>
        </row>
        <row r="153">
          <cell r="C153" t="str">
            <v>CONTRACT LABOR-DIRECT</v>
          </cell>
          <cell r="D153">
            <v>254</v>
          </cell>
          <cell r="E153">
            <v>428</v>
          </cell>
          <cell r="F153">
            <v>334</v>
          </cell>
          <cell r="G153">
            <v>1016</v>
          </cell>
          <cell r="H153">
            <v>92</v>
          </cell>
          <cell r="I153">
            <v>626</v>
          </cell>
          <cell r="J153">
            <v>405</v>
          </cell>
          <cell r="K153">
            <v>1123</v>
          </cell>
          <cell r="L153">
            <v>494</v>
          </cell>
          <cell r="M153">
            <v>808</v>
          </cell>
          <cell r="N153">
            <v>-3</v>
          </cell>
          <cell r="O153">
            <v>1299</v>
          </cell>
          <cell r="P153">
            <v>787</v>
          </cell>
          <cell r="Q153">
            <v>760</v>
          </cell>
          <cell r="R153">
            <v>473</v>
          </cell>
          <cell r="S153">
            <v>2020</v>
          </cell>
          <cell r="T153">
            <v>5458</v>
          </cell>
          <cell r="W153" t="str">
            <v>CONTRACT LABOR-DIRECT</v>
          </cell>
          <cell r="X153">
            <v>2.5568753774914434E-2</v>
          </cell>
          <cell r="Y153">
            <v>4.2001962708537781E-2</v>
          </cell>
          <cell r="Z153">
            <v>3.2177263969171484E-2</v>
          </cell>
          <cell r="AA153">
            <v>3.3307107264621036E-2</v>
          </cell>
          <cell r="AB153">
            <v>6.7359789134573142E-3</v>
          </cell>
          <cell r="AC153">
            <v>4.1076115485564307E-2</v>
          </cell>
          <cell r="AD153">
            <v>2.8674596431605779E-2</v>
          </cell>
          <cell r="AE153">
            <v>2.610292408535168E-2</v>
          </cell>
          <cell r="AF153">
            <v>3.9362549800796814E-2</v>
          </cell>
          <cell r="AG153">
            <v>4.8981571290009698E-2</v>
          </cell>
          <cell r="AH153">
            <v>-1.1496014714898834E-4</v>
          </cell>
          <cell r="AI153">
            <v>2.3557360995248629E-2</v>
          </cell>
          <cell r="AJ153">
            <v>2.5711392074226534E-2</v>
          </cell>
          <cell r="AK153">
            <v>2.9060874885286019E-2</v>
          </cell>
          <cell r="AL153">
            <v>6.9887706855791959E-2</v>
          </cell>
          <cell r="AM153">
            <v>3.1796502384737677E-2</v>
          </cell>
          <cell r="AN153">
            <v>2.8397945857635654E-2</v>
          </cell>
        </row>
        <row r="154">
          <cell r="C154" t="str">
            <v>CONTRACT LABOR - PREMIUM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W154" t="str">
            <v>CONTRACT LABOR - PREMIUM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</row>
        <row r="155">
          <cell r="C155" t="str">
            <v>CONTRACT LABOR QUALITY WORK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W155" t="str">
            <v>CONTRACT LABOR QUALITY WORK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</row>
        <row r="156">
          <cell r="C156" t="str">
            <v>CONTRACT LABOR - SAFETY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W156" t="str">
            <v>CONTRACT LABOR - SAFETY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</row>
        <row r="157">
          <cell r="C157" t="str">
            <v>CONTRACT LABOR-TRAINING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W157" t="str">
            <v>CONTRACT LABOR-TRAINING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</row>
        <row r="158">
          <cell r="C158" t="str">
            <v>TOTAL CONTRACT/PURCHASED LABOR</v>
          </cell>
          <cell r="D158">
            <v>254</v>
          </cell>
          <cell r="E158">
            <v>428</v>
          </cell>
          <cell r="F158">
            <v>334</v>
          </cell>
          <cell r="G158">
            <v>1016</v>
          </cell>
          <cell r="H158">
            <v>92</v>
          </cell>
          <cell r="I158">
            <v>626</v>
          </cell>
          <cell r="J158">
            <v>405</v>
          </cell>
          <cell r="K158">
            <v>1123</v>
          </cell>
          <cell r="L158">
            <v>494</v>
          </cell>
          <cell r="M158">
            <v>808</v>
          </cell>
          <cell r="N158">
            <v>-3</v>
          </cell>
          <cell r="O158">
            <v>1299</v>
          </cell>
          <cell r="P158">
            <v>787</v>
          </cell>
          <cell r="Q158">
            <v>760</v>
          </cell>
          <cell r="R158">
            <v>564</v>
          </cell>
          <cell r="S158">
            <v>2111</v>
          </cell>
          <cell r="T158">
            <v>5549</v>
          </cell>
          <cell r="W158" t="str">
            <v>TOTAL CONTRACT/PURCHASED LABOR</v>
          </cell>
          <cell r="X158">
            <v>2.5568753774914434E-2</v>
          </cell>
          <cell r="Y158">
            <v>4.2001962708537781E-2</v>
          </cell>
          <cell r="Z158">
            <v>3.2177263969171484E-2</v>
          </cell>
          <cell r="AA158">
            <v>3.3307107264621036E-2</v>
          </cell>
          <cell r="AB158">
            <v>6.7359789134573142E-3</v>
          </cell>
          <cell r="AC158">
            <v>4.1076115485564307E-2</v>
          </cell>
          <cell r="AD158">
            <v>2.8674596431605779E-2</v>
          </cell>
          <cell r="AE158">
            <v>2.610292408535168E-2</v>
          </cell>
          <cell r="AF158">
            <v>3.9362549800796814E-2</v>
          </cell>
          <cell r="AG158">
            <v>4.8981571290009698E-2</v>
          </cell>
          <cell r="AH158">
            <v>-1.1496014714898834E-4</v>
          </cell>
          <cell r="AI158">
            <v>2.3557360995248629E-2</v>
          </cell>
          <cell r="AJ158">
            <v>2.5711392074226534E-2</v>
          </cell>
          <cell r="AK158">
            <v>2.9060874885286019E-2</v>
          </cell>
          <cell r="AL158">
            <v>8.3333333333333329E-2</v>
          </cell>
          <cell r="AM158">
            <v>3.322891907632735E-2</v>
          </cell>
          <cell r="AN158">
            <v>2.8871418388424375E-2</v>
          </cell>
        </row>
        <row r="159"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 xml:space="preserve"> </v>
          </cell>
          <cell r="I159" t="str">
            <v xml:space="preserve"> </v>
          </cell>
          <cell r="J159" t="str">
            <v xml:space="preserve"> </v>
          </cell>
          <cell r="K159" t="str">
            <v xml:space="preserve"> </v>
          </cell>
          <cell r="L159" t="str">
            <v xml:space="preserve"> </v>
          </cell>
          <cell r="M159" t="str">
            <v xml:space="preserve"> 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</row>
        <row r="160">
          <cell r="C160" t="str">
            <v>TOTAL LABOR</v>
          </cell>
          <cell r="D160">
            <v>133773</v>
          </cell>
          <cell r="E160">
            <v>149006</v>
          </cell>
          <cell r="F160">
            <v>114172</v>
          </cell>
          <cell r="G160">
            <v>396951</v>
          </cell>
          <cell r="H160">
            <v>141495</v>
          </cell>
          <cell r="I160">
            <v>131426</v>
          </cell>
          <cell r="J160">
            <v>149424</v>
          </cell>
          <cell r="K160">
            <v>422345</v>
          </cell>
          <cell r="L160">
            <v>155194</v>
          </cell>
          <cell r="M160">
            <v>147925</v>
          </cell>
          <cell r="N160">
            <v>146804</v>
          </cell>
          <cell r="O160">
            <v>449923</v>
          </cell>
          <cell r="P160">
            <v>231396</v>
          </cell>
          <cell r="Q160">
            <v>175911</v>
          </cell>
          <cell r="R160">
            <v>230119</v>
          </cell>
          <cell r="S160">
            <v>637426</v>
          </cell>
          <cell r="T160">
            <v>1906645</v>
          </cell>
          <cell r="W160" t="str">
            <v>TOTAL LABOR</v>
          </cell>
          <cell r="X160">
            <v>13.466176766659956</v>
          </cell>
          <cell r="Y160">
            <v>14.622767419038272</v>
          </cell>
          <cell r="Z160">
            <v>10.999229287090559</v>
          </cell>
          <cell r="AA160">
            <v>13.01308025177026</v>
          </cell>
          <cell r="AB160">
            <v>10.359862351735247</v>
          </cell>
          <cell r="AC160">
            <v>8.6237532808398942</v>
          </cell>
          <cell r="AD160">
            <v>10.579439252336449</v>
          </cell>
          <cell r="AE160">
            <v>9.8169541164985361</v>
          </cell>
          <cell r="AF160">
            <v>12.366055776892431</v>
          </cell>
          <cell r="AG160">
            <v>8.967325412221145</v>
          </cell>
          <cell r="AH160">
            <v>5.6255364806866952</v>
          </cell>
          <cell r="AI160">
            <v>8.1593522179101221</v>
          </cell>
          <cell r="AJ160">
            <v>7.5597373321572086</v>
          </cell>
          <cell r="AK160">
            <v>6.7264836341388801</v>
          </cell>
          <cell r="AL160">
            <v>34.001034278959814</v>
          </cell>
          <cell r="AM160">
            <v>10.033622440145445</v>
          </cell>
          <cell r="AN160">
            <v>9.9202641040182726</v>
          </cell>
        </row>
        <row r="161"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 xml:space="preserve"> </v>
          </cell>
          <cell r="I161" t="str">
            <v xml:space="preserve"> </v>
          </cell>
          <cell r="J161" t="str">
            <v xml:space="preserve"> </v>
          </cell>
          <cell r="K161" t="str">
            <v xml:space="preserve"> </v>
          </cell>
          <cell r="L161" t="str">
            <v xml:space="preserve"> </v>
          </cell>
          <cell r="M161" t="str">
            <v xml:space="preserve"> 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</row>
        <row r="162">
          <cell r="C162" t="str">
            <v>MAINTENANCE SUPPLIES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269</v>
          </cell>
          <cell r="O162">
            <v>269</v>
          </cell>
          <cell r="P162">
            <v>0</v>
          </cell>
          <cell r="Q162">
            <v>0</v>
          </cell>
          <cell r="R162">
            <v>1159</v>
          </cell>
          <cell r="S162">
            <v>1159</v>
          </cell>
          <cell r="T162">
            <v>1428</v>
          </cell>
          <cell r="W162" t="str">
            <v>MAINTENANCE SUPPLIES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1.0308093194359288E-2</v>
          </cell>
          <cell r="AI162">
            <v>4.8783141706865906E-3</v>
          </cell>
          <cell r="AJ162">
            <v>0</v>
          </cell>
          <cell r="AK162">
            <v>0</v>
          </cell>
          <cell r="AL162">
            <v>0.17124704491725767</v>
          </cell>
          <cell r="AM162">
            <v>1.8243636764312361E-2</v>
          </cell>
          <cell r="AN162">
            <v>7.4298766369922525E-3</v>
          </cell>
        </row>
        <row r="163">
          <cell r="C163" t="str">
            <v>MAINT AND REPAIR EXPENSE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W163" t="str">
            <v>MAINT AND REPAIR EXPENSE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</row>
        <row r="164">
          <cell r="C164" t="str">
            <v>DIRECT TOOLING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W164" t="str">
            <v>DIRECT TOOLING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</row>
        <row r="165">
          <cell r="C165" t="str">
            <v>EXPENDABLE TOOLS</v>
          </cell>
          <cell r="D165">
            <v>26</v>
          </cell>
          <cell r="E165">
            <v>356</v>
          </cell>
          <cell r="F165">
            <v>21</v>
          </cell>
          <cell r="G165">
            <v>403</v>
          </cell>
          <cell r="H165">
            <v>14</v>
          </cell>
          <cell r="I165">
            <v>42</v>
          </cell>
          <cell r="J165">
            <v>136</v>
          </cell>
          <cell r="K165">
            <v>192</v>
          </cell>
          <cell r="L165">
            <v>20</v>
          </cell>
          <cell r="M165">
            <v>-6</v>
          </cell>
          <cell r="N165">
            <v>175</v>
          </cell>
          <cell r="O165">
            <v>189</v>
          </cell>
          <cell r="P165">
            <v>46</v>
          </cell>
          <cell r="Q165">
            <v>46</v>
          </cell>
          <cell r="R165">
            <v>59</v>
          </cell>
          <cell r="S165">
            <v>151</v>
          </cell>
          <cell r="T165">
            <v>935</v>
          </cell>
          <cell r="W165" t="str">
            <v>EXPENDABLE TOOLS</v>
          </cell>
          <cell r="X165">
            <v>2.6172740084558083E-3</v>
          </cell>
          <cell r="Y165">
            <v>3.4936211972522078E-2</v>
          </cell>
          <cell r="Z165">
            <v>2.0231213872832369E-3</v>
          </cell>
          <cell r="AA165">
            <v>1.3211382113821139E-2</v>
          </cell>
          <cell r="AB165">
            <v>1.0250402694391566E-3</v>
          </cell>
          <cell r="AC165">
            <v>2.7559055118110236E-3</v>
          </cell>
          <cell r="AD165">
            <v>9.6290002832058914E-3</v>
          </cell>
          <cell r="AE165">
            <v>4.4628329691785602E-3</v>
          </cell>
          <cell r="AF165">
            <v>1.5936254980079682E-3</v>
          </cell>
          <cell r="AG165">
            <v>-3.6372453928225026E-4</v>
          </cell>
          <cell r="AH165">
            <v>6.7060085836909873E-3</v>
          </cell>
          <cell r="AI165">
            <v>3.4275144173225489E-3</v>
          </cell>
          <cell r="AJ165">
            <v>1.5028259662190858E-3</v>
          </cell>
          <cell r="AK165">
            <v>1.7589476904252064E-3</v>
          </cell>
          <cell r="AL165">
            <v>8.7174940898345158E-3</v>
          </cell>
          <cell r="AM165">
            <v>2.3768672574729652E-3</v>
          </cell>
          <cell r="AN165">
            <v>4.8648001789830227E-3</v>
          </cell>
        </row>
        <row r="166">
          <cell r="C166" t="str">
            <v>TOOLS/JIGS/FIXTURES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149</v>
          </cell>
          <cell r="Q166">
            <v>8</v>
          </cell>
          <cell r="R166">
            <v>37</v>
          </cell>
          <cell r="S166">
            <v>194</v>
          </cell>
          <cell r="T166">
            <v>194</v>
          </cell>
          <cell r="W166" t="str">
            <v>TOOLS/JIGS/FIXTURES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4.8678493253618213E-3</v>
          </cell>
          <cell r="AK166">
            <v>3.0590394616090549E-4</v>
          </cell>
          <cell r="AL166">
            <v>5.4669030732860521E-3</v>
          </cell>
          <cell r="AM166">
            <v>3.0537234963559949E-3</v>
          </cell>
          <cell r="AN166">
            <v>1.0093809997034292E-3</v>
          </cell>
        </row>
        <row r="167">
          <cell r="C167" t="str">
            <v>LIQUID TRAILER MAINT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W167" t="str">
            <v>LIQUID TRAILER MAINT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</row>
        <row r="168">
          <cell r="C168" t="str">
            <v>PUMPER MAINT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W168" t="str">
            <v>PUMPER MAINT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</row>
        <row r="169">
          <cell r="C169" t="str">
            <v>CYLINDER TRUCK MAINT (NON-SPARTS)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W169" t="str">
            <v>CYLINDER TRUCK MAINT (NON-SPARTS)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</row>
        <row r="170">
          <cell r="C170" t="str">
            <v>CYLINDER TRAILER MAINT (NON-SPARTS)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W170" t="str">
            <v>CYLINDER TRAILER MAINT (NON-SPARTS)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</row>
        <row r="171">
          <cell r="C171" t="str">
            <v>TRACTOR MAINTENANCE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W171" t="str">
            <v>TRACTOR MAINTENANCE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</row>
        <row r="172">
          <cell r="C172" t="str">
            <v>UTILITY TRAILER MAINT (NON-SPARTS)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W172" t="str">
            <v>UTILITY TRAILER MAINT (NON-SPARTS)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</row>
        <row r="173">
          <cell r="C173" t="str">
            <v>RENTAL-MAINT EQUIP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W173" t="str">
            <v>RENTAL-MAINT EQUIP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</row>
        <row r="174">
          <cell r="C174" t="str">
            <v>MAINT + REPAIR-MACH/EQUIP</v>
          </cell>
          <cell r="D174">
            <v>18544</v>
          </cell>
          <cell r="E174">
            <v>19120</v>
          </cell>
          <cell r="F174">
            <v>16012</v>
          </cell>
          <cell r="G174">
            <v>53676</v>
          </cell>
          <cell r="H174">
            <v>13068</v>
          </cell>
          <cell r="I174">
            <v>16416</v>
          </cell>
          <cell r="J174">
            <v>9371</v>
          </cell>
          <cell r="K174">
            <v>38855</v>
          </cell>
          <cell r="L174">
            <v>15001</v>
          </cell>
          <cell r="M174">
            <v>25953</v>
          </cell>
          <cell r="N174">
            <v>23830</v>
          </cell>
          <cell r="O174">
            <v>64784</v>
          </cell>
          <cell r="P174">
            <v>20361</v>
          </cell>
          <cell r="Q174">
            <v>31997</v>
          </cell>
          <cell r="R174">
            <v>45342</v>
          </cell>
          <cell r="S174">
            <v>97700</v>
          </cell>
          <cell r="T174">
            <v>255015</v>
          </cell>
          <cell r="W174" t="str">
            <v>MAINT + REPAIR-MACH/EQUIP</v>
          </cell>
          <cell r="X174">
            <v>1.866720354338635</v>
          </cell>
          <cell r="Y174">
            <v>1.8763493621197251</v>
          </cell>
          <cell r="Z174">
            <v>1.5425818882466282</v>
          </cell>
          <cell r="AA174">
            <v>1.7596380802517702</v>
          </cell>
          <cell r="AB174">
            <v>0.95680187435934982</v>
          </cell>
          <cell r="AC174">
            <v>1.0771653543307087</v>
          </cell>
          <cell r="AD174">
            <v>0.66348060039648826</v>
          </cell>
          <cell r="AE174">
            <v>0.90314257821579658</v>
          </cell>
          <cell r="AF174">
            <v>1.1952988047808766</v>
          </cell>
          <cell r="AG174">
            <v>1.5732904946653734</v>
          </cell>
          <cell r="AH174">
            <v>0.91316676885346415</v>
          </cell>
          <cell r="AI174">
            <v>1.1748576402742013</v>
          </cell>
          <cell r="AJ174">
            <v>0.66519651083014797</v>
          </cell>
          <cell r="AK174">
            <v>1.2235010706638116</v>
          </cell>
          <cell r="AL174">
            <v>6.6994680851063828</v>
          </cell>
          <cell r="AM174">
            <v>1.5378803381133026</v>
          </cell>
          <cell r="AN174">
            <v>1.3268417300998454</v>
          </cell>
        </row>
        <row r="175">
          <cell r="C175" t="str">
            <v>MAINT + REPAIR-VEHICLES</v>
          </cell>
          <cell r="D175">
            <v>0</v>
          </cell>
          <cell r="E175">
            <v>0</v>
          </cell>
          <cell r="F175">
            <v>216</v>
          </cell>
          <cell r="G175">
            <v>216</v>
          </cell>
          <cell r="H175">
            <v>91</v>
          </cell>
          <cell r="I175">
            <v>-16</v>
          </cell>
          <cell r="J175">
            <v>-1</v>
          </cell>
          <cell r="K175">
            <v>74</v>
          </cell>
          <cell r="L175">
            <v>1</v>
          </cell>
          <cell r="M175">
            <v>-12</v>
          </cell>
          <cell r="N175">
            <v>-21</v>
          </cell>
          <cell r="O175">
            <v>-32</v>
          </cell>
          <cell r="P175">
            <v>37</v>
          </cell>
          <cell r="Q175">
            <v>19</v>
          </cell>
          <cell r="R175">
            <v>16</v>
          </cell>
          <cell r="S175">
            <v>72</v>
          </cell>
          <cell r="T175">
            <v>330</v>
          </cell>
          <cell r="W175" t="str">
            <v>MAINT + REPAIR-VEHICLES</v>
          </cell>
          <cell r="X175">
            <v>0</v>
          </cell>
          <cell r="Y175">
            <v>0</v>
          </cell>
          <cell r="Z175">
            <v>2.0809248554913295E-2</v>
          </cell>
          <cell r="AA175">
            <v>7.0810385523210071E-3</v>
          </cell>
          <cell r="AB175">
            <v>6.6627617513545173E-3</v>
          </cell>
          <cell r="AC175">
            <v>-1.0498687664041995E-3</v>
          </cell>
          <cell r="AD175">
            <v>-7.0801472670631546E-5</v>
          </cell>
          <cell r="AE175">
            <v>1.7200502068709033E-3</v>
          </cell>
          <cell r="AF175">
            <v>7.9681274900398409E-5</v>
          </cell>
          <cell r="AG175">
            <v>-7.2744907856450052E-4</v>
          </cell>
          <cell r="AH175">
            <v>-8.0472103004291845E-4</v>
          </cell>
          <cell r="AI175">
            <v>-5.8031990134561678E-4</v>
          </cell>
          <cell r="AJ175">
            <v>1.2087947989153516E-3</v>
          </cell>
          <cell r="AK175">
            <v>7.2652187213215051E-4</v>
          </cell>
          <cell r="AL175">
            <v>2.3640661938534278E-3</v>
          </cell>
          <cell r="AM175">
            <v>1.133340679059957E-3</v>
          </cell>
          <cell r="AN175">
            <v>1.7169882984645962E-3</v>
          </cell>
        </row>
        <row r="176">
          <cell r="C176" t="str">
            <v>MAINT + REPAIR-CYLINDERS</v>
          </cell>
          <cell r="D176">
            <v>1650</v>
          </cell>
          <cell r="E176">
            <v>55</v>
          </cell>
          <cell r="F176">
            <v>511</v>
          </cell>
          <cell r="G176">
            <v>2216</v>
          </cell>
          <cell r="H176">
            <v>1789</v>
          </cell>
          <cell r="I176">
            <v>1378</v>
          </cell>
          <cell r="J176">
            <v>1586</v>
          </cell>
          <cell r="K176">
            <v>4753</v>
          </cell>
          <cell r="L176">
            <v>827</v>
          </cell>
          <cell r="M176">
            <v>1585</v>
          </cell>
          <cell r="N176">
            <v>4254</v>
          </cell>
          <cell r="O176">
            <v>6666</v>
          </cell>
          <cell r="P176">
            <v>4106</v>
          </cell>
          <cell r="Q176">
            <v>1747</v>
          </cell>
          <cell r="R176">
            <v>1814</v>
          </cell>
          <cell r="S176">
            <v>7667</v>
          </cell>
          <cell r="T176">
            <v>21302</v>
          </cell>
          <cell r="W176" t="str">
            <v>MAINT + REPAIR-CYLINDERS</v>
          </cell>
          <cell r="X176">
            <v>0.16609623515200322</v>
          </cell>
          <cell r="Y176">
            <v>5.3974484789008834E-3</v>
          </cell>
          <cell r="Z176">
            <v>4.9229287090558765E-2</v>
          </cell>
          <cell r="AA176">
            <v>7.2646210333071073E-2</v>
          </cell>
          <cell r="AB176">
            <v>0.13098550300190365</v>
          </cell>
          <cell r="AC176">
            <v>9.0419947506561682E-2</v>
          </cell>
          <cell r="AD176">
            <v>0.11229113565562164</v>
          </cell>
          <cell r="AE176">
            <v>0.11047835990888383</v>
          </cell>
          <cell r="AF176">
            <v>6.5896414342629481E-2</v>
          </cell>
          <cell r="AG176">
            <v>9.6083899127061112E-2</v>
          </cell>
          <cell r="AH176">
            <v>0.16301348865726548</v>
          </cell>
          <cell r="AI176">
            <v>0.12088788944905879</v>
          </cell>
          <cell r="AJ176">
            <v>0.13414355254990362</v>
          </cell>
          <cell r="AK176">
            <v>6.6801774242887732E-2</v>
          </cell>
          <cell r="AL176">
            <v>0.26802600472813237</v>
          </cell>
          <cell r="AM176">
            <v>0.12068504147712068</v>
          </cell>
          <cell r="AN176">
            <v>0.1108341961633116</v>
          </cell>
        </row>
        <row r="177">
          <cell r="C177" t="str">
            <v>MAINT + REPAIR-BLDGS</v>
          </cell>
          <cell r="D177">
            <v>0</v>
          </cell>
          <cell r="E177">
            <v>1</v>
          </cell>
          <cell r="F177">
            <v>-1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</v>
          </cell>
          <cell r="Q177">
            <v>0</v>
          </cell>
          <cell r="R177">
            <v>0</v>
          </cell>
          <cell r="S177">
            <v>1</v>
          </cell>
          <cell r="T177">
            <v>1</v>
          </cell>
          <cell r="W177" t="str">
            <v>MAINT + REPAIR-BLDGS</v>
          </cell>
          <cell r="X177">
            <v>0</v>
          </cell>
          <cell r="Y177">
            <v>9.8135426889106971E-5</v>
          </cell>
          <cell r="Z177">
            <v>-9.6339113680154144E-5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3.2670129700414909E-5</v>
          </cell>
          <cell r="AK177">
            <v>0</v>
          </cell>
          <cell r="AL177">
            <v>0</v>
          </cell>
          <cell r="AM177">
            <v>1.5740842764721624E-5</v>
          </cell>
          <cell r="AN177">
            <v>5.2029948438321099E-6</v>
          </cell>
        </row>
        <row r="178">
          <cell r="C178" t="str">
            <v>MAJ MAINT + REPAIR - M + E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W178" t="str">
            <v>MAJ MAINT + REPAIR - M + E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</row>
        <row r="179">
          <cell r="C179" t="str">
            <v>HYDROSTATIC TESTING</v>
          </cell>
          <cell r="D179">
            <v>20</v>
          </cell>
          <cell r="E179">
            <v>1</v>
          </cell>
          <cell r="F179">
            <v>0</v>
          </cell>
          <cell r="G179">
            <v>21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432</v>
          </cell>
          <cell r="M179">
            <v>5</v>
          </cell>
          <cell r="N179">
            <v>0</v>
          </cell>
          <cell r="O179">
            <v>437</v>
          </cell>
          <cell r="P179">
            <v>1</v>
          </cell>
          <cell r="Q179">
            <v>4</v>
          </cell>
          <cell r="R179">
            <v>-5</v>
          </cell>
          <cell r="S179">
            <v>0</v>
          </cell>
          <cell r="T179">
            <v>458</v>
          </cell>
          <cell r="W179" t="str">
            <v>HYDROSTATIC TESTING</v>
          </cell>
          <cell r="X179">
            <v>2.0132876988121604E-3</v>
          </cell>
          <cell r="Y179">
            <v>9.8135426889106971E-5</v>
          </cell>
          <cell r="Z179">
            <v>0</v>
          </cell>
          <cell r="AA179">
            <v>6.8843430369787569E-4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3.4422310756972115E-2</v>
          </cell>
          <cell r="AG179">
            <v>3.0310378273520856E-4</v>
          </cell>
          <cell r="AH179">
            <v>0</v>
          </cell>
          <cell r="AI179">
            <v>7.9249936527510789E-3</v>
          </cell>
          <cell r="AJ179">
            <v>3.2670129700414909E-5</v>
          </cell>
          <cell r="AK179">
            <v>1.5295197308045274E-4</v>
          </cell>
          <cell r="AL179">
            <v>-7.387706855791962E-4</v>
          </cell>
          <cell r="AM179">
            <v>0</v>
          </cell>
          <cell r="AN179">
            <v>2.3829716384751063E-3</v>
          </cell>
        </row>
        <row r="180">
          <cell r="C180" t="str">
            <v>MAINT &amp; REPAIR EXP - SHUTDOWN</v>
          </cell>
          <cell r="D180">
            <v>8</v>
          </cell>
          <cell r="E180">
            <v>2</v>
          </cell>
          <cell r="F180">
            <v>0</v>
          </cell>
          <cell r="G180">
            <v>10</v>
          </cell>
          <cell r="H180">
            <v>0</v>
          </cell>
          <cell r="I180">
            <v>-2</v>
          </cell>
          <cell r="J180">
            <v>0</v>
          </cell>
          <cell r="K180">
            <v>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  <cell r="Q180">
            <v>0</v>
          </cell>
          <cell r="R180">
            <v>0</v>
          </cell>
          <cell r="S180">
            <v>2</v>
          </cell>
          <cell r="T180">
            <v>10</v>
          </cell>
          <cell r="W180" t="str">
            <v>MAINT &amp; REPAIR EXP - SHUTDOWN</v>
          </cell>
          <cell r="X180">
            <v>8.0531507952486415E-4</v>
          </cell>
          <cell r="Y180">
            <v>1.9627085377821394E-4</v>
          </cell>
          <cell r="Z180">
            <v>0</v>
          </cell>
          <cell r="AA180">
            <v>3.2782585890375033E-4</v>
          </cell>
          <cell r="AB180">
            <v>0</v>
          </cell>
          <cell r="AC180">
            <v>-1.3123359580052493E-4</v>
          </cell>
          <cell r="AD180">
            <v>0</v>
          </cell>
          <cell r="AE180">
            <v>-4.6487843428943329E-5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6.5340259400829817E-5</v>
          </cell>
          <cell r="AK180">
            <v>0</v>
          </cell>
          <cell r="AL180">
            <v>0</v>
          </cell>
          <cell r="AM180">
            <v>3.1481685529443249E-5</v>
          </cell>
          <cell r="AN180">
            <v>5.2029948438321098E-5</v>
          </cell>
        </row>
        <row r="181">
          <cell r="C181" t="str">
            <v>MAINT + REPAIRS - MOLDS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W181" t="str">
            <v>MAINT + REPAIRS - MOLDS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</row>
        <row r="182">
          <cell r="C182" t="str">
            <v>MAJ MAINT - PRIOR YEAR ADJUSTMENT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W182" t="str">
            <v>MAJ MAINT - PRIOR YEAR ADJUSTMENT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</row>
        <row r="183">
          <cell r="C183" t="str">
            <v>MAJOR MAINT - OWNED RAILCARS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W183" t="str">
            <v>MAJOR MAINT - OWNED RAILCARS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</row>
        <row r="184">
          <cell r="C184" t="str">
            <v>MAINT MATL-MECHANICAL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W184" t="str">
            <v>MAINT MATL-MECHANICAL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</row>
        <row r="185">
          <cell r="C185" t="str">
            <v>MAINT MATL-I + E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W185" t="str">
            <v>MAINT MATL-I + E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</row>
        <row r="186">
          <cell r="C186" t="str">
            <v>MAINT MATL-PIPES/VALVES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W186" t="str">
            <v>MAINT MATL-PIPES/VALVES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</row>
        <row r="187">
          <cell r="C187" t="str">
            <v>MAINT MATL-GENERAL</v>
          </cell>
          <cell r="D187">
            <v>0</v>
          </cell>
          <cell r="E187">
            <v>96</v>
          </cell>
          <cell r="F187">
            <v>0</v>
          </cell>
          <cell r="G187">
            <v>96</v>
          </cell>
          <cell r="H187">
            <v>3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-1</v>
          </cell>
          <cell r="N187">
            <v>0</v>
          </cell>
          <cell r="O187">
            <v>-1</v>
          </cell>
          <cell r="P187">
            <v>69</v>
          </cell>
          <cell r="Q187">
            <v>-830</v>
          </cell>
          <cell r="R187">
            <v>-754</v>
          </cell>
          <cell r="S187">
            <v>-1515</v>
          </cell>
          <cell r="T187">
            <v>-1417</v>
          </cell>
          <cell r="W187" t="str">
            <v>MAINT MATL-GENERAL</v>
          </cell>
          <cell r="X187">
            <v>0</v>
          </cell>
          <cell r="Y187">
            <v>9.4210009813542692E-3</v>
          </cell>
          <cell r="Z187">
            <v>0</v>
          </cell>
          <cell r="AA187">
            <v>3.1471282454760031E-3</v>
          </cell>
          <cell r="AB187">
            <v>2.1965148630839068E-4</v>
          </cell>
          <cell r="AC187">
            <v>0</v>
          </cell>
          <cell r="AD187">
            <v>0</v>
          </cell>
          <cell r="AE187">
            <v>6.9731765143415004E-5</v>
          </cell>
          <cell r="AF187">
            <v>0</v>
          </cell>
          <cell r="AG187">
            <v>-6.0620756547041708E-5</v>
          </cell>
          <cell r="AH187">
            <v>0</v>
          </cell>
          <cell r="AI187">
            <v>-1.8134996917050524E-5</v>
          </cell>
          <cell r="AJ187">
            <v>2.2542389493286287E-3</v>
          </cell>
          <cell r="AK187">
            <v>-3.1737534414193941E-2</v>
          </cell>
          <cell r="AL187">
            <v>-0.11140661938534278</v>
          </cell>
          <cell r="AM187">
            <v>-2.3847376788553261E-2</v>
          </cell>
          <cell r="AN187">
            <v>-7.3726436937100997E-3</v>
          </cell>
        </row>
        <row r="188">
          <cell r="C188" t="str">
            <v>UNCONTROLL MAINT - INS. EVENTS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6</v>
          </cell>
          <cell r="S188">
            <v>6</v>
          </cell>
          <cell r="T188">
            <v>6</v>
          </cell>
          <cell r="W188" t="str">
            <v>UNCONTROLL MAINT - INS. EVENTS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8.8652482269503544E-4</v>
          </cell>
          <cell r="AM188">
            <v>9.4445056588329733E-5</v>
          </cell>
          <cell r="AN188">
            <v>3.1217969062992661E-5</v>
          </cell>
        </row>
        <row r="189">
          <cell r="C189" t="str">
            <v>TANK CLEANING COSTS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W189" t="str">
            <v>TANK CLEANING COSTS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</row>
        <row r="190">
          <cell r="C190" t="str">
            <v>MAJOR MAINT - MULTI YEAR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W190" t="str">
            <v>MAJOR MAINT - MULTI YEAR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</row>
        <row r="191">
          <cell r="C191" t="str">
            <v>MAINT SERVICES-OUTSIDE</v>
          </cell>
          <cell r="D191">
            <v>6647</v>
          </cell>
          <cell r="E191">
            <v>11510</v>
          </cell>
          <cell r="F191">
            <v>20209</v>
          </cell>
          <cell r="G191">
            <v>38366</v>
          </cell>
          <cell r="H191">
            <v>34905</v>
          </cell>
          <cell r="I191">
            <v>7667</v>
          </cell>
          <cell r="J191">
            <v>7476</v>
          </cell>
          <cell r="K191">
            <v>50048</v>
          </cell>
          <cell r="L191">
            <v>10654</v>
          </cell>
          <cell r="M191">
            <v>6706</v>
          </cell>
          <cell r="N191">
            <v>5080</v>
          </cell>
          <cell r="O191">
            <v>22440</v>
          </cell>
          <cell r="P191">
            <v>9721</v>
          </cell>
          <cell r="Q191">
            <v>3386</v>
          </cell>
          <cell r="R191">
            <v>18379</v>
          </cell>
          <cell r="S191">
            <v>31486</v>
          </cell>
          <cell r="T191">
            <v>142340</v>
          </cell>
          <cell r="W191" t="str">
            <v>MAINT SERVICES-OUTSIDE</v>
          </cell>
          <cell r="X191">
            <v>0.66911616670022145</v>
          </cell>
          <cell r="Y191">
            <v>1.1295387634936211</v>
          </cell>
          <cell r="Z191">
            <v>1.9469171483622352</v>
          </cell>
          <cell r="AA191">
            <v>1.2577366902701286</v>
          </cell>
          <cell r="AB191">
            <v>2.5556450431981257</v>
          </cell>
          <cell r="AC191">
            <v>0.50308398950131239</v>
          </cell>
          <cell r="AD191">
            <v>0.52931180968564151</v>
          </cell>
          <cell r="AE191">
            <v>1.1633117939658779</v>
          </cell>
          <cell r="AF191">
            <v>0.84892430278884468</v>
          </cell>
          <cell r="AG191">
            <v>0.40652279340446168</v>
          </cell>
          <cell r="AH191">
            <v>0.19466584917228694</v>
          </cell>
          <cell r="AI191">
            <v>0.40694933081861379</v>
          </cell>
          <cell r="AJ191">
            <v>0.31758633081773335</v>
          </cell>
          <cell r="AK191">
            <v>0.12947384521260324</v>
          </cell>
          <cell r="AL191">
            <v>2.7155732860520096</v>
          </cell>
          <cell r="AM191">
            <v>0.49561617529002505</v>
          </cell>
          <cell r="AN191">
            <v>0.74059428607106248</v>
          </cell>
        </row>
        <row r="192">
          <cell r="C192" t="str">
            <v>MAINT-EXTRAORDINARY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W192" t="str">
            <v>MAINT-EXTRAORDINARY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</row>
        <row r="193">
          <cell r="C193" t="str">
            <v>PURCH MAINTENANCE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W193" t="str">
            <v>PURCH MAINTENANCE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</row>
        <row r="194">
          <cell r="C194" t="str">
            <v>GAS PRO MAINTENANCE COST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W194" t="str">
            <v>GAS PRO MAINTENANCE COST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</row>
        <row r="195">
          <cell r="C195" t="str">
            <v>IWO CHGS IN - MAINT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W195" t="str">
            <v>IWO CHGS IN - MAINT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</row>
        <row r="196">
          <cell r="C196" t="str">
            <v>TRAILER MAINT &amp; REPAIR EXP. - TRF IN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W196" t="str">
            <v>TRAILER MAINT &amp; REPAIR EXP. - TRF IN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</row>
        <row r="197">
          <cell r="C197" t="str">
            <v>TRAILER RENTAL &amp; DEPREC. EXP. - TRF IN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W197" t="str">
            <v>TRAILER RENTAL &amp; DEPREC. EXP. - TRF IN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</row>
        <row r="198">
          <cell r="C198" t="str">
            <v>CYLINDER TRAILER MAINT EXP. - TRF IN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W198" t="str">
            <v>CYLINDER TRAILER MAINT EXP. - TRF IN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</row>
        <row r="199">
          <cell r="C199" t="str">
            <v>CYLINDER TRUCK MAINT EXP. - TRF IN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W199" t="str">
            <v>CYLINDER TRUCK MAINT EXP. - TRF IN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</row>
        <row r="200">
          <cell r="C200" t="str">
            <v>MISC TRUCK MAINT EXP TRF IN</v>
          </cell>
          <cell r="D200">
            <v>0</v>
          </cell>
          <cell r="E200">
            <v>60</v>
          </cell>
          <cell r="F200">
            <v>-1</v>
          </cell>
          <cell r="G200">
            <v>59</v>
          </cell>
          <cell r="H200">
            <v>47</v>
          </cell>
          <cell r="I200">
            <v>-8</v>
          </cell>
          <cell r="J200">
            <v>0</v>
          </cell>
          <cell r="K200">
            <v>39</v>
          </cell>
          <cell r="L200">
            <v>0</v>
          </cell>
          <cell r="M200">
            <v>-5</v>
          </cell>
          <cell r="N200">
            <v>11</v>
          </cell>
          <cell r="O200">
            <v>6</v>
          </cell>
          <cell r="P200">
            <v>19</v>
          </cell>
          <cell r="Q200">
            <v>1</v>
          </cell>
          <cell r="R200">
            <v>9</v>
          </cell>
          <cell r="S200">
            <v>29</v>
          </cell>
          <cell r="T200">
            <v>133</v>
          </cell>
          <cell r="W200" t="str">
            <v>MISC TRUCK MAINT EXP TRF IN</v>
          </cell>
          <cell r="X200">
            <v>0</v>
          </cell>
          <cell r="Y200">
            <v>5.8881256133464181E-3</v>
          </cell>
          <cell r="Z200">
            <v>-9.6339113680154144E-5</v>
          </cell>
          <cell r="AA200">
            <v>1.934172567532127E-3</v>
          </cell>
          <cell r="AB200">
            <v>3.441206618831454E-3</v>
          </cell>
          <cell r="AC200">
            <v>-5.2493438320209973E-4</v>
          </cell>
          <cell r="AD200">
            <v>0</v>
          </cell>
          <cell r="AE200">
            <v>9.0651294686439499E-4</v>
          </cell>
          <cell r="AF200">
            <v>0</v>
          </cell>
          <cell r="AG200">
            <v>-3.0310378273520856E-4</v>
          </cell>
          <cell r="AH200">
            <v>4.2152053954629061E-4</v>
          </cell>
          <cell r="AI200">
            <v>1.0880998150230315E-4</v>
          </cell>
          <cell r="AJ200">
            <v>6.207324643078833E-4</v>
          </cell>
          <cell r="AK200">
            <v>3.8237993270113186E-5</v>
          </cell>
          <cell r="AL200">
            <v>1.3297872340425532E-3</v>
          </cell>
          <cell r="AM200">
            <v>4.5648444017692708E-4</v>
          </cell>
          <cell r="AN200">
            <v>6.9199831422967059E-4</v>
          </cell>
        </row>
        <row r="201">
          <cell r="C201" t="str">
            <v>CYLINDER TRAILER OTHER EXP. - TRF IN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W201" t="str">
            <v>CYLINDER TRAILER OTHER EXP. - TRF IN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</row>
        <row r="202">
          <cell r="C202" t="str">
            <v>TRF IN MECH MAINT LABOR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W202" t="str">
            <v>TRF IN MECH MAINT LABOR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</row>
        <row r="203">
          <cell r="C203" t="str">
            <v>TOTAL MAINTENANCE</v>
          </cell>
          <cell r="D203">
            <v>26895</v>
          </cell>
          <cell r="E203">
            <v>31201</v>
          </cell>
          <cell r="F203">
            <v>36967</v>
          </cell>
          <cell r="G203">
            <v>95063</v>
          </cell>
          <cell r="H203">
            <v>49917</v>
          </cell>
          <cell r="I203">
            <v>25477</v>
          </cell>
          <cell r="J203">
            <v>18568</v>
          </cell>
          <cell r="K203">
            <v>93962</v>
          </cell>
          <cell r="L203">
            <v>26935</v>
          </cell>
          <cell r="M203">
            <v>34225</v>
          </cell>
          <cell r="N203">
            <v>33598</v>
          </cell>
          <cell r="O203">
            <v>94758</v>
          </cell>
          <cell r="P203">
            <v>34512</v>
          </cell>
          <cell r="Q203">
            <v>36378</v>
          </cell>
          <cell r="R203">
            <v>66062</v>
          </cell>
          <cell r="S203">
            <v>136952</v>
          </cell>
          <cell r="T203">
            <v>420735</v>
          </cell>
          <cell r="W203" t="str">
            <v>TOTAL MAINTENANCE</v>
          </cell>
          <cell r="X203">
            <v>2.7073686329776523</v>
          </cell>
          <cell r="Y203">
            <v>3.0619234543670264</v>
          </cell>
          <cell r="Z203">
            <v>3.5613680154142582</v>
          </cell>
          <cell r="AA203">
            <v>3.1164109624967216</v>
          </cell>
          <cell r="AB203">
            <v>3.6547810806853125</v>
          </cell>
          <cell r="AC203">
            <v>1.6717191601049868</v>
          </cell>
          <cell r="AD203">
            <v>1.3146417445482865</v>
          </cell>
          <cell r="AE203">
            <v>2.1840453721351865</v>
          </cell>
          <cell r="AF203">
            <v>2.1462151394422309</v>
          </cell>
          <cell r="AG203">
            <v>2.0747453928225026</v>
          </cell>
          <cell r="AH203">
            <v>1.2874770079705702</v>
          </cell>
          <cell r="AI203">
            <v>1.7184360378658736</v>
          </cell>
          <cell r="AJ203">
            <v>1.1275115162207194</v>
          </cell>
          <cell r="AK203">
            <v>1.3910217191801775</v>
          </cell>
          <cell r="AL203">
            <v>9.7609338061465714</v>
          </cell>
          <cell r="AM203">
            <v>2.1557398983141556</v>
          </cell>
          <cell r="AN203">
            <v>2.1890820356197027</v>
          </cell>
        </row>
        <row r="204">
          <cell r="D204" t="str">
            <v xml:space="preserve"> </v>
          </cell>
          <cell r="E204" t="str">
            <v xml:space="preserve"> </v>
          </cell>
          <cell r="F204" t="str">
            <v xml:space="preserve"> </v>
          </cell>
          <cell r="G204" t="str">
            <v xml:space="preserve"> </v>
          </cell>
          <cell r="H204" t="str">
            <v xml:space="preserve"> </v>
          </cell>
          <cell r="I204" t="str">
            <v xml:space="preserve"> </v>
          </cell>
          <cell r="J204" t="str">
            <v xml:space="preserve"> </v>
          </cell>
          <cell r="K204" t="str">
            <v xml:space="preserve"> </v>
          </cell>
          <cell r="L204" t="str">
            <v xml:space="preserve"> </v>
          </cell>
          <cell r="M204" t="str">
            <v xml:space="preserve"> 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</row>
        <row r="205">
          <cell r="C205" t="str">
            <v>PROCESSING SUPPLIES</v>
          </cell>
          <cell r="D205">
            <v>4385</v>
          </cell>
          <cell r="E205">
            <v>4738</v>
          </cell>
          <cell r="F205">
            <v>2736</v>
          </cell>
          <cell r="G205">
            <v>11859</v>
          </cell>
          <cell r="H205">
            <v>8589</v>
          </cell>
          <cell r="I205">
            <v>3358</v>
          </cell>
          <cell r="J205">
            <v>7625</v>
          </cell>
          <cell r="K205">
            <v>19572</v>
          </cell>
          <cell r="L205">
            <v>5234</v>
          </cell>
          <cell r="M205">
            <v>7668</v>
          </cell>
          <cell r="N205">
            <v>8579</v>
          </cell>
          <cell r="O205">
            <v>21481</v>
          </cell>
          <cell r="P205">
            <v>3262</v>
          </cell>
          <cell r="Q205">
            <v>6555</v>
          </cell>
          <cell r="R205">
            <v>2505</v>
          </cell>
          <cell r="S205">
            <v>12322</v>
          </cell>
          <cell r="T205">
            <v>65234</v>
          </cell>
          <cell r="W205" t="str">
            <v>PROCESSING SUPPLIES</v>
          </cell>
          <cell r="X205">
            <v>0.44141332796456612</v>
          </cell>
          <cell r="Y205">
            <v>0.46496565260058881</v>
          </cell>
          <cell r="Z205">
            <v>0.26358381502890171</v>
          </cell>
          <cell r="AA205">
            <v>0.38876868607395754</v>
          </cell>
          <cell r="AB205">
            <v>0.62886220530092252</v>
          </cell>
          <cell r="AC205">
            <v>0.22034120734908136</v>
          </cell>
          <cell r="AD205">
            <v>0.5398612291135656</v>
          </cell>
          <cell r="AE205">
            <v>0.45493003579563945</v>
          </cell>
          <cell r="AF205">
            <v>0.41705179282868526</v>
          </cell>
          <cell r="AG205">
            <v>0.46483996120271581</v>
          </cell>
          <cell r="AH205">
            <v>0.32874770079705701</v>
          </cell>
          <cell r="AI205">
            <v>0.3895578687751623</v>
          </cell>
          <cell r="AJ205">
            <v>0.10656996308275343</v>
          </cell>
          <cell r="AK205">
            <v>0.25065004588559192</v>
          </cell>
          <cell r="AL205">
            <v>0.37012411347517732</v>
          </cell>
          <cell r="AM205">
            <v>0.19395866454689983</v>
          </cell>
          <cell r="AN205">
            <v>0.33941216564254384</v>
          </cell>
        </row>
        <row r="206">
          <cell r="C206" t="str">
            <v>STATIONERY + OFFICE SUP</v>
          </cell>
          <cell r="D206">
            <v>440</v>
          </cell>
          <cell r="E206">
            <v>379</v>
          </cell>
          <cell r="F206">
            <v>514</v>
          </cell>
          <cell r="G206">
            <v>1333</v>
          </cell>
          <cell r="H206">
            <v>456</v>
          </cell>
          <cell r="I206">
            <v>1102</v>
          </cell>
          <cell r="J206">
            <v>666</v>
          </cell>
          <cell r="K206">
            <v>2224</v>
          </cell>
          <cell r="L206">
            <v>344</v>
          </cell>
          <cell r="M206">
            <v>423</v>
          </cell>
          <cell r="N206">
            <v>1438</v>
          </cell>
          <cell r="O206">
            <v>2205</v>
          </cell>
          <cell r="P206">
            <v>385</v>
          </cell>
          <cell r="Q206">
            <v>415</v>
          </cell>
          <cell r="R206">
            <v>524</v>
          </cell>
          <cell r="S206">
            <v>1324</v>
          </cell>
          <cell r="T206">
            <v>7086</v>
          </cell>
          <cell r="W206" t="str">
            <v>STATIONERY + OFFICE SUP</v>
          </cell>
          <cell r="X206">
            <v>4.4292329373867526E-2</v>
          </cell>
          <cell r="Y206">
            <v>3.7193326790971544E-2</v>
          </cell>
          <cell r="Z206">
            <v>4.9518304431599228E-2</v>
          </cell>
          <cell r="AA206">
            <v>4.3699186991869921E-2</v>
          </cell>
          <cell r="AB206">
            <v>3.3387025918875386E-2</v>
          </cell>
          <cell r="AC206">
            <v>7.2309711286089234E-2</v>
          </cell>
          <cell r="AD206">
            <v>4.7153780798640611E-2</v>
          </cell>
          <cell r="AE206">
            <v>5.1694481892984985E-2</v>
          </cell>
          <cell r="AF206">
            <v>2.741035856573705E-2</v>
          </cell>
          <cell r="AG206">
            <v>2.5642580019398641E-2</v>
          </cell>
          <cell r="AH206">
            <v>5.510423053341508E-2</v>
          </cell>
          <cell r="AI206">
            <v>3.9987668202096406E-2</v>
          </cell>
          <cell r="AJ206">
            <v>1.2577999934659741E-2</v>
          </cell>
          <cell r="AK206">
            <v>1.586876720709697E-2</v>
          </cell>
          <cell r="AL206">
            <v>7.7423167848699764E-2</v>
          </cell>
          <cell r="AM206">
            <v>2.084087582049143E-2</v>
          </cell>
          <cell r="AN206">
            <v>3.6868421463394328E-2</v>
          </cell>
        </row>
        <row r="207">
          <cell r="C207" t="str">
            <v>OFFICE EQUIPMENT</v>
          </cell>
          <cell r="D207">
            <v>0</v>
          </cell>
          <cell r="E207">
            <v>9</v>
          </cell>
          <cell r="F207">
            <v>900</v>
          </cell>
          <cell r="G207">
            <v>909</v>
          </cell>
          <cell r="H207">
            <v>81</v>
          </cell>
          <cell r="I207">
            <v>65</v>
          </cell>
          <cell r="J207">
            <v>0</v>
          </cell>
          <cell r="K207">
            <v>146</v>
          </cell>
          <cell r="L207">
            <v>2</v>
          </cell>
          <cell r="M207">
            <v>41</v>
          </cell>
          <cell r="N207">
            <v>0</v>
          </cell>
          <cell r="O207">
            <v>43</v>
          </cell>
          <cell r="P207">
            <v>75</v>
          </cell>
          <cell r="Q207">
            <v>4</v>
          </cell>
          <cell r="R207">
            <v>44</v>
          </cell>
          <cell r="S207">
            <v>123</v>
          </cell>
          <cell r="T207">
            <v>1221</v>
          </cell>
          <cell r="W207" t="str">
            <v>OFFICE EQUIPMENT</v>
          </cell>
          <cell r="X207">
            <v>0</v>
          </cell>
          <cell r="Y207">
            <v>8.8321884200196269E-4</v>
          </cell>
          <cell r="Z207">
            <v>8.6705202312138727E-2</v>
          </cell>
          <cell r="AA207">
            <v>2.9799370574350906E-2</v>
          </cell>
          <cell r="AB207">
            <v>5.9305901303265485E-3</v>
          </cell>
          <cell r="AC207">
            <v>4.2650918635170603E-3</v>
          </cell>
          <cell r="AD207">
            <v>0</v>
          </cell>
          <cell r="AE207">
            <v>3.3936125703128632E-3</v>
          </cell>
          <cell r="AF207">
            <v>1.5936254980079682E-4</v>
          </cell>
          <cell r="AG207">
            <v>2.48545101842871E-3</v>
          </cell>
          <cell r="AH207">
            <v>0</v>
          </cell>
          <cell r="AI207">
            <v>7.7980486743317254E-4</v>
          </cell>
          <cell r="AJ207">
            <v>2.4502597275311185E-3</v>
          </cell>
          <cell r="AK207">
            <v>1.5295197308045274E-4</v>
          </cell>
          <cell r="AL207">
            <v>6.5011820330969266E-3</v>
          </cell>
          <cell r="AM207">
            <v>1.9361236600607596E-3</v>
          </cell>
          <cell r="AN207">
            <v>6.3528567043190064E-3</v>
          </cell>
        </row>
        <row r="208">
          <cell r="C208" t="str">
            <v>BLUE PRINT SUPPLIES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W208" t="str">
            <v>BLUE PRINT SUPPLIES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</row>
        <row r="209">
          <cell r="C209" t="str">
            <v>MISC SUPPLIES</v>
          </cell>
          <cell r="D209">
            <v>1809</v>
          </cell>
          <cell r="E209">
            <v>1053</v>
          </cell>
          <cell r="F209">
            <v>2192</v>
          </cell>
          <cell r="G209">
            <v>5054</v>
          </cell>
          <cell r="H209">
            <v>2513</v>
          </cell>
          <cell r="I209">
            <v>3436</v>
          </cell>
          <cell r="J209">
            <v>2132</v>
          </cell>
          <cell r="K209">
            <v>8081</v>
          </cell>
          <cell r="L209">
            <v>4009</v>
          </cell>
          <cell r="M209">
            <v>3476</v>
          </cell>
          <cell r="N209">
            <v>5481</v>
          </cell>
          <cell r="O209">
            <v>12966</v>
          </cell>
          <cell r="P209">
            <v>11952</v>
          </cell>
          <cell r="Q209">
            <v>5998</v>
          </cell>
          <cell r="R209">
            <v>11838</v>
          </cell>
          <cell r="S209">
            <v>29788</v>
          </cell>
          <cell r="T209">
            <v>55889</v>
          </cell>
          <cell r="W209" t="str">
            <v>MISC SUPPLIES</v>
          </cell>
          <cell r="X209">
            <v>0.1821018723575599</v>
          </cell>
          <cell r="Y209">
            <v>0.10333660451422964</v>
          </cell>
          <cell r="Z209">
            <v>0.21117533718689788</v>
          </cell>
          <cell r="AA209">
            <v>0.16568318908995541</v>
          </cell>
          <cell r="AB209">
            <v>0.18399472836432859</v>
          </cell>
          <cell r="AC209">
            <v>0.22545931758530183</v>
          </cell>
          <cell r="AD209">
            <v>0.15094873973378647</v>
          </cell>
          <cell r="AE209">
            <v>0.18783413137464552</v>
          </cell>
          <cell r="AF209">
            <v>0.31944223107569719</v>
          </cell>
          <cell r="AG209">
            <v>0.21071774975751698</v>
          </cell>
          <cell r="AH209">
            <v>0.21003218884120173</v>
          </cell>
          <cell r="AI209">
            <v>0.23513837002647708</v>
          </cell>
          <cell r="AJ209">
            <v>0.390473390179359</v>
          </cell>
          <cell r="AK209">
            <v>0.22935148363413888</v>
          </cell>
          <cell r="AL209">
            <v>1.749113475177305</v>
          </cell>
          <cell r="AM209">
            <v>0.46888822427552773</v>
          </cell>
          <cell r="AN209">
            <v>0.29079017882693281</v>
          </cell>
        </row>
        <row r="210">
          <cell r="C210" t="str">
            <v>STANDARD PRINTED FORMS</v>
          </cell>
          <cell r="D210">
            <v>61</v>
          </cell>
          <cell r="E210">
            <v>108</v>
          </cell>
          <cell r="F210">
            <v>48</v>
          </cell>
          <cell r="G210">
            <v>217</v>
          </cell>
          <cell r="H210">
            <v>99</v>
          </cell>
          <cell r="I210">
            <v>30</v>
          </cell>
          <cell r="J210">
            <v>20</v>
          </cell>
          <cell r="K210">
            <v>149</v>
          </cell>
          <cell r="L210">
            <v>10</v>
          </cell>
          <cell r="M210">
            <v>-6</v>
          </cell>
          <cell r="N210">
            <v>64</v>
          </cell>
          <cell r="O210">
            <v>68</v>
          </cell>
          <cell r="P210">
            <v>51</v>
          </cell>
          <cell r="Q210">
            <v>28</v>
          </cell>
          <cell r="R210">
            <v>-5</v>
          </cell>
          <cell r="S210">
            <v>74</v>
          </cell>
          <cell r="T210">
            <v>508</v>
          </cell>
          <cell r="W210" t="str">
            <v>STANDARD PRINTED FORMS</v>
          </cell>
          <cell r="X210">
            <v>6.140527481377089E-3</v>
          </cell>
          <cell r="Y210">
            <v>1.0598626104023552E-2</v>
          </cell>
          <cell r="Z210">
            <v>4.6242774566473991E-3</v>
          </cell>
          <cell r="AA210">
            <v>7.1138211382113818E-3</v>
          </cell>
          <cell r="AB210">
            <v>7.2484990481768924E-3</v>
          </cell>
          <cell r="AC210">
            <v>1.968503937007874E-3</v>
          </cell>
          <cell r="AD210">
            <v>1.4160294534126311E-3</v>
          </cell>
          <cell r="AE210">
            <v>3.4633443354562784E-3</v>
          </cell>
          <cell r="AF210">
            <v>7.9681274900398409E-4</v>
          </cell>
          <cell r="AG210">
            <v>-3.6372453928225026E-4</v>
          </cell>
          <cell r="AH210">
            <v>2.452483139178418E-3</v>
          </cell>
          <cell r="AI210">
            <v>1.2331797903594357E-3</v>
          </cell>
          <cell r="AJ210">
            <v>1.6661766147211604E-3</v>
          </cell>
          <cell r="AK210">
            <v>1.0706638115631692E-3</v>
          </cell>
          <cell r="AL210">
            <v>-7.387706855791962E-4</v>
          </cell>
          <cell r="AM210">
            <v>1.1648223645894002E-3</v>
          </cell>
          <cell r="AN210">
            <v>2.6431213806667117E-3</v>
          </cell>
        </row>
        <row r="211">
          <cell r="C211" t="str">
            <v>MULTILITH SUPPLIES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W211" t="str">
            <v>MULTILITH SUPPLIES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</row>
        <row r="212">
          <cell r="C212" t="str">
            <v>GENERAL OPERATING SUPPLY</v>
          </cell>
          <cell r="D212">
            <v>45</v>
          </cell>
          <cell r="E212">
            <v>141</v>
          </cell>
          <cell r="F212">
            <v>-5</v>
          </cell>
          <cell r="G212">
            <v>181</v>
          </cell>
          <cell r="H212">
            <v>5</v>
          </cell>
          <cell r="I212">
            <v>1</v>
          </cell>
          <cell r="J212">
            <v>10</v>
          </cell>
          <cell r="K212">
            <v>16</v>
          </cell>
          <cell r="L212">
            <v>12</v>
          </cell>
          <cell r="M212">
            <v>0</v>
          </cell>
          <cell r="N212">
            <v>14</v>
          </cell>
          <cell r="O212">
            <v>26</v>
          </cell>
          <cell r="P212">
            <v>46</v>
          </cell>
          <cell r="Q212">
            <v>1</v>
          </cell>
          <cell r="R212">
            <v>56</v>
          </cell>
          <cell r="S212">
            <v>103</v>
          </cell>
          <cell r="T212">
            <v>326</v>
          </cell>
          <cell r="W212" t="str">
            <v>GENERAL OPERATING SUPPLY</v>
          </cell>
          <cell r="X212">
            <v>4.5298973223273607E-3</v>
          </cell>
          <cell r="Y212">
            <v>1.3837095191364083E-2</v>
          </cell>
          <cell r="Z212">
            <v>-4.8169556840077071E-4</v>
          </cell>
          <cell r="AA212">
            <v>5.933648046157881E-3</v>
          </cell>
          <cell r="AB212">
            <v>3.6608581051398448E-4</v>
          </cell>
          <cell r="AC212">
            <v>6.5616797900262466E-5</v>
          </cell>
          <cell r="AD212">
            <v>7.0801472670631554E-4</v>
          </cell>
          <cell r="AE212">
            <v>3.7190274743154663E-4</v>
          </cell>
          <cell r="AF212">
            <v>9.5617529880478091E-4</v>
          </cell>
          <cell r="AG212">
            <v>0</v>
          </cell>
          <cell r="AH212">
            <v>5.3648068669527897E-4</v>
          </cell>
          <cell r="AI212">
            <v>4.7150991984331361E-4</v>
          </cell>
          <cell r="AJ212">
            <v>1.5028259662190858E-3</v>
          </cell>
          <cell r="AK212">
            <v>3.8237993270113186E-5</v>
          </cell>
          <cell r="AL212">
            <v>8.2742316784869974E-3</v>
          </cell>
          <cell r="AM212">
            <v>1.6213068047663272E-3</v>
          </cell>
          <cell r="AN212">
            <v>1.6961763190892678E-3</v>
          </cell>
        </row>
        <row r="213">
          <cell r="C213" t="str">
            <v>LAB-ANALYT MATL + SUPPLY</v>
          </cell>
          <cell r="D213">
            <v>1408</v>
          </cell>
          <cell r="E213">
            <v>211</v>
          </cell>
          <cell r="F213">
            <v>533</v>
          </cell>
          <cell r="G213">
            <v>2152</v>
          </cell>
          <cell r="H213">
            <v>812</v>
          </cell>
          <cell r="I213">
            <v>2332</v>
          </cell>
          <cell r="J213">
            <v>502</v>
          </cell>
          <cell r="K213">
            <v>3646</v>
          </cell>
          <cell r="L213">
            <v>190</v>
          </cell>
          <cell r="M213">
            <v>454</v>
          </cell>
          <cell r="N213">
            <v>649</v>
          </cell>
          <cell r="O213">
            <v>1293</v>
          </cell>
          <cell r="P213">
            <v>5437</v>
          </cell>
          <cell r="Q213">
            <v>1923</v>
          </cell>
          <cell r="R213">
            <v>1510</v>
          </cell>
          <cell r="S213">
            <v>8870</v>
          </cell>
          <cell r="T213">
            <v>15961</v>
          </cell>
          <cell r="W213" t="str">
            <v>LAB-ANALYT MATL + SUPPLY</v>
          </cell>
          <cell r="X213">
            <v>0.14173545399637608</v>
          </cell>
          <cell r="Y213">
            <v>2.0706575073601571E-2</v>
          </cell>
          <cell r="Z213">
            <v>5.1348747591522158E-2</v>
          </cell>
          <cell r="AA213">
            <v>7.0548124836087064E-2</v>
          </cell>
          <cell r="AB213">
            <v>5.9452335627471077E-2</v>
          </cell>
          <cell r="AC213">
            <v>0.15301837270341206</v>
          </cell>
          <cell r="AD213">
            <v>3.5542339280657038E-2</v>
          </cell>
          <cell r="AE213">
            <v>8.4747338570963698E-2</v>
          </cell>
          <cell r="AF213">
            <v>1.5139442231075698E-2</v>
          </cell>
          <cell r="AG213">
            <v>2.7521823472356936E-2</v>
          </cell>
          <cell r="AH213">
            <v>2.4869711833231146E-2</v>
          </cell>
          <cell r="AI213">
            <v>2.3448551013746328E-2</v>
          </cell>
          <cell r="AJ213">
            <v>0.17762749518115586</v>
          </cell>
          <cell r="AK213">
            <v>7.353166105842765E-2</v>
          </cell>
          <cell r="AL213">
            <v>0.22310874704491726</v>
          </cell>
          <cell r="AM213">
            <v>0.1396212753230808</v>
          </cell>
          <cell r="AN213">
            <v>8.3045000702404309E-2</v>
          </cell>
        </row>
        <row r="214">
          <cell r="C214" t="str">
            <v>MICROFILM SUPPLIES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W214" t="str">
            <v>MICROFILM SUPPLIES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</row>
        <row r="215">
          <cell r="C215" t="str">
            <v>PURCHASED UNIFORMS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W215" t="str">
            <v>PURCHASED UNIFORMS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</row>
        <row r="216">
          <cell r="C216" t="str">
            <v>FILTER EXPENSE</v>
          </cell>
          <cell r="D216">
            <v>7</v>
          </cell>
          <cell r="E216">
            <v>0</v>
          </cell>
          <cell r="F216">
            <v>-1</v>
          </cell>
          <cell r="G216">
            <v>6</v>
          </cell>
          <cell r="H216">
            <v>0</v>
          </cell>
          <cell r="I216">
            <v>7</v>
          </cell>
          <cell r="J216">
            <v>7</v>
          </cell>
          <cell r="K216">
            <v>14</v>
          </cell>
          <cell r="L216">
            <v>1</v>
          </cell>
          <cell r="M216">
            <v>5</v>
          </cell>
          <cell r="N216">
            <v>1</v>
          </cell>
          <cell r="O216">
            <v>7</v>
          </cell>
          <cell r="P216">
            <v>7</v>
          </cell>
          <cell r="Q216">
            <v>0</v>
          </cell>
          <cell r="R216">
            <v>-1</v>
          </cell>
          <cell r="S216">
            <v>6</v>
          </cell>
          <cell r="T216">
            <v>33</v>
          </cell>
          <cell r="W216" t="str">
            <v>FILTER EXPENSE</v>
          </cell>
          <cell r="X216">
            <v>7.0465069458425613E-4</v>
          </cell>
          <cell r="Y216">
            <v>0</v>
          </cell>
          <cell r="Z216">
            <v>-9.6339113680154144E-5</v>
          </cell>
          <cell r="AA216">
            <v>1.966955153422502E-4</v>
          </cell>
          <cell r="AB216">
            <v>0</v>
          </cell>
          <cell r="AC216">
            <v>4.5931758530183726E-4</v>
          </cell>
          <cell r="AD216">
            <v>4.9561030869442089E-4</v>
          </cell>
          <cell r="AE216">
            <v>3.254149040026033E-4</v>
          </cell>
          <cell r="AF216">
            <v>7.9681274900398409E-5</v>
          </cell>
          <cell r="AG216">
            <v>3.0310378273520856E-4</v>
          </cell>
          <cell r="AH216">
            <v>3.8320049049662781E-5</v>
          </cell>
          <cell r="AI216">
            <v>1.2694497841935366E-4</v>
          </cell>
          <cell r="AJ216">
            <v>2.2869090790290437E-4</v>
          </cell>
          <cell r="AK216">
            <v>0</v>
          </cell>
          <cell r="AL216">
            <v>-1.4775413711583924E-4</v>
          </cell>
          <cell r="AM216">
            <v>9.4445056588329733E-5</v>
          </cell>
          <cell r="AN216">
            <v>1.7169882984645961E-4</v>
          </cell>
        </row>
        <row r="217">
          <cell r="C217" t="str">
            <v>INSTRUMENT MATLS/SUPPLIES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1550</v>
          </cell>
          <cell r="I217">
            <v>1942</v>
          </cell>
          <cell r="J217">
            <v>0</v>
          </cell>
          <cell r="K217">
            <v>3492</v>
          </cell>
          <cell r="L217">
            <v>1</v>
          </cell>
          <cell r="M217">
            <v>951</v>
          </cell>
          <cell r="N217">
            <v>0</v>
          </cell>
          <cell r="O217">
            <v>952</v>
          </cell>
          <cell r="P217">
            <v>153</v>
          </cell>
          <cell r="Q217">
            <v>727</v>
          </cell>
          <cell r="R217">
            <v>8</v>
          </cell>
          <cell r="S217">
            <v>888</v>
          </cell>
          <cell r="T217">
            <v>5332</v>
          </cell>
          <cell r="W217" t="str">
            <v>INSTRUMENT MATLS/SUPPLIES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0.11348660125933518</v>
          </cell>
          <cell r="AC217">
            <v>0.12742782152230972</v>
          </cell>
          <cell r="AD217">
            <v>0</v>
          </cell>
          <cell r="AE217">
            <v>8.1167774626935058E-2</v>
          </cell>
          <cell r="AF217">
            <v>7.9681274900398409E-5</v>
          </cell>
          <cell r="AG217">
            <v>5.7650339476236663E-2</v>
          </cell>
          <cell r="AH217">
            <v>0</v>
          </cell>
          <cell r="AI217">
            <v>1.7264517065032098E-2</v>
          </cell>
          <cell r="AJ217">
            <v>4.9985298441634811E-3</v>
          </cell>
          <cell r="AK217">
            <v>2.7799021107372285E-2</v>
          </cell>
          <cell r="AL217">
            <v>1.1820330969267139E-3</v>
          </cell>
          <cell r="AM217">
            <v>1.3977868375072802E-2</v>
          </cell>
          <cell r="AN217">
            <v>2.774236850731281E-2</v>
          </cell>
        </row>
        <row r="218">
          <cell r="C218" t="str">
            <v>SAFETY SUPPLIES</v>
          </cell>
          <cell r="D218">
            <v>383</v>
          </cell>
          <cell r="E218">
            <v>1281</v>
          </cell>
          <cell r="F218">
            <v>887</v>
          </cell>
          <cell r="G218">
            <v>2551</v>
          </cell>
          <cell r="H218">
            <v>2183</v>
          </cell>
          <cell r="I218">
            <v>1597</v>
          </cell>
          <cell r="J218">
            <v>2524</v>
          </cell>
          <cell r="K218">
            <v>6304</v>
          </cell>
          <cell r="L218">
            <v>1608</v>
          </cell>
          <cell r="M218">
            <v>1721</v>
          </cell>
          <cell r="N218">
            <v>1666</v>
          </cell>
          <cell r="O218">
            <v>4995</v>
          </cell>
          <cell r="P218">
            <v>3120</v>
          </cell>
          <cell r="Q218">
            <v>773</v>
          </cell>
          <cell r="R218">
            <v>6193</v>
          </cell>
          <cell r="S218">
            <v>10086</v>
          </cell>
          <cell r="T218">
            <v>23936</v>
          </cell>
          <cell r="W218" t="str">
            <v>SAFETY SUPPLIES</v>
          </cell>
          <cell r="X218">
            <v>3.8554459432252872E-2</v>
          </cell>
          <cell r="Y218">
            <v>0.12571148184494602</v>
          </cell>
          <cell r="Z218">
            <v>8.5452793834296728E-2</v>
          </cell>
          <cell r="AA218">
            <v>8.3628376606346713E-2</v>
          </cell>
          <cell r="AB218">
            <v>0.15983306487040563</v>
          </cell>
          <cell r="AC218">
            <v>0.10479002624671915</v>
          </cell>
          <cell r="AD218">
            <v>0.17870291702067403</v>
          </cell>
          <cell r="AE218">
            <v>0.14652968248802939</v>
          </cell>
          <cell r="AF218">
            <v>0.12812749003984064</v>
          </cell>
          <cell r="AG218">
            <v>0.10432832201745877</v>
          </cell>
          <cell r="AH218">
            <v>6.3841201716738197E-2</v>
          </cell>
          <cell r="AI218">
            <v>9.0584309600667365E-2</v>
          </cell>
          <cell r="AJ218">
            <v>0.10193080466529453</v>
          </cell>
          <cell r="AK218">
            <v>2.9557968797797492E-2</v>
          </cell>
          <cell r="AL218">
            <v>0.91504137115839246</v>
          </cell>
          <cell r="AM218">
            <v>0.1587621401249823</v>
          </cell>
          <cell r="AN218">
            <v>0.12453888458196538</v>
          </cell>
        </row>
        <row r="219">
          <cell r="C219" t="str">
            <v>ORGANIZATION &amp; MAINT. EXP.</v>
          </cell>
          <cell r="D219">
            <v>1616</v>
          </cell>
          <cell r="E219">
            <v>1203</v>
          </cell>
          <cell r="F219">
            <v>2150</v>
          </cell>
          <cell r="G219">
            <v>4969</v>
          </cell>
          <cell r="H219">
            <v>1996</v>
          </cell>
          <cell r="I219">
            <v>2576</v>
          </cell>
          <cell r="J219">
            <v>332</v>
          </cell>
          <cell r="K219">
            <v>4904</v>
          </cell>
          <cell r="L219">
            <v>14</v>
          </cell>
          <cell r="M219">
            <v>2409</v>
          </cell>
          <cell r="N219">
            <v>324</v>
          </cell>
          <cell r="O219">
            <v>2747</v>
          </cell>
          <cell r="P219">
            <v>1048</v>
          </cell>
          <cell r="Q219">
            <v>-1</v>
          </cell>
          <cell r="R219">
            <v>776</v>
          </cell>
          <cell r="S219">
            <v>1823</v>
          </cell>
          <cell r="T219">
            <v>14443</v>
          </cell>
          <cell r="W219" t="str">
            <v>ORGANIZATION &amp; MAINT. EXP.</v>
          </cell>
          <cell r="X219">
            <v>0.16267364606402254</v>
          </cell>
          <cell r="Y219">
            <v>0.11805691854759569</v>
          </cell>
          <cell r="Z219">
            <v>0.2071290944123314</v>
          </cell>
          <cell r="AA219">
            <v>0.16289666928927354</v>
          </cell>
          <cell r="AB219">
            <v>0.14614145555718261</v>
          </cell>
          <cell r="AC219">
            <v>0.16902887139107611</v>
          </cell>
          <cell r="AD219">
            <v>2.3506088926649675E-2</v>
          </cell>
          <cell r="AE219">
            <v>0.11398819208776904</v>
          </cell>
          <cell r="AF219">
            <v>1.1155378486055777E-3</v>
          </cell>
          <cell r="AG219">
            <v>0.14603540252182348</v>
          </cell>
          <cell r="AH219">
            <v>1.2415695892090742E-2</v>
          </cell>
          <cell r="AI219">
            <v>4.981683653113779E-2</v>
          </cell>
          <cell r="AJ219">
            <v>3.4238295926034827E-2</v>
          </cell>
          <cell r="AK219">
            <v>-3.8237993270113186E-5</v>
          </cell>
          <cell r="AL219">
            <v>0.11465721040189125</v>
          </cell>
          <cell r="AM219">
            <v>2.8695556360087519E-2</v>
          </cell>
          <cell r="AN219">
            <v>7.5146854529467164E-2</v>
          </cell>
        </row>
        <row r="220">
          <cell r="C220" t="str">
            <v>SPEC GAS MISC. CYLINDER PARTS</v>
          </cell>
          <cell r="D220">
            <v>585</v>
          </cell>
          <cell r="E220">
            <v>1294</v>
          </cell>
          <cell r="F220">
            <v>518</v>
          </cell>
          <cell r="G220">
            <v>2397</v>
          </cell>
          <cell r="H220">
            <v>4543</v>
          </cell>
          <cell r="I220">
            <v>2300</v>
          </cell>
          <cell r="J220">
            <v>989</v>
          </cell>
          <cell r="K220">
            <v>7832</v>
          </cell>
          <cell r="L220">
            <v>10060</v>
          </cell>
          <cell r="M220">
            <v>667</v>
          </cell>
          <cell r="N220">
            <v>520</v>
          </cell>
          <cell r="O220">
            <v>11247</v>
          </cell>
          <cell r="P220">
            <v>2223</v>
          </cell>
          <cell r="Q220">
            <v>734</v>
          </cell>
          <cell r="R220">
            <v>124</v>
          </cell>
          <cell r="S220">
            <v>3081</v>
          </cell>
          <cell r="T220">
            <v>24557</v>
          </cell>
          <cell r="W220" t="str">
            <v>SPEC GAS MISC. CYLINDER PARTS</v>
          </cell>
          <cell r="X220">
            <v>5.8888665190255686E-2</v>
          </cell>
          <cell r="Y220">
            <v>0.12698724239450443</v>
          </cell>
          <cell r="Z220">
            <v>4.9903660886319846E-2</v>
          </cell>
          <cell r="AA220">
            <v>7.8579858379228956E-2</v>
          </cell>
          <cell r="AB220">
            <v>0.33262556743300631</v>
          </cell>
          <cell r="AC220">
            <v>0.15091863517060367</v>
          </cell>
          <cell r="AD220">
            <v>7.0022656471254607E-2</v>
          </cell>
          <cell r="AE220">
            <v>0.18204639486774207</v>
          </cell>
          <cell r="AF220">
            <v>0.80159362549800794</v>
          </cell>
          <cell r="AG220">
            <v>4.0434044616876816E-2</v>
          </cell>
          <cell r="AH220">
            <v>1.9926425505824647E-2</v>
          </cell>
          <cell r="AI220">
            <v>0.20396431032606724</v>
          </cell>
          <cell r="AJ220">
            <v>7.2625698324022353E-2</v>
          </cell>
          <cell r="AK220">
            <v>2.8066687060263076E-2</v>
          </cell>
          <cell r="AL220">
            <v>1.8321513002364065E-2</v>
          </cell>
          <cell r="AM220">
            <v>4.8497536558107318E-2</v>
          </cell>
          <cell r="AN220">
            <v>0.12776994437998512</v>
          </cell>
        </row>
        <row r="221">
          <cell r="C221" t="str">
            <v>SAFETY PROMOTION MATERIAL</v>
          </cell>
          <cell r="D221">
            <v>0</v>
          </cell>
          <cell r="E221">
            <v>395</v>
          </cell>
          <cell r="F221">
            <v>-4</v>
          </cell>
          <cell r="G221">
            <v>391</v>
          </cell>
          <cell r="H221">
            <v>4</v>
          </cell>
          <cell r="I221">
            <v>1</v>
          </cell>
          <cell r="J221">
            <v>19</v>
          </cell>
          <cell r="K221">
            <v>24</v>
          </cell>
          <cell r="L221">
            <v>1</v>
          </cell>
          <cell r="M221">
            <v>-3</v>
          </cell>
          <cell r="N221">
            <v>-2</v>
          </cell>
          <cell r="O221">
            <v>-4</v>
          </cell>
          <cell r="P221">
            <v>284</v>
          </cell>
          <cell r="Q221">
            <v>5</v>
          </cell>
          <cell r="R221">
            <v>6</v>
          </cell>
          <cell r="S221">
            <v>295</v>
          </cell>
          <cell r="T221">
            <v>706</v>
          </cell>
          <cell r="W221" t="str">
            <v>SAFETY PROMOTION MATERIAL</v>
          </cell>
          <cell r="X221">
            <v>0</v>
          </cell>
          <cell r="Y221">
            <v>3.8763493621197249E-2</v>
          </cell>
          <cell r="Z221">
            <v>-3.8535645472061658E-4</v>
          </cell>
          <cell r="AA221">
            <v>1.2817991083136637E-2</v>
          </cell>
          <cell r="AB221">
            <v>2.9286864841118759E-4</v>
          </cell>
          <cell r="AC221">
            <v>6.5616797900262466E-5</v>
          </cell>
          <cell r="AD221">
            <v>1.3452279807419994E-3</v>
          </cell>
          <cell r="AE221">
            <v>5.5785412114732003E-4</v>
          </cell>
          <cell r="AF221">
            <v>7.9681274900398409E-5</v>
          </cell>
          <cell r="AG221">
            <v>-1.8186226964112513E-4</v>
          </cell>
          <cell r="AH221">
            <v>-7.6640098099325563E-5</v>
          </cell>
          <cell r="AI221">
            <v>-7.2539987668202098E-5</v>
          </cell>
          <cell r="AJ221">
            <v>9.2783168349178345E-3</v>
          </cell>
          <cell r="AK221">
            <v>1.9118996635056592E-4</v>
          </cell>
          <cell r="AL221">
            <v>8.8652482269503544E-4</v>
          </cell>
          <cell r="AM221">
            <v>4.6435486155928787E-3</v>
          </cell>
          <cell r="AN221">
            <v>3.6733143597454695E-3</v>
          </cell>
        </row>
        <row r="222">
          <cell r="C222" t="str">
            <v>SAFETY SUPPLIES-CONTRACT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W222" t="str">
            <v>SAFETY SUPPLIES-CONTRACT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</row>
        <row r="223">
          <cell r="C223" t="str">
            <v>MEDICAL SUPPLIES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W223" t="str">
            <v>MEDICAL SUPPLIES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</row>
        <row r="224">
          <cell r="C224" t="str">
            <v>TOTAL OPERATING SUPPLIES</v>
          </cell>
          <cell r="D224">
            <v>10739</v>
          </cell>
          <cell r="E224">
            <v>10812</v>
          </cell>
          <cell r="F224">
            <v>10468</v>
          </cell>
          <cell r="G224">
            <v>32019</v>
          </cell>
          <cell r="H224">
            <v>22831</v>
          </cell>
          <cell r="I224">
            <v>18747</v>
          </cell>
          <cell r="J224">
            <v>14826</v>
          </cell>
          <cell r="K224">
            <v>56404</v>
          </cell>
          <cell r="L224">
            <v>21486</v>
          </cell>
          <cell r="M224">
            <v>17806</v>
          </cell>
          <cell r="N224">
            <v>18734</v>
          </cell>
          <cell r="O224">
            <v>58026</v>
          </cell>
          <cell r="P224">
            <v>28043</v>
          </cell>
          <cell r="Q224">
            <v>17162</v>
          </cell>
          <cell r="R224">
            <v>23578</v>
          </cell>
          <cell r="S224">
            <v>68783</v>
          </cell>
          <cell r="T224">
            <v>215232</v>
          </cell>
          <cell r="W224" t="str">
            <v>TOTAL OPERATING SUPPLIES</v>
          </cell>
          <cell r="X224">
            <v>1.0810348298771895</v>
          </cell>
          <cell r="Y224">
            <v>1.0610402355250246</v>
          </cell>
          <cell r="Z224">
            <v>1.0084778420038536</v>
          </cell>
          <cell r="AA224">
            <v>1.0496656176239181</v>
          </cell>
          <cell r="AB224">
            <v>1.6716210279689558</v>
          </cell>
          <cell r="AC224">
            <v>1.2301181102362204</v>
          </cell>
          <cell r="AD224">
            <v>1.0497026338147832</v>
          </cell>
          <cell r="AE224">
            <v>1.3110501603830598</v>
          </cell>
          <cell r="AF224">
            <v>1.7120318725099601</v>
          </cell>
          <cell r="AG224">
            <v>1.0794131910766247</v>
          </cell>
          <cell r="AH224">
            <v>0.71788779889638255</v>
          </cell>
          <cell r="AI224">
            <v>1.0523013311087737</v>
          </cell>
          <cell r="AJ224">
            <v>0.91616844718873536</v>
          </cell>
          <cell r="AK224">
            <v>0.65624044050168251</v>
          </cell>
          <cell r="AL224">
            <v>3.4837470449172576</v>
          </cell>
          <cell r="AM224">
            <v>1.0827023878858475</v>
          </cell>
          <cell r="AN224">
            <v>1.1198509862276727</v>
          </cell>
        </row>
        <row r="225">
          <cell r="D225" t="str">
            <v xml:space="preserve"> </v>
          </cell>
          <cell r="E225" t="str">
            <v xml:space="preserve"> </v>
          </cell>
          <cell r="F225" t="str">
            <v xml:space="preserve"> </v>
          </cell>
          <cell r="G225" t="str">
            <v xml:space="preserve"> </v>
          </cell>
          <cell r="H225" t="str">
            <v xml:space="preserve"> </v>
          </cell>
          <cell r="I225" t="str">
            <v xml:space="preserve"> </v>
          </cell>
          <cell r="J225" t="str">
            <v xml:space="preserve"> </v>
          </cell>
          <cell r="K225" t="str">
            <v xml:space="preserve"> </v>
          </cell>
          <cell r="L225" t="str">
            <v xml:space="preserve"> </v>
          </cell>
          <cell r="M225" t="str">
            <v xml:space="preserve"> </v>
          </cell>
          <cell r="N225" t="str">
            <v xml:space="preserve"> </v>
          </cell>
          <cell r="O225" t="str">
            <v xml:space="preserve"> </v>
          </cell>
          <cell r="P225" t="str">
            <v xml:space="preserve"> </v>
          </cell>
          <cell r="Q225" t="str">
            <v xml:space="preserve"> </v>
          </cell>
          <cell r="R225" t="str">
            <v xml:space="preserve"> </v>
          </cell>
          <cell r="S225" t="str">
            <v xml:space="preserve"> </v>
          </cell>
        </row>
        <row r="226">
          <cell r="C226" t="str">
            <v>CHEMS + LUBES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260</v>
          </cell>
          <cell r="J226">
            <v>258</v>
          </cell>
          <cell r="K226">
            <v>518</v>
          </cell>
          <cell r="L226">
            <v>520</v>
          </cell>
          <cell r="M226">
            <v>-3</v>
          </cell>
          <cell r="N226">
            <v>511</v>
          </cell>
          <cell r="O226">
            <v>1028</v>
          </cell>
          <cell r="P226">
            <v>24</v>
          </cell>
          <cell r="Q226">
            <v>255</v>
          </cell>
          <cell r="R226">
            <v>576</v>
          </cell>
          <cell r="S226">
            <v>855</v>
          </cell>
          <cell r="T226">
            <v>2401</v>
          </cell>
          <cell r="W226" t="str">
            <v>CHEMS + LUBES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1.7060367454068241E-2</v>
          </cell>
          <cell r="AD226">
            <v>1.826677994902294E-2</v>
          </cell>
          <cell r="AE226">
            <v>1.2040351448096323E-2</v>
          </cell>
          <cell r="AF226">
            <v>4.1434262948207172E-2</v>
          </cell>
          <cell r="AG226">
            <v>-1.8186226964112513E-4</v>
          </cell>
          <cell r="AH226">
            <v>1.9581545064377683E-2</v>
          </cell>
          <cell r="AI226">
            <v>1.8642776830727938E-2</v>
          </cell>
          <cell r="AJ226">
            <v>7.8408311280995786E-4</v>
          </cell>
          <cell r="AK226">
            <v>9.7506882838788618E-3</v>
          </cell>
          <cell r="AL226">
            <v>8.5106382978723402E-2</v>
          </cell>
          <cell r="AM226">
            <v>1.3458420563836988E-2</v>
          </cell>
          <cell r="AN226">
            <v>1.2492390620040896E-2</v>
          </cell>
        </row>
        <row r="227">
          <cell r="C227" t="str">
            <v>CATALYSTS/ADSORBANT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W227" t="str">
            <v>CATALYSTS/ADSORBANT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</row>
        <row r="228">
          <cell r="C228" t="str">
            <v>FREON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W228" t="str">
            <v>FREON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</row>
        <row r="229">
          <cell r="C229" t="str">
            <v>HYDROGEN PEROXIDE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W229" t="str">
            <v>HYDROGEN PEROXIDE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C230" t="str">
            <v>CAUSTIC SODA (LIQUOR)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W230" t="str">
            <v>CAUSTIC SODA (LIQUOR)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C231" t="str">
            <v>PRICE VAR-CAUSTIC SODA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W231" t="str">
            <v>PRICE VAR-CAUSTIC SODA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</row>
        <row r="232">
          <cell r="C232" t="str">
            <v>AMORTIZATION-CATALYSTS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W232" t="str">
            <v>AMORTIZATION-CATALYSTS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</row>
        <row r="233">
          <cell r="C233" t="str">
            <v>CATALYST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W233" t="str">
            <v>CATALYST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</row>
        <row r="234">
          <cell r="C234" t="str">
            <v>PROCESS CHEMICALS</v>
          </cell>
          <cell r="D234">
            <v>1</v>
          </cell>
          <cell r="E234">
            <v>0</v>
          </cell>
          <cell r="F234">
            <v>9</v>
          </cell>
          <cell r="G234">
            <v>10</v>
          </cell>
          <cell r="H234">
            <v>1</v>
          </cell>
          <cell r="I234">
            <v>0</v>
          </cell>
          <cell r="J234">
            <v>0</v>
          </cell>
          <cell r="K234">
            <v>1</v>
          </cell>
          <cell r="L234">
            <v>0</v>
          </cell>
          <cell r="M234">
            <v>1</v>
          </cell>
          <cell r="N234">
            <v>0</v>
          </cell>
          <cell r="O234">
            <v>1</v>
          </cell>
          <cell r="P234">
            <v>-1</v>
          </cell>
          <cell r="Q234">
            <v>0</v>
          </cell>
          <cell r="R234">
            <v>1</v>
          </cell>
          <cell r="S234">
            <v>0</v>
          </cell>
          <cell r="T234">
            <v>12</v>
          </cell>
          <cell r="W234" t="str">
            <v>PROCESS CHEMICALS</v>
          </cell>
          <cell r="X234">
            <v>1.0066438494060802E-4</v>
          </cell>
          <cell r="Y234">
            <v>0</v>
          </cell>
          <cell r="Z234">
            <v>8.6705202312138728E-4</v>
          </cell>
          <cell r="AA234">
            <v>3.2782585890375033E-4</v>
          </cell>
          <cell r="AB234">
            <v>7.3217162102796898E-5</v>
          </cell>
          <cell r="AC234">
            <v>0</v>
          </cell>
          <cell r="AD234">
            <v>0</v>
          </cell>
          <cell r="AE234">
            <v>2.3243921714471664E-5</v>
          </cell>
          <cell r="AF234">
            <v>0</v>
          </cell>
          <cell r="AG234">
            <v>6.0620756547041708E-5</v>
          </cell>
          <cell r="AH234">
            <v>0</v>
          </cell>
          <cell r="AI234">
            <v>1.8134996917050524E-5</v>
          </cell>
          <cell r="AJ234">
            <v>-3.2670129700414909E-5</v>
          </cell>
          <cell r="AK234">
            <v>0</v>
          </cell>
          <cell r="AL234">
            <v>1.4775413711583924E-4</v>
          </cell>
          <cell r="AM234">
            <v>0</v>
          </cell>
          <cell r="AN234">
            <v>6.2435938125985323E-5</v>
          </cell>
        </row>
        <row r="235">
          <cell r="C235" t="str">
            <v>EFFLUENT CHEMICALS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W235" t="str">
            <v>EFFLUENT CHEMICALS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</row>
        <row r="236">
          <cell r="C236" t="str">
            <v>LUBRICANTS</v>
          </cell>
          <cell r="D236">
            <v>0</v>
          </cell>
          <cell r="E236">
            <v>4</v>
          </cell>
          <cell r="F236">
            <v>1</v>
          </cell>
          <cell r="G236">
            <v>5</v>
          </cell>
          <cell r="H236">
            <v>583</v>
          </cell>
          <cell r="I236">
            <v>-8</v>
          </cell>
          <cell r="J236">
            <v>428</v>
          </cell>
          <cell r="K236">
            <v>1003</v>
          </cell>
          <cell r="L236">
            <v>9</v>
          </cell>
          <cell r="M236">
            <v>21</v>
          </cell>
          <cell r="N236">
            <v>652</v>
          </cell>
          <cell r="O236">
            <v>682</v>
          </cell>
          <cell r="P236">
            <v>55</v>
          </cell>
          <cell r="Q236">
            <v>1111</v>
          </cell>
          <cell r="R236">
            <v>419</v>
          </cell>
          <cell r="S236">
            <v>1585</v>
          </cell>
          <cell r="T236">
            <v>3275</v>
          </cell>
          <cell r="W236" t="str">
            <v>LUBRICANTS</v>
          </cell>
          <cell r="X236">
            <v>0</v>
          </cell>
          <cell r="Y236">
            <v>3.9254170755642788E-4</v>
          </cell>
          <cell r="Z236">
            <v>9.6339113680154144E-5</v>
          </cell>
          <cell r="AA236">
            <v>1.6391292945187516E-4</v>
          </cell>
          <cell r="AB236">
            <v>4.2685605505930591E-2</v>
          </cell>
          <cell r="AC236">
            <v>-5.2493438320209973E-4</v>
          </cell>
          <cell r="AD236">
            <v>3.0303030303030304E-2</v>
          </cell>
          <cell r="AE236">
            <v>2.331365347961508E-2</v>
          </cell>
          <cell r="AF236">
            <v>7.1713147410358568E-4</v>
          </cell>
          <cell r="AG236">
            <v>1.2730358874878758E-3</v>
          </cell>
          <cell r="AH236">
            <v>2.4984671980380135E-2</v>
          </cell>
          <cell r="AI236">
            <v>1.2368067897428458E-2</v>
          </cell>
          <cell r="AJ236">
            <v>1.79685713352282E-3</v>
          </cell>
          <cell r="AK236">
            <v>4.2482410523095746E-2</v>
          </cell>
          <cell r="AL236">
            <v>6.1908983451536642E-2</v>
          </cell>
          <cell r="AM236">
            <v>2.4949235782083773E-2</v>
          </cell>
          <cell r="AN236">
            <v>1.7039808113550159E-2</v>
          </cell>
        </row>
        <row r="237">
          <cell r="C237" t="str">
            <v>PURCHASED LIQUID NITROGEN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W237" t="str">
            <v>PURCHASED LIQUID NITROGEN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</row>
        <row r="238">
          <cell r="C238" t="str">
            <v>PROCESS CHEM-MEOH USAGE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W238" t="str">
            <v>PROCESS CHEM-MEOH USAGE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</row>
        <row r="239">
          <cell r="C239" t="str">
            <v>PRICE VAR-PRO CHEM-MEOH USAGE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W239" t="str">
            <v>PRICE VAR-PRO CHEM-MEOH USAGE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</row>
        <row r="240">
          <cell r="C240" t="str">
            <v>PROCESS CHEM PROD OTH PLT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W240" t="str">
            <v>PROCESS CHEM PROD OTH PLT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</row>
        <row r="241">
          <cell r="C241" t="str">
            <v>PRICE VAR-CATALYST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W241" t="str">
            <v>PRICE VAR-CATALYST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</row>
        <row r="242">
          <cell r="C242" t="str">
            <v>PRICE VAR-PROC/OPER CHEMS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W242" t="str">
            <v>PRICE VAR-PROC/OPER CHEMS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</row>
        <row r="243">
          <cell r="C243" t="str">
            <v>SULFURIC ACID LOSS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W243" t="str">
            <v>SULFURIC ACID LOSS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</row>
        <row r="244">
          <cell r="C244" t="str">
            <v>SODA ASH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W244" t="str">
            <v>SODA ASH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</row>
        <row r="245">
          <cell r="C245" t="str">
            <v>DIRECT MATERIAL - OTHER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W245" t="str">
            <v>DIRECT MATERIAL - OTHER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</row>
        <row r="246">
          <cell r="C246" t="str">
            <v>HAULED-IN PROD COSTS - N2</v>
          </cell>
          <cell r="D246">
            <v>1818</v>
          </cell>
          <cell r="E246">
            <v>1513</v>
          </cell>
          <cell r="F246">
            <v>1510</v>
          </cell>
          <cell r="G246">
            <v>4841</v>
          </cell>
          <cell r="H246">
            <v>1648</v>
          </cell>
          <cell r="I246">
            <v>1421</v>
          </cell>
          <cell r="J246">
            <v>1919</v>
          </cell>
          <cell r="K246">
            <v>4988</v>
          </cell>
          <cell r="L246">
            <v>1618</v>
          </cell>
          <cell r="M246">
            <v>1833</v>
          </cell>
          <cell r="N246">
            <v>1728</v>
          </cell>
          <cell r="O246">
            <v>5179</v>
          </cell>
          <cell r="P246">
            <v>1937</v>
          </cell>
          <cell r="Q246">
            <v>2147</v>
          </cell>
          <cell r="R246">
            <v>1813</v>
          </cell>
          <cell r="S246">
            <v>5897</v>
          </cell>
          <cell r="T246">
            <v>20905</v>
          </cell>
          <cell r="W246" t="str">
            <v>HAULED-IN PROD COSTS - N2</v>
          </cell>
          <cell r="X246">
            <v>0.18300785182202536</v>
          </cell>
          <cell r="Y246">
            <v>0.14847890088321883</v>
          </cell>
          <cell r="Z246">
            <v>0.14547206165703275</v>
          </cell>
          <cell r="AA246">
            <v>0.15870049829530553</v>
          </cell>
          <cell r="AB246">
            <v>0.12066188314540928</v>
          </cell>
          <cell r="AC246">
            <v>9.3241469816272959E-2</v>
          </cell>
          <cell r="AD246">
            <v>0.13586802605494194</v>
          </cell>
          <cell r="AE246">
            <v>0.11594068151178467</v>
          </cell>
          <cell r="AF246">
            <v>0.12892430278884462</v>
          </cell>
          <cell r="AG246">
            <v>0.11111784675072744</v>
          </cell>
          <cell r="AH246">
            <v>6.6217044757817284E-2</v>
          </cell>
          <cell r="AI246">
            <v>9.3921149033404663E-2</v>
          </cell>
          <cell r="AJ246">
            <v>6.3282041229703684E-2</v>
          </cell>
          <cell r="AK246">
            <v>8.2096971550933012E-2</v>
          </cell>
          <cell r="AL246">
            <v>0.26787825059101655</v>
          </cell>
          <cell r="AM246">
            <v>9.2823749783563406E-2</v>
          </cell>
          <cell r="AN246">
            <v>0.10876860721031026</v>
          </cell>
        </row>
        <row r="247">
          <cell r="C247" t="str">
            <v>HAULED-IN PROD COSTS - OXYGEN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W247" t="str">
            <v>HAULED-IN PROD COSTS - OXYGEN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</row>
        <row r="248">
          <cell r="C248" t="str">
            <v>HAULED-IN PROD COSTS - HYDROGEN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W248" t="str">
            <v>HAULED-IN PROD COSTS - HYDROGEN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</row>
        <row r="249">
          <cell r="C249" t="str">
            <v>TRF OUT CHEM CLEANING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W249" t="str">
            <v>TRF OUT CHEM CLEANING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</row>
        <row r="250">
          <cell r="C250" t="str">
            <v>CRUDE ARGON PROD. COSTS - TRF IN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W250" t="str">
            <v>CRUDE ARGON PROD. COSTS - TRF IN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</row>
        <row r="251">
          <cell r="C251" t="str">
            <v>HAULING CHGS - NITROGEN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W251" t="str">
            <v>HAULING CHGS - NITROGEN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</row>
        <row r="252">
          <cell r="C252" t="str">
            <v>HAULING CHGS - CRUDE ARGON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W252" t="str">
            <v>HAULING CHGS - CRUDE ARGON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</row>
        <row r="253">
          <cell r="C253" t="str">
            <v>HAULING CHGS - HYDROGEN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W253" t="str">
            <v>HAULING CHGS - HYDROGEN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</row>
        <row r="254">
          <cell r="C254" t="str">
            <v>TRF IN CC-CHEM CLEANING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W254" t="str">
            <v>TRF IN CC-CHEM CLEANING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</row>
        <row r="255">
          <cell r="C255" t="str">
            <v>TOTAL CATALYST &amp; CHEMICALS</v>
          </cell>
          <cell r="D255">
            <v>1819</v>
          </cell>
          <cell r="E255">
            <v>1517</v>
          </cell>
          <cell r="F255">
            <v>1520</v>
          </cell>
          <cell r="G255">
            <v>4856</v>
          </cell>
          <cell r="H255">
            <v>2232</v>
          </cell>
          <cell r="I255">
            <v>1673</v>
          </cell>
          <cell r="J255">
            <v>2605</v>
          </cell>
          <cell r="K255">
            <v>6510</v>
          </cell>
          <cell r="L255">
            <v>2147</v>
          </cell>
          <cell r="M255">
            <v>1852</v>
          </cell>
          <cell r="N255">
            <v>2891</v>
          </cell>
          <cell r="O255">
            <v>6890</v>
          </cell>
          <cell r="P255">
            <v>2015</v>
          </cell>
          <cell r="Q255">
            <v>3513</v>
          </cell>
          <cell r="R255">
            <v>2809</v>
          </cell>
          <cell r="S255">
            <v>8337</v>
          </cell>
          <cell r="T255">
            <v>26593</v>
          </cell>
          <cell r="W255" t="str">
            <v>TOTAL CATALYST &amp; CHEMICALS</v>
          </cell>
          <cell r="X255">
            <v>0.18310851620696597</v>
          </cell>
          <cell r="Y255">
            <v>0.14887144259077528</v>
          </cell>
          <cell r="Z255">
            <v>0.1464354527938343</v>
          </cell>
          <cell r="AA255">
            <v>0.15919223708366115</v>
          </cell>
          <cell r="AB255">
            <v>0.16342070581344267</v>
          </cell>
          <cell r="AC255">
            <v>0.10977690288713911</v>
          </cell>
          <cell r="AD255">
            <v>0.18443783630699517</v>
          </cell>
          <cell r="AE255">
            <v>0.15131793036121055</v>
          </cell>
          <cell r="AF255">
            <v>0.17107569721115537</v>
          </cell>
          <cell r="AG255">
            <v>0.11226964112512124</v>
          </cell>
          <cell r="AH255">
            <v>0.11078326180257511</v>
          </cell>
          <cell r="AI255">
            <v>0.12495012875847811</v>
          </cell>
          <cell r="AJ255">
            <v>6.5830311346336046E-2</v>
          </cell>
          <cell r="AK255">
            <v>0.13433007035790762</v>
          </cell>
          <cell r="AL255">
            <v>0.41504137115839246</v>
          </cell>
          <cell r="AM255">
            <v>0.13123140612948417</v>
          </cell>
          <cell r="AN255">
            <v>0.13836324188202728</v>
          </cell>
        </row>
        <row r="256">
          <cell r="D256" t="str">
            <v xml:space="preserve"> </v>
          </cell>
          <cell r="E256" t="str">
            <v xml:space="preserve"> </v>
          </cell>
          <cell r="F256" t="str">
            <v xml:space="preserve"> </v>
          </cell>
          <cell r="G256" t="str">
            <v xml:space="preserve"> </v>
          </cell>
          <cell r="H256" t="str">
            <v xml:space="preserve"> </v>
          </cell>
          <cell r="I256" t="str">
            <v xml:space="preserve"> </v>
          </cell>
          <cell r="J256" t="str">
            <v xml:space="preserve"> </v>
          </cell>
          <cell r="K256" t="str">
            <v xml:space="preserve"> </v>
          </cell>
          <cell r="L256" t="str">
            <v xml:space="preserve"> </v>
          </cell>
          <cell r="M256" t="str">
            <v xml:space="preserve"> </v>
          </cell>
          <cell r="N256" t="str">
            <v xml:space="preserve"> </v>
          </cell>
          <cell r="O256" t="str">
            <v xml:space="preserve"> 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</row>
        <row r="257">
          <cell r="C257" t="str">
            <v>CRANE SERVICES PURCHASED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W257" t="str">
            <v>CRANE SERVICES PURCHASED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</row>
        <row r="258">
          <cell r="C258" t="str">
            <v>OPERATING INCENTIVE FEE TO APCI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W258" t="str">
            <v>OPERATING INCENTIVE FEE TO APCI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</row>
        <row r="259">
          <cell r="C259" t="str">
            <v>PURCHASED SITE OHD FROM APCI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W259" t="str">
            <v>PURCHASED SITE OHD FROM APCI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</row>
        <row r="260">
          <cell r="C260" t="str">
            <v>TANK PAINTING - PURCHASED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W260" t="str">
            <v>TANK PAINTING - PURCHASED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</row>
        <row r="261">
          <cell r="C261" t="str">
            <v>GUARD SERVICES</v>
          </cell>
          <cell r="D261">
            <v>3579</v>
          </cell>
          <cell r="E261">
            <v>6633</v>
          </cell>
          <cell r="F261">
            <v>2661</v>
          </cell>
          <cell r="G261">
            <v>12873</v>
          </cell>
          <cell r="H261">
            <v>12409</v>
          </cell>
          <cell r="I261">
            <v>3484</v>
          </cell>
          <cell r="J261">
            <v>7560</v>
          </cell>
          <cell r="K261">
            <v>23453</v>
          </cell>
          <cell r="L261">
            <v>5179</v>
          </cell>
          <cell r="M261">
            <v>4023</v>
          </cell>
          <cell r="N261">
            <v>4322</v>
          </cell>
          <cell r="O261">
            <v>13524</v>
          </cell>
          <cell r="P261">
            <v>5081</v>
          </cell>
          <cell r="Q261">
            <v>4699</v>
          </cell>
          <cell r="R261">
            <v>7690</v>
          </cell>
          <cell r="S261">
            <v>17470</v>
          </cell>
          <cell r="T261">
            <v>67320</v>
          </cell>
          <cell r="W261" t="str">
            <v>GUARD SERVICES</v>
          </cell>
          <cell r="X261">
            <v>0.3602778337024361</v>
          </cell>
          <cell r="Y261">
            <v>0.65093228655544655</v>
          </cell>
          <cell r="Z261">
            <v>0.2563583815028902</v>
          </cell>
          <cell r="AA261">
            <v>0.42201022816679779</v>
          </cell>
          <cell r="AB261">
            <v>0.90855176453360664</v>
          </cell>
          <cell r="AC261">
            <v>0.22860892388451443</v>
          </cell>
          <cell r="AD261">
            <v>0.53525913338997455</v>
          </cell>
          <cell r="AE261">
            <v>0.54513969596950396</v>
          </cell>
          <cell r="AF261">
            <v>0.41266932270916334</v>
          </cell>
          <cell r="AG261">
            <v>0.24387730358874879</v>
          </cell>
          <cell r="AH261">
            <v>0.16561925199264255</v>
          </cell>
          <cell r="AI261">
            <v>0.24525769830619129</v>
          </cell>
          <cell r="AJ261">
            <v>0.16599692900780816</v>
          </cell>
          <cell r="AK261">
            <v>0.17968033037626185</v>
          </cell>
          <cell r="AL261">
            <v>1.1362293144208038</v>
          </cell>
          <cell r="AM261">
            <v>0.27499252309968675</v>
          </cell>
          <cell r="AN261">
            <v>0.35026561288677766</v>
          </cell>
        </row>
        <row r="262">
          <cell r="C262" t="str">
            <v>PURCH FRT MISC SPEC GAS</v>
          </cell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H262">
            <v>0</v>
          </cell>
          <cell r="I262">
            <v>0</v>
          </cell>
          <cell r="J262">
            <v>11</v>
          </cell>
          <cell r="K262">
            <v>11</v>
          </cell>
          <cell r="L262">
            <v>6</v>
          </cell>
          <cell r="M262">
            <v>0</v>
          </cell>
          <cell r="N262">
            <v>0</v>
          </cell>
          <cell r="O262">
            <v>6</v>
          </cell>
          <cell r="P262">
            <v>9</v>
          </cell>
          <cell r="Q262">
            <v>39</v>
          </cell>
          <cell r="R262">
            <v>0</v>
          </cell>
          <cell r="S262">
            <v>48</v>
          </cell>
          <cell r="T262">
            <v>67</v>
          </cell>
          <cell r="W262" t="str">
            <v>PURCH FRT MISC SPEC GAS</v>
          </cell>
          <cell r="X262">
            <v>0</v>
          </cell>
          <cell r="Y262">
            <v>1.9627085377821394E-4</v>
          </cell>
          <cell r="Z262">
            <v>0</v>
          </cell>
          <cell r="AA262">
            <v>6.5565171780750066E-5</v>
          </cell>
          <cell r="AB262">
            <v>0</v>
          </cell>
          <cell r="AC262">
            <v>0</v>
          </cell>
          <cell r="AD262">
            <v>7.7881619937694702E-4</v>
          </cell>
          <cell r="AE262">
            <v>2.5568313885918835E-4</v>
          </cell>
          <cell r="AF262">
            <v>4.7808764940239046E-4</v>
          </cell>
          <cell r="AG262">
            <v>0</v>
          </cell>
          <cell r="AH262">
            <v>0</v>
          </cell>
          <cell r="AI262">
            <v>1.0880998150230315E-4</v>
          </cell>
          <cell r="AJ262">
            <v>2.9403116730373417E-4</v>
          </cell>
          <cell r="AK262">
            <v>1.4912817375344143E-3</v>
          </cell>
          <cell r="AL262">
            <v>0</v>
          </cell>
          <cell r="AM262">
            <v>7.5556045270663787E-4</v>
          </cell>
          <cell r="AN262">
            <v>3.4860065453675137E-4</v>
          </cell>
        </row>
        <row r="263">
          <cell r="C263" t="str">
            <v>PURCHASED TRANSP. - DRIVERS ONLY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W263" t="str">
            <v>PURCHASED TRANSP. - DRIVERS ONLY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</row>
        <row r="264">
          <cell r="C264" t="str">
            <v>PURCH TRANSPORTATION-MISC</v>
          </cell>
          <cell r="D264">
            <v>397</v>
          </cell>
          <cell r="E264">
            <v>436</v>
          </cell>
          <cell r="F264">
            <v>2837</v>
          </cell>
          <cell r="G264">
            <v>3670</v>
          </cell>
          <cell r="H264">
            <v>2553</v>
          </cell>
          <cell r="I264">
            <v>7694</v>
          </cell>
          <cell r="J264">
            <v>7496</v>
          </cell>
          <cell r="K264">
            <v>17743</v>
          </cell>
          <cell r="L264">
            <v>6721</v>
          </cell>
          <cell r="M264">
            <v>2893</v>
          </cell>
          <cell r="N264">
            <v>1131</v>
          </cell>
          <cell r="O264">
            <v>10745</v>
          </cell>
          <cell r="P264">
            <v>3100</v>
          </cell>
          <cell r="Q264">
            <v>547</v>
          </cell>
          <cell r="R264">
            <v>3344</v>
          </cell>
          <cell r="S264">
            <v>6991</v>
          </cell>
          <cell r="T264">
            <v>39149</v>
          </cell>
          <cell r="W264" t="str">
            <v>PURCH TRANSPORTATION-MISC</v>
          </cell>
          <cell r="X264">
            <v>3.9963760821421383E-2</v>
          </cell>
          <cell r="Y264">
            <v>4.2787046123650641E-2</v>
          </cell>
          <cell r="Z264">
            <v>0.27331406551059728</v>
          </cell>
          <cell r="AA264">
            <v>0.12031209021767637</v>
          </cell>
          <cell r="AB264">
            <v>0.18692341484844047</v>
          </cell>
          <cell r="AC264">
            <v>0.50485564304461938</v>
          </cell>
          <cell r="AD264">
            <v>0.53072783913905408</v>
          </cell>
          <cell r="AE264">
            <v>0.41241690297987077</v>
          </cell>
          <cell r="AF264">
            <v>0.53553784860557774</v>
          </cell>
          <cell r="AG264">
            <v>0.17537584869059167</v>
          </cell>
          <cell r="AH264">
            <v>4.3339975475168609E-2</v>
          </cell>
          <cell r="AI264">
            <v>0.19486054187370788</v>
          </cell>
          <cell r="AJ264">
            <v>0.10127740207128623</v>
          </cell>
          <cell r="AK264">
            <v>2.0916182318751912E-2</v>
          </cell>
          <cell r="AL264">
            <v>0.49408983451536642</v>
          </cell>
          <cell r="AM264">
            <v>0.11004423176816887</v>
          </cell>
          <cell r="AN264">
            <v>0.20369204514118328</v>
          </cell>
        </row>
        <row r="265">
          <cell r="C265" t="str">
            <v>PURCH TRANS INTRASTATE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W265" t="str">
            <v>PURCH TRANS INTRASTATE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</row>
        <row r="266">
          <cell r="C266" t="str">
            <v>PURCH TRANSP-DRVER/TRACTOR/TRAILER</v>
          </cell>
          <cell r="D266">
            <v>1</v>
          </cell>
          <cell r="E266">
            <v>0</v>
          </cell>
          <cell r="F266">
            <v>2</v>
          </cell>
          <cell r="G266">
            <v>3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1</v>
          </cell>
          <cell r="M266">
            <v>0</v>
          </cell>
          <cell r="N266">
            <v>0</v>
          </cell>
          <cell r="O266">
            <v>1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4</v>
          </cell>
          <cell r="W266" t="str">
            <v>PURCH TRANSP-DRVER/TRACTOR/TRAILER</v>
          </cell>
          <cell r="X266">
            <v>1.0066438494060802E-4</v>
          </cell>
          <cell r="Y266">
            <v>0</v>
          </cell>
          <cell r="Z266">
            <v>1.9267822736030829E-4</v>
          </cell>
          <cell r="AA266">
            <v>9.8347757671125098E-5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7.9681274900398409E-5</v>
          </cell>
          <cell r="AG266">
            <v>0</v>
          </cell>
          <cell r="AH266">
            <v>0</v>
          </cell>
          <cell r="AI266">
            <v>1.8134996917050524E-5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2.081197937532844E-5</v>
          </cell>
        </row>
        <row r="267">
          <cell r="C267" t="str">
            <v>PURCH TRANSP-RAILCAR MOVEMENTS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W267" t="str">
            <v>PURCH TRANSP-RAILCAR MOVEMENTS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</row>
        <row r="268">
          <cell r="C268" t="str">
            <v>PURCH TRANS PIGGYBACK</v>
          </cell>
          <cell r="D268">
            <v>0</v>
          </cell>
          <cell r="E268">
            <v>0</v>
          </cell>
          <cell r="F268">
            <v>4</v>
          </cell>
          <cell r="G268">
            <v>4</v>
          </cell>
          <cell r="H268">
            <v>3</v>
          </cell>
          <cell r="I268">
            <v>3</v>
          </cell>
          <cell r="J268">
            <v>0</v>
          </cell>
          <cell r="K268">
            <v>6</v>
          </cell>
          <cell r="L268">
            <v>5</v>
          </cell>
          <cell r="M268">
            <v>5</v>
          </cell>
          <cell r="N268">
            <v>4</v>
          </cell>
          <cell r="O268">
            <v>14</v>
          </cell>
          <cell r="P268">
            <v>-3</v>
          </cell>
          <cell r="Q268">
            <v>0</v>
          </cell>
          <cell r="R268">
            <v>1</v>
          </cell>
          <cell r="S268">
            <v>-2</v>
          </cell>
          <cell r="T268">
            <v>22</v>
          </cell>
          <cell r="W268" t="str">
            <v>PURCH TRANS PIGGYBACK</v>
          </cell>
          <cell r="X268">
            <v>0</v>
          </cell>
          <cell r="Y268">
            <v>0</v>
          </cell>
          <cell r="Z268">
            <v>3.8535645472061658E-4</v>
          </cell>
          <cell r="AA268">
            <v>1.3113034356150013E-4</v>
          </cell>
          <cell r="AB268">
            <v>2.1965148630839068E-4</v>
          </cell>
          <cell r="AC268">
            <v>1.968503937007874E-4</v>
          </cell>
          <cell r="AD268">
            <v>0</v>
          </cell>
          <cell r="AE268">
            <v>1.3946353028683001E-4</v>
          </cell>
          <cell r="AF268">
            <v>3.9840637450199205E-4</v>
          </cell>
          <cell r="AG268">
            <v>3.0310378273520856E-4</v>
          </cell>
          <cell r="AH268">
            <v>1.5328019619865113E-4</v>
          </cell>
          <cell r="AI268">
            <v>2.5388995683870731E-4</v>
          </cell>
          <cell r="AJ268">
            <v>-9.8010389101244733E-5</v>
          </cell>
          <cell r="AK268">
            <v>0</v>
          </cell>
          <cell r="AL268">
            <v>1.4775413711583924E-4</v>
          </cell>
          <cell r="AM268">
            <v>-3.1481685529443249E-5</v>
          </cell>
          <cell r="AN268">
            <v>1.1446588656430642E-4</v>
          </cell>
        </row>
        <row r="269">
          <cell r="C269" t="str">
            <v>DISTRIBUTION LOC DIFFERENTIAL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W269" t="str">
            <v>DISTRIBUTION LOC DIFFERENTIAL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</row>
        <row r="270">
          <cell r="C270" t="str">
            <v>PURCHASED TRANS RELOC MAINT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W270" t="str">
            <v>PURCHASED TRANS RELOC MAINT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</row>
        <row r="271">
          <cell r="C271" t="str">
            <v>PURCH TRANSP-RELOC/SERVICE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W271" t="str">
            <v>PURCH TRANSP-RELOC/SERVICE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</row>
        <row r="272">
          <cell r="C272" t="str">
            <v>PURCH TRANSPORTATION - SERV CHARGE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W272" t="str">
            <v>PURCH TRANSPORTATION - SERV CHARGE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</row>
        <row r="273">
          <cell r="C273" t="str">
            <v>PURCH TRANSPORTATION - MILEAGE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W273" t="str">
            <v>PURCH TRANSPORTATION - MILEAGE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</row>
        <row r="274">
          <cell r="C274" t="str">
            <v>UPS FREIGHT EXPENSE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5</v>
          </cell>
          <cell r="I274">
            <v>10</v>
          </cell>
          <cell r="J274">
            <v>0</v>
          </cell>
          <cell r="K274">
            <v>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16</v>
          </cell>
          <cell r="W274" t="str">
            <v>UPS FREIGHT EXPENSE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3.6608581051398448E-4</v>
          </cell>
          <cell r="AC274">
            <v>6.5616797900262466E-4</v>
          </cell>
          <cell r="AD274">
            <v>0</v>
          </cell>
          <cell r="AE274">
            <v>3.4865882571707496E-4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1.4775413711583924E-4</v>
          </cell>
          <cell r="AM274">
            <v>1.5740842764721624E-5</v>
          </cell>
          <cell r="AN274">
            <v>8.3247917501313759E-5</v>
          </cell>
        </row>
        <row r="275">
          <cell r="C275" t="str">
            <v>PURCH TRANSPORTATION - MAINT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W275" t="str">
            <v>PURCH TRANSPORTATION - MAINT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</row>
        <row r="276">
          <cell r="C276" t="str">
            <v>IN-BOUND FREIGHT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W276" t="str">
            <v>IN-BOUND FREIGHT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</row>
        <row r="277">
          <cell r="C277" t="str">
            <v>PURCH TRANS FUEL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W277" t="str">
            <v>PURCH TRANS FUEL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</row>
        <row r="278">
          <cell r="C278" t="str">
            <v>PURCH TRANS SWITCHING CHG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96</v>
          </cell>
          <cell r="S278">
            <v>96</v>
          </cell>
          <cell r="T278">
            <v>96</v>
          </cell>
          <cell r="W278" t="str">
            <v>PURCH TRANS SWITCHING CHG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1.4184397163120567E-2</v>
          </cell>
          <cell r="AM278">
            <v>1.5111209054132757E-3</v>
          </cell>
          <cell r="AN278">
            <v>4.9948750500788258E-4</v>
          </cell>
        </row>
        <row r="279">
          <cell r="C279" t="str">
            <v>IMPORT DUTIES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W279" t="str">
            <v>IMPORT DUTIES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</row>
        <row r="280">
          <cell r="C280" t="str">
            <v>QUAY DUES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W280" t="str">
            <v>QUAY DUES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</row>
        <row r="281">
          <cell r="C281" t="str">
            <v>DEMURRAGE + DETENTION CHG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W281" t="str">
            <v>DEMURRAGE + DETENTION CHG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</row>
        <row r="282">
          <cell r="C282" t="str">
            <v>PURCHASED TRANS DRIVER/TRACTOR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W282" t="str">
            <v>PURCHASED TRANS DRIVER/TRACTOR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</row>
        <row r="283">
          <cell r="C283" t="str">
            <v>HEAT EXPENSE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W283" t="str">
            <v>HEAT EXPENSE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</row>
        <row r="284">
          <cell r="C284" t="str">
            <v>TEMP LABOR-TRANSFILL OR PROD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W284" t="str">
            <v>TEMP LABOR-TRANSFILL OR PROD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</row>
        <row r="285">
          <cell r="C285" t="str">
            <v>PURCHASED MOTOR OIL- TRUCKS/TRACTORS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W285" t="str">
            <v>PURCHASED MOTOR OIL- TRUCKS/TRACTORS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</row>
        <row r="286">
          <cell r="C286" t="str">
            <v>OVERNIGHT EXPRESS MAIL</v>
          </cell>
          <cell r="D286">
            <v>66</v>
          </cell>
          <cell r="E286">
            <v>75</v>
          </cell>
          <cell r="F286">
            <v>59</v>
          </cell>
          <cell r="G286">
            <v>200</v>
          </cell>
          <cell r="H286">
            <v>65</v>
          </cell>
          <cell r="I286">
            <v>61</v>
          </cell>
          <cell r="J286">
            <v>53</v>
          </cell>
          <cell r="K286">
            <v>179</v>
          </cell>
          <cell r="L286">
            <v>82</v>
          </cell>
          <cell r="M286">
            <v>42</v>
          </cell>
          <cell r="N286">
            <v>62</v>
          </cell>
          <cell r="O286">
            <v>186</v>
          </cell>
          <cell r="P286">
            <v>55</v>
          </cell>
          <cell r="Q286">
            <v>79</v>
          </cell>
          <cell r="R286">
            <v>75</v>
          </cell>
          <cell r="S286">
            <v>209</v>
          </cell>
          <cell r="T286">
            <v>774</v>
          </cell>
          <cell r="W286" t="str">
            <v>OVERNIGHT EXPRESS MAIL</v>
          </cell>
          <cell r="X286">
            <v>6.643849406080129E-3</v>
          </cell>
          <cell r="Y286">
            <v>7.360157016683023E-3</v>
          </cell>
          <cell r="Z286">
            <v>5.6840077071290945E-3</v>
          </cell>
          <cell r="AA286">
            <v>6.5565171780750066E-3</v>
          </cell>
          <cell r="AB286">
            <v>4.7591155366817984E-3</v>
          </cell>
          <cell r="AC286">
            <v>4.0026246719160104E-3</v>
          </cell>
          <cell r="AD286">
            <v>3.7524780515434722E-3</v>
          </cell>
          <cell r="AE286">
            <v>4.1606619868904283E-3</v>
          </cell>
          <cell r="AF286">
            <v>6.5338645418326693E-3</v>
          </cell>
          <cell r="AG286">
            <v>2.5460717749757516E-3</v>
          </cell>
          <cell r="AH286">
            <v>2.3758430410790927E-3</v>
          </cell>
          <cell r="AI286">
            <v>3.3731094265713976E-3</v>
          </cell>
          <cell r="AJ286">
            <v>1.79685713352282E-3</v>
          </cell>
          <cell r="AK286">
            <v>3.0208014683389415E-3</v>
          </cell>
          <cell r="AL286">
            <v>1.1081560283687944E-2</v>
          </cell>
          <cell r="AM286">
            <v>3.2898361378268194E-3</v>
          </cell>
          <cell r="AN286">
            <v>4.0271180091260529E-3</v>
          </cell>
        </row>
        <row r="287">
          <cell r="C287" t="str">
            <v>ADVERTISING</v>
          </cell>
          <cell r="D287">
            <v>17</v>
          </cell>
          <cell r="E287">
            <v>10</v>
          </cell>
          <cell r="F287">
            <v>5</v>
          </cell>
          <cell r="G287">
            <v>32</v>
          </cell>
          <cell r="H287">
            <v>32</v>
          </cell>
          <cell r="I287">
            <v>47</v>
          </cell>
          <cell r="J287">
            <v>0</v>
          </cell>
          <cell r="K287">
            <v>79</v>
          </cell>
          <cell r="L287">
            <v>88</v>
          </cell>
          <cell r="M287">
            <v>0</v>
          </cell>
          <cell r="N287">
            <v>114</v>
          </cell>
          <cell r="O287">
            <v>202</v>
          </cell>
          <cell r="P287">
            <v>40</v>
          </cell>
          <cell r="Q287">
            <v>23</v>
          </cell>
          <cell r="R287">
            <v>9</v>
          </cell>
          <cell r="S287">
            <v>72</v>
          </cell>
          <cell r="T287">
            <v>385</v>
          </cell>
          <cell r="W287" t="str">
            <v>ADVERTISING</v>
          </cell>
          <cell r="X287">
            <v>1.7112945439903362E-3</v>
          </cell>
          <cell r="Y287">
            <v>9.813542688910696E-4</v>
          </cell>
          <cell r="Z287">
            <v>4.8169556840077071E-4</v>
          </cell>
          <cell r="AA287">
            <v>1.049042748492001E-3</v>
          </cell>
          <cell r="AB287">
            <v>2.3429491872895007E-3</v>
          </cell>
          <cell r="AC287">
            <v>3.0839895013123359E-3</v>
          </cell>
          <cell r="AD287">
            <v>0</v>
          </cell>
          <cell r="AE287">
            <v>1.8362698154432615E-3</v>
          </cell>
          <cell r="AF287">
            <v>7.01195219123506E-3</v>
          </cell>
          <cell r="AG287">
            <v>0</v>
          </cell>
          <cell r="AH287">
            <v>4.3684855916615575E-3</v>
          </cell>
          <cell r="AI287">
            <v>3.6632693772442057E-3</v>
          </cell>
          <cell r="AJ287">
            <v>1.3068051880165965E-3</v>
          </cell>
          <cell r="AK287">
            <v>8.7947384521260322E-4</v>
          </cell>
          <cell r="AL287">
            <v>1.3297872340425532E-3</v>
          </cell>
          <cell r="AM287">
            <v>1.133340679059957E-3</v>
          </cell>
          <cell r="AN287">
            <v>2.0031530148753624E-3</v>
          </cell>
        </row>
        <row r="288">
          <cell r="C288" t="str">
            <v>TRASH REMOVAL EXPENSE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W288" t="str">
            <v>TRASH REMOVAL EXPENSE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</row>
        <row r="289">
          <cell r="C289" t="str">
            <v>FRT AUDITING FEES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W289" t="str">
            <v>FRT AUDITING FEES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</row>
        <row r="290">
          <cell r="C290" t="str">
            <v>RECOVERY OF FREIGHT EXP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W290" t="str">
            <v>RECOVERY OF FREIGHT EXP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</row>
        <row r="291">
          <cell r="C291" t="str">
            <v>MARKETING COMMUNICATIONS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W291" t="str">
            <v>MARKETING COMMUNICATIONS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</row>
        <row r="292">
          <cell r="C292" t="str">
            <v>COOPERATIVE ADVERTISING EXP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W292" t="str">
            <v>COOPERATIVE ADVERTISING EXP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</row>
        <row r="293">
          <cell r="C293" t="str">
            <v>PURCHASED TRANSPORTATION EQUIPMENT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W293" t="str">
            <v>PURCHASED TRANSPORTATION EQUIPMENT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</row>
        <row r="294">
          <cell r="C294" t="str">
            <v>LEASED/CHARTERED PRIVATE AIRCRAFT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W294" t="str">
            <v>LEASED/CHARTERED PRIVATE AIRCRAFT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</row>
        <row r="295">
          <cell r="C295" t="str">
            <v>RAILCAR REPAIR CUSTOMER RECEIPTS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W295" t="str">
            <v>RAILCAR REPAIR CUSTOMER RECEIPTS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</row>
        <row r="296">
          <cell r="C296" t="str">
            <v>RAILCAR EXP RECOVERY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W296" t="str">
            <v>RAILCAR EXP RECOVERY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</row>
        <row r="297">
          <cell r="C297" t="str">
            <v>RAILCAR DENTENTION CHARGES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W297" t="str">
            <v>RAILCAR DENTENTION CHARGES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</row>
        <row r="298">
          <cell r="C298" t="str">
            <v>RAILCAR DELIVERY CHARGES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W298" t="str">
            <v>RAILCAR DELIVERY CHARGES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</row>
        <row r="299">
          <cell r="C299" t="str">
            <v>RAILCAR LINING EXP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W299" t="str">
            <v>RAILCAR LINING EXP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</row>
        <row r="300">
          <cell r="C300" t="str">
            <v>RAILCAR TEST INSPECTIONS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W300" t="str">
            <v>RAILCAR TEST INSPECTIONS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</row>
        <row r="301">
          <cell r="C301" t="str">
            <v>WAREHOUSE ADMIN EXP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W301" t="str">
            <v>WAREHOUSE ADMIN EXP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</row>
        <row r="302">
          <cell r="C302" t="str">
            <v>TRACK DEMURRAGE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W302" t="str">
            <v>TRACK DEMURRAGE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C303" t="str">
            <v>SURVEY ANALYSIS WHSE TANK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W303" t="str">
            <v>SURVEY ANALYSIS WHSE TANK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</row>
        <row r="304">
          <cell r="C304" t="str">
            <v>OUTSIDE STOREROOM SERVICES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W304" t="str">
            <v>OUTSIDE STOREROOM SERVICES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</row>
        <row r="305">
          <cell r="C305" t="str">
            <v>RAILCAR CLEANING AT SHOPS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W305" t="str">
            <v>RAILCAR CLEANING AT SHOPS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</row>
        <row r="306">
          <cell r="C306" t="str">
            <v>CONSULTING FEES</v>
          </cell>
          <cell r="D306">
            <v>35</v>
          </cell>
          <cell r="E306">
            <v>15</v>
          </cell>
          <cell r="F306">
            <v>2</v>
          </cell>
          <cell r="G306">
            <v>52</v>
          </cell>
          <cell r="H306">
            <v>1167</v>
          </cell>
          <cell r="I306">
            <v>0</v>
          </cell>
          <cell r="J306">
            <v>-3</v>
          </cell>
          <cell r="K306">
            <v>1164</v>
          </cell>
          <cell r="L306">
            <v>5</v>
          </cell>
          <cell r="M306">
            <v>485</v>
          </cell>
          <cell r="N306">
            <v>-7</v>
          </cell>
          <cell r="O306">
            <v>483</v>
          </cell>
          <cell r="P306">
            <v>6</v>
          </cell>
          <cell r="Q306">
            <v>4</v>
          </cell>
          <cell r="R306">
            <v>6</v>
          </cell>
          <cell r="S306">
            <v>16</v>
          </cell>
          <cell r="T306">
            <v>1715</v>
          </cell>
          <cell r="W306" t="str">
            <v>CONSULTING FEES</v>
          </cell>
          <cell r="X306">
            <v>3.5232534729212803E-3</v>
          </cell>
          <cell r="Y306">
            <v>1.4720314033366045E-3</v>
          </cell>
          <cell r="Z306">
            <v>1.9267822736030829E-4</v>
          </cell>
          <cell r="AA306">
            <v>1.7046944662995017E-3</v>
          </cell>
          <cell r="AB306">
            <v>8.5444428173963971E-2</v>
          </cell>
          <cell r="AC306">
            <v>0</v>
          </cell>
          <cell r="AD306">
            <v>-2.1240441801189465E-4</v>
          </cell>
          <cell r="AE306">
            <v>2.705592487564502E-2</v>
          </cell>
          <cell r="AF306">
            <v>3.9840637450199205E-4</v>
          </cell>
          <cell r="AG306">
            <v>2.9401066925315227E-2</v>
          </cell>
          <cell r="AH306">
            <v>-2.6824034334763948E-4</v>
          </cell>
          <cell r="AI306">
            <v>8.7592035109354035E-3</v>
          </cell>
          <cell r="AJ306">
            <v>1.9602077820248947E-4</v>
          </cell>
          <cell r="AK306">
            <v>1.5295197308045274E-4</v>
          </cell>
          <cell r="AL306">
            <v>8.8652482269503544E-4</v>
          </cell>
          <cell r="AM306">
            <v>2.5185348423554599E-4</v>
          </cell>
          <cell r="AN306">
            <v>8.9231361571720687E-3</v>
          </cell>
        </row>
        <row r="307">
          <cell r="C307" t="str">
            <v>LEGAL FEES</v>
          </cell>
          <cell r="D307">
            <v>0</v>
          </cell>
          <cell r="E307">
            <v>95</v>
          </cell>
          <cell r="F307">
            <v>21</v>
          </cell>
          <cell r="G307">
            <v>116</v>
          </cell>
          <cell r="H307">
            <v>4</v>
          </cell>
          <cell r="I307">
            <v>0</v>
          </cell>
          <cell r="J307">
            <v>233</v>
          </cell>
          <cell r="K307">
            <v>237</v>
          </cell>
          <cell r="L307">
            <v>1</v>
          </cell>
          <cell r="M307">
            <v>20</v>
          </cell>
          <cell r="N307">
            <v>-2</v>
          </cell>
          <cell r="O307">
            <v>19</v>
          </cell>
          <cell r="P307">
            <v>7</v>
          </cell>
          <cell r="Q307">
            <v>-2</v>
          </cell>
          <cell r="R307">
            <v>9</v>
          </cell>
          <cell r="S307">
            <v>14</v>
          </cell>
          <cell r="T307">
            <v>386</v>
          </cell>
          <cell r="W307" t="str">
            <v>LEGAL FEES</v>
          </cell>
          <cell r="X307">
            <v>0</v>
          </cell>
          <cell r="Y307">
            <v>9.3228655544651626E-3</v>
          </cell>
          <cell r="Z307">
            <v>2.0231213872832369E-3</v>
          </cell>
          <cell r="AA307">
            <v>3.8027799632835038E-3</v>
          </cell>
          <cell r="AB307">
            <v>2.9286864841118759E-4</v>
          </cell>
          <cell r="AC307">
            <v>0</v>
          </cell>
          <cell r="AD307">
            <v>1.6496743132257151E-2</v>
          </cell>
          <cell r="AE307">
            <v>5.5088094463297847E-3</v>
          </cell>
          <cell r="AF307">
            <v>7.9681274900398409E-5</v>
          </cell>
          <cell r="AG307">
            <v>1.2124151309408342E-3</v>
          </cell>
          <cell r="AH307">
            <v>-7.6640098099325563E-5</v>
          </cell>
          <cell r="AI307">
            <v>3.4456494142395995E-4</v>
          </cell>
          <cell r="AJ307">
            <v>2.2869090790290437E-4</v>
          </cell>
          <cell r="AK307">
            <v>-7.6475986540226371E-5</v>
          </cell>
          <cell r="AL307">
            <v>1.3297872340425532E-3</v>
          </cell>
          <cell r="AM307">
            <v>2.2037179870610272E-4</v>
          </cell>
          <cell r="AN307">
            <v>2.0083560097191944E-3</v>
          </cell>
        </row>
        <row r="308">
          <cell r="C308" t="str">
            <v>AUDIT FEES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W308" t="str">
            <v>AUDIT FEES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</row>
        <row r="309">
          <cell r="C309" t="str">
            <v>AGENCY FEES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W309" t="str">
            <v>AGENCY FEES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</row>
        <row r="310">
          <cell r="C310" t="str">
            <v>OUTSIDE SERVICES</v>
          </cell>
          <cell r="D310">
            <v>1861</v>
          </cell>
          <cell r="E310">
            <v>2500</v>
          </cell>
          <cell r="F310">
            <v>2066</v>
          </cell>
          <cell r="G310">
            <v>6427</v>
          </cell>
          <cell r="H310">
            <v>3128</v>
          </cell>
          <cell r="I310">
            <v>3923</v>
          </cell>
          <cell r="J310">
            <v>2609</v>
          </cell>
          <cell r="K310">
            <v>9660</v>
          </cell>
          <cell r="L310">
            <v>3339</v>
          </cell>
          <cell r="M310">
            <v>1419</v>
          </cell>
          <cell r="N310">
            <v>6345</v>
          </cell>
          <cell r="O310">
            <v>11103</v>
          </cell>
          <cell r="P310">
            <v>4890</v>
          </cell>
          <cell r="Q310">
            <v>1662</v>
          </cell>
          <cell r="R310">
            <v>4052</v>
          </cell>
          <cell r="S310">
            <v>10604</v>
          </cell>
          <cell r="T310">
            <v>37794</v>
          </cell>
          <cell r="W310" t="str">
            <v>OUTSIDE SERVICES</v>
          </cell>
          <cell r="X310">
            <v>0.18733642037447151</v>
          </cell>
          <cell r="Y310">
            <v>0.24533856722276742</v>
          </cell>
          <cell r="Z310">
            <v>0.19903660886319846</v>
          </cell>
          <cell r="AA310">
            <v>0.21069367951744034</v>
          </cell>
          <cell r="AB310">
            <v>0.22902328305754868</v>
          </cell>
          <cell r="AC310">
            <v>0.25741469816272966</v>
          </cell>
          <cell r="AD310">
            <v>0.18472104219767771</v>
          </cell>
          <cell r="AE310">
            <v>0.2245362837617963</v>
          </cell>
          <cell r="AF310">
            <v>0.26605577689243026</v>
          </cell>
          <cell r="AG310">
            <v>8.6020853540252185E-2</v>
          </cell>
          <cell r="AH310">
            <v>0.24314071122011036</v>
          </cell>
          <cell r="AI310">
            <v>0.20135287077001196</v>
          </cell>
          <cell r="AJ310">
            <v>0.1597569342350289</v>
          </cell>
          <cell r="AK310">
            <v>6.3551544814928113E-2</v>
          </cell>
          <cell r="AL310">
            <v>0.59869976359338062</v>
          </cell>
          <cell r="AM310">
            <v>0.1669158966771081</v>
          </cell>
          <cell r="AN310">
            <v>0.19664198712779077</v>
          </cell>
        </row>
        <row r="311">
          <cell r="C311" t="str">
            <v>GROUNDS MAINTENANCE</v>
          </cell>
          <cell r="D311">
            <v>7</v>
          </cell>
          <cell r="E311">
            <v>61</v>
          </cell>
          <cell r="F311">
            <v>34</v>
          </cell>
          <cell r="G311">
            <v>102</v>
          </cell>
          <cell r="H311">
            <v>2</v>
          </cell>
          <cell r="I311">
            <v>1</v>
          </cell>
          <cell r="J311">
            <v>42</v>
          </cell>
          <cell r="K311">
            <v>45</v>
          </cell>
          <cell r="L311">
            <v>0</v>
          </cell>
          <cell r="M311">
            <v>46</v>
          </cell>
          <cell r="N311">
            <v>40</v>
          </cell>
          <cell r="O311">
            <v>86</v>
          </cell>
          <cell r="P311">
            <v>5</v>
          </cell>
          <cell r="Q311">
            <v>89</v>
          </cell>
          <cell r="R311">
            <v>38</v>
          </cell>
          <cell r="S311">
            <v>132</v>
          </cell>
          <cell r="T311">
            <v>365</v>
          </cell>
          <cell r="W311" t="str">
            <v>GROUNDS MAINTENANCE</v>
          </cell>
          <cell r="X311">
            <v>7.0465069458425613E-4</v>
          </cell>
          <cell r="Y311">
            <v>5.9862610402355246E-3</v>
          </cell>
          <cell r="Z311">
            <v>3.2755298651252407E-3</v>
          </cell>
          <cell r="AA311">
            <v>3.3438237608182536E-3</v>
          </cell>
          <cell r="AB311">
            <v>1.464343242055938E-4</v>
          </cell>
          <cell r="AC311">
            <v>6.5616797900262466E-5</v>
          </cell>
          <cell r="AD311">
            <v>2.9736618521665251E-3</v>
          </cell>
          <cell r="AE311">
            <v>1.0459764771512249E-3</v>
          </cell>
          <cell r="AF311">
            <v>0</v>
          </cell>
          <cell r="AG311">
            <v>2.7885548011639186E-3</v>
          </cell>
          <cell r="AH311">
            <v>1.5328019619865114E-3</v>
          </cell>
          <cell r="AI311">
            <v>1.5596097348663451E-3</v>
          </cell>
          <cell r="AJ311">
            <v>1.6335064850207456E-4</v>
          </cell>
          <cell r="AK311">
            <v>3.4031814010400735E-3</v>
          </cell>
          <cell r="AL311">
            <v>5.6146572104018916E-3</v>
          </cell>
          <cell r="AM311">
            <v>2.0777912449432543E-3</v>
          </cell>
          <cell r="AN311">
            <v>1.8990931179987201E-3</v>
          </cell>
        </row>
        <row r="312">
          <cell r="C312" t="str">
            <v>JANITORAL SERVICES</v>
          </cell>
          <cell r="D312">
            <v>1301</v>
          </cell>
          <cell r="E312">
            <v>1201</v>
          </cell>
          <cell r="F312">
            <v>2223</v>
          </cell>
          <cell r="G312">
            <v>4725</v>
          </cell>
          <cell r="H312">
            <v>2950</v>
          </cell>
          <cell r="I312">
            <v>2095</v>
          </cell>
          <cell r="J312">
            <v>3706</v>
          </cell>
          <cell r="K312">
            <v>8751</v>
          </cell>
          <cell r="L312">
            <v>1428</v>
          </cell>
          <cell r="M312">
            <v>1299</v>
          </cell>
          <cell r="N312">
            <v>1292</v>
          </cell>
          <cell r="O312">
            <v>4019</v>
          </cell>
          <cell r="P312">
            <v>1557</v>
          </cell>
          <cell r="Q312">
            <v>1306</v>
          </cell>
          <cell r="R312">
            <v>1473</v>
          </cell>
          <cell r="S312">
            <v>4336</v>
          </cell>
          <cell r="T312">
            <v>21831</v>
          </cell>
          <cell r="W312" t="str">
            <v>JANITORAL SERVICES</v>
          </cell>
          <cell r="X312">
            <v>0.13096436480773102</v>
          </cell>
          <cell r="Y312">
            <v>0.11786064769381747</v>
          </cell>
          <cell r="Z312">
            <v>0.21416184971098265</v>
          </cell>
          <cell r="AA312">
            <v>0.15489771833202204</v>
          </cell>
          <cell r="AB312">
            <v>0.21599062820325085</v>
          </cell>
          <cell r="AC312">
            <v>0.13746719160104987</v>
          </cell>
          <cell r="AD312">
            <v>0.26239025771736052</v>
          </cell>
          <cell r="AE312">
            <v>0.20340755892334156</v>
          </cell>
          <cell r="AF312">
            <v>0.11378486055776893</v>
          </cell>
          <cell r="AG312">
            <v>7.8746362754607183E-2</v>
          </cell>
          <cell r="AH312">
            <v>4.9509503372164317E-2</v>
          </cell>
          <cell r="AI312">
            <v>7.2884552609626063E-2</v>
          </cell>
          <cell r="AJ312">
            <v>5.0867391943546017E-2</v>
          </cell>
          <cell r="AK312">
            <v>4.9938819210767822E-2</v>
          </cell>
          <cell r="AL312">
            <v>0.21764184397163119</v>
          </cell>
          <cell r="AM312">
            <v>6.8252294227832952E-2</v>
          </cell>
          <cell r="AN312">
            <v>0.11358658043569879</v>
          </cell>
        </row>
        <row r="313">
          <cell r="C313" t="str">
            <v>FREIGHT IN INVENTORY PURCHASE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W313" t="str">
            <v>FREIGHT IN INVENTORY PURCHASE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C314" t="str">
            <v>FREIGHT IN (NETBACK ONLY ACCOUNT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W314" t="str">
            <v>FREIGHT IN (NETBACK ONLY ACCOUNT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C315" t="str">
            <v>OUTSIDE SECRETARIAL SERV</v>
          </cell>
          <cell r="D315">
            <v>560</v>
          </cell>
          <cell r="E315">
            <v>1509</v>
          </cell>
          <cell r="F315">
            <v>505</v>
          </cell>
          <cell r="G315">
            <v>2574</v>
          </cell>
          <cell r="H315">
            <v>1918</v>
          </cell>
          <cell r="I315">
            <v>853</v>
          </cell>
          <cell r="J315">
            <v>1073</v>
          </cell>
          <cell r="K315">
            <v>3844</v>
          </cell>
          <cell r="L315">
            <v>921</v>
          </cell>
          <cell r="M315">
            <v>747</v>
          </cell>
          <cell r="N315">
            <v>703</v>
          </cell>
          <cell r="O315">
            <v>2371</v>
          </cell>
          <cell r="P315">
            <v>877</v>
          </cell>
          <cell r="Q315">
            <v>870</v>
          </cell>
          <cell r="R315">
            <v>1612</v>
          </cell>
          <cell r="S315">
            <v>3359</v>
          </cell>
          <cell r="T315">
            <v>12148</v>
          </cell>
          <cell r="W315" t="str">
            <v>OUTSIDE SECRETARIAL SERV</v>
          </cell>
          <cell r="X315">
            <v>5.6372055566740485E-2</v>
          </cell>
          <cell r="Y315">
            <v>0.1480863591756624</v>
          </cell>
          <cell r="Z315">
            <v>4.8651252408477841E-2</v>
          </cell>
          <cell r="AA315">
            <v>8.4382376081825333E-2</v>
          </cell>
          <cell r="AB315">
            <v>0.14043051691316444</v>
          </cell>
          <cell r="AC315">
            <v>5.5971128608923885E-2</v>
          </cell>
          <cell r="AD315">
            <v>7.5969980175587648E-2</v>
          </cell>
          <cell r="AE315">
            <v>8.9349635070429076E-2</v>
          </cell>
          <cell r="AF315">
            <v>7.3386454183266933E-2</v>
          </cell>
          <cell r="AG315">
            <v>4.5283705140640153E-2</v>
          </cell>
          <cell r="AH315">
            <v>2.6938994481912937E-2</v>
          </cell>
          <cell r="AI315">
            <v>4.2998077690326791E-2</v>
          </cell>
          <cell r="AJ315">
            <v>2.8651703747263876E-2</v>
          </cell>
          <cell r="AK315">
            <v>3.3267054144998469E-2</v>
          </cell>
          <cell r="AL315">
            <v>0.23817966903073287</v>
          </cell>
          <cell r="AM315">
            <v>5.2873490846699935E-2</v>
          </cell>
          <cell r="AN315">
            <v>6.3205981362872463E-2</v>
          </cell>
        </row>
        <row r="316">
          <cell r="C316" t="str">
            <v>OUTSIDE ENGINEERING SERV</v>
          </cell>
          <cell r="D316">
            <v>-41</v>
          </cell>
          <cell r="E316">
            <v>115</v>
          </cell>
          <cell r="F316">
            <v>57</v>
          </cell>
          <cell r="G316">
            <v>131</v>
          </cell>
          <cell r="H316">
            <v>46</v>
          </cell>
          <cell r="I316">
            <v>150</v>
          </cell>
          <cell r="J316">
            <v>74</v>
          </cell>
          <cell r="K316">
            <v>270</v>
          </cell>
          <cell r="L316">
            <v>164</v>
          </cell>
          <cell r="M316">
            <v>257</v>
          </cell>
          <cell r="N316">
            <v>34</v>
          </cell>
          <cell r="O316">
            <v>455</v>
          </cell>
          <cell r="P316">
            <v>845</v>
          </cell>
          <cell r="Q316">
            <v>25</v>
          </cell>
          <cell r="R316">
            <v>99</v>
          </cell>
          <cell r="S316">
            <v>969</v>
          </cell>
          <cell r="T316">
            <v>1825</v>
          </cell>
          <cell r="W316" t="str">
            <v>OUTSIDE ENGINEERING SERV</v>
          </cell>
          <cell r="X316">
            <v>-4.1272397825649282E-3</v>
          </cell>
          <cell r="Y316">
            <v>1.1285574092247301E-2</v>
          </cell>
          <cell r="Z316">
            <v>5.491329479768786E-3</v>
          </cell>
          <cell r="AA316">
            <v>4.2945187516391292E-3</v>
          </cell>
          <cell r="AB316">
            <v>3.3679894567286571E-3</v>
          </cell>
          <cell r="AC316">
            <v>9.8425196850393699E-3</v>
          </cell>
          <cell r="AD316">
            <v>5.2393089776267346E-3</v>
          </cell>
          <cell r="AE316">
            <v>6.2758588629073494E-3</v>
          </cell>
          <cell r="AF316">
            <v>1.3067729083665339E-2</v>
          </cell>
          <cell r="AG316">
            <v>1.5579534432589718E-2</v>
          </cell>
          <cell r="AH316">
            <v>1.3028816676885345E-3</v>
          </cell>
          <cell r="AI316">
            <v>8.2514235972579886E-3</v>
          </cell>
          <cell r="AJ316">
            <v>2.7606259596850598E-2</v>
          </cell>
          <cell r="AK316">
            <v>9.5594983175282958E-4</v>
          </cell>
          <cell r="AL316">
            <v>1.4627659574468085E-2</v>
          </cell>
          <cell r="AM316">
            <v>1.5252876639015252E-2</v>
          </cell>
          <cell r="AN316">
            <v>9.4954655899936007E-3</v>
          </cell>
        </row>
        <row r="317">
          <cell r="C317" t="str">
            <v>PURCHASED COMPUTER SEARCH SERV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1</v>
          </cell>
          <cell r="J317">
            <v>1</v>
          </cell>
          <cell r="K317">
            <v>3</v>
          </cell>
          <cell r="L317">
            <v>2</v>
          </cell>
          <cell r="M317">
            <v>3</v>
          </cell>
          <cell r="N317">
            <v>3</v>
          </cell>
          <cell r="O317">
            <v>8</v>
          </cell>
          <cell r="P317">
            <v>1</v>
          </cell>
          <cell r="Q317">
            <v>1</v>
          </cell>
          <cell r="R317">
            <v>10</v>
          </cell>
          <cell r="S317">
            <v>12</v>
          </cell>
          <cell r="T317">
            <v>23</v>
          </cell>
          <cell r="W317" t="str">
            <v>PURCHASED COMPUTER SEARCH SERV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7.3217162102796898E-5</v>
          </cell>
          <cell r="AC317">
            <v>6.5616797900262466E-5</v>
          </cell>
          <cell r="AD317">
            <v>7.0801472670631546E-5</v>
          </cell>
          <cell r="AE317">
            <v>6.9731765143415004E-5</v>
          </cell>
          <cell r="AF317">
            <v>1.5936254980079682E-4</v>
          </cell>
          <cell r="AG317">
            <v>1.8186226964112513E-4</v>
          </cell>
          <cell r="AH317">
            <v>1.1496014714898834E-4</v>
          </cell>
          <cell r="AI317">
            <v>1.450799753364042E-4</v>
          </cell>
          <cell r="AJ317">
            <v>3.2670129700414909E-5</v>
          </cell>
          <cell r="AK317">
            <v>3.8237993270113186E-5</v>
          </cell>
          <cell r="AL317">
            <v>1.4775413711583924E-3</v>
          </cell>
          <cell r="AM317">
            <v>1.8889011317665947E-4</v>
          </cell>
          <cell r="AN317">
            <v>1.1966888140813853E-4</v>
          </cell>
        </row>
        <row r="318">
          <cell r="C318" t="str">
            <v>EFFLUENT TREATMENT CHGS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W318" t="str">
            <v>EFFLUENT TREATMENT CHGS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</row>
        <row r="319">
          <cell r="C319" t="str">
            <v>WASTE DISPOSAL CHARGES</v>
          </cell>
          <cell r="D319">
            <v>2305</v>
          </cell>
          <cell r="E319">
            <v>2501</v>
          </cell>
          <cell r="F319">
            <v>8431</v>
          </cell>
          <cell r="G319">
            <v>13237</v>
          </cell>
          <cell r="H319">
            <v>-243</v>
          </cell>
          <cell r="I319">
            <v>2198</v>
          </cell>
          <cell r="J319">
            <v>3928</v>
          </cell>
          <cell r="K319">
            <v>5883</v>
          </cell>
          <cell r="L319">
            <v>5080</v>
          </cell>
          <cell r="M319">
            <v>2675</v>
          </cell>
          <cell r="N319">
            <v>5087</v>
          </cell>
          <cell r="O319">
            <v>12842</v>
          </cell>
          <cell r="P319">
            <v>4614</v>
          </cell>
          <cell r="Q319">
            <v>6102</v>
          </cell>
          <cell r="R319">
            <v>6113</v>
          </cell>
          <cell r="S319">
            <v>16829</v>
          </cell>
          <cell r="T319">
            <v>48791</v>
          </cell>
          <cell r="W319" t="str">
            <v>WASTE DISPOSAL CHARGES</v>
          </cell>
          <cell r="X319">
            <v>0.23203140728810148</v>
          </cell>
          <cell r="Y319">
            <v>0.24543670264965653</v>
          </cell>
          <cell r="Z319">
            <v>0.81223506743737961</v>
          </cell>
          <cell r="AA319">
            <v>0.43394308943089432</v>
          </cell>
          <cell r="AB319">
            <v>-1.7791770390979646E-2</v>
          </cell>
          <cell r="AC319">
            <v>0.14422572178477691</v>
          </cell>
          <cell r="AD319">
            <v>0.27810818465024073</v>
          </cell>
          <cell r="AE319">
            <v>0.13674399144623681</v>
          </cell>
          <cell r="AF319">
            <v>0.40478087649402389</v>
          </cell>
          <cell r="AG319">
            <v>0.16216052376333656</v>
          </cell>
          <cell r="AH319">
            <v>0.19493408951563457</v>
          </cell>
          <cell r="AI319">
            <v>0.23288963040876284</v>
          </cell>
          <cell r="AJ319">
            <v>0.15073997843771439</v>
          </cell>
          <cell r="AK319">
            <v>0.23332823493423066</v>
          </cell>
          <cell r="AL319">
            <v>0.9032210401891253</v>
          </cell>
          <cell r="AM319">
            <v>0.26490264288750021</v>
          </cell>
          <cell r="AN319">
            <v>0.25385932142541245</v>
          </cell>
        </row>
        <row r="320">
          <cell r="C320" t="str">
            <v>TOLLER SERVICES</v>
          </cell>
          <cell r="D320">
            <v>0</v>
          </cell>
          <cell r="E320">
            <v>5932</v>
          </cell>
          <cell r="F320">
            <v>0</v>
          </cell>
          <cell r="G320">
            <v>5932</v>
          </cell>
          <cell r="H320">
            <v>440</v>
          </cell>
          <cell r="I320">
            <v>11837</v>
          </cell>
          <cell r="J320">
            <v>216</v>
          </cell>
          <cell r="K320">
            <v>12493</v>
          </cell>
          <cell r="L320">
            <v>8078</v>
          </cell>
          <cell r="M320">
            <v>6538</v>
          </cell>
          <cell r="N320">
            <v>14</v>
          </cell>
          <cell r="O320">
            <v>14630</v>
          </cell>
          <cell r="P320">
            <v>11440</v>
          </cell>
          <cell r="Q320">
            <v>4913</v>
          </cell>
          <cell r="R320">
            <v>6161</v>
          </cell>
          <cell r="S320">
            <v>22514</v>
          </cell>
          <cell r="T320">
            <v>55569</v>
          </cell>
          <cell r="W320" t="str">
            <v>TOLLER SERVICES</v>
          </cell>
          <cell r="X320">
            <v>0</v>
          </cell>
          <cell r="Y320">
            <v>0.58213935230618252</v>
          </cell>
          <cell r="Z320">
            <v>0</v>
          </cell>
          <cell r="AA320">
            <v>0.19446629950170469</v>
          </cell>
          <cell r="AB320">
            <v>3.2215551325230636E-2</v>
          </cell>
          <cell r="AC320">
            <v>0.77670603674540684</v>
          </cell>
          <cell r="AD320">
            <v>1.5293118096856415E-2</v>
          </cell>
          <cell r="AE320">
            <v>0.29038631397889453</v>
          </cell>
          <cell r="AF320">
            <v>0.64366533864541831</v>
          </cell>
          <cell r="AG320">
            <v>0.39633850630455869</v>
          </cell>
          <cell r="AH320">
            <v>5.3648068669527897E-4</v>
          </cell>
          <cell r="AI320">
            <v>0.26531500489644916</v>
          </cell>
          <cell r="AJ320">
            <v>0.3737462837727466</v>
          </cell>
          <cell r="AK320">
            <v>0.18786326093606606</v>
          </cell>
          <cell r="AL320">
            <v>0.9103132387706856</v>
          </cell>
          <cell r="AM320">
            <v>0.3543893340049426</v>
          </cell>
          <cell r="AN320">
            <v>0.28912522047690653</v>
          </cell>
        </row>
        <row r="321">
          <cell r="C321" t="str">
            <v>PROF SERVICES-PHYSICAL</v>
          </cell>
          <cell r="D321">
            <v>0</v>
          </cell>
          <cell r="E321">
            <v>2120</v>
          </cell>
          <cell r="F321">
            <v>1</v>
          </cell>
          <cell r="G321">
            <v>2121</v>
          </cell>
          <cell r="H321">
            <v>828</v>
          </cell>
          <cell r="I321">
            <v>430</v>
          </cell>
          <cell r="J321">
            <v>316</v>
          </cell>
          <cell r="K321">
            <v>1574</v>
          </cell>
          <cell r="L321">
            <v>201</v>
          </cell>
          <cell r="M321">
            <v>292</v>
          </cell>
          <cell r="N321">
            <v>525</v>
          </cell>
          <cell r="O321">
            <v>1018</v>
          </cell>
          <cell r="P321">
            <v>673</v>
          </cell>
          <cell r="Q321">
            <v>165</v>
          </cell>
          <cell r="R321">
            <v>433</v>
          </cell>
          <cell r="S321">
            <v>1271</v>
          </cell>
          <cell r="T321">
            <v>5984</v>
          </cell>
          <cell r="W321" t="str">
            <v>PROF SERVICES-PHYSICAL</v>
          </cell>
          <cell r="X321">
            <v>0</v>
          </cell>
          <cell r="Y321">
            <v>0.20804710500490678</v>
          </cell>
          <cell r="Z321">
            <v>9.6339113680154144E-5</v>
          </cell>
          <cell r="AA321">
            <v>6.9531864673485447E-2</v>
          </cell>
          <cell r="AB321">
            <v>6.0623810221115827E-2</v>
          </cell>
          <cell r="AC321">
            <v>2.8215223097112861E-2</v>
          </cell>
          <cell r="AD321">
            <v>2.2373265363919568E-2</v>
          </cell>
          <cell r="AE321">
            <v>3.6585932778578405E-2</v>
          </cell>
          <cell r="AF321">
            <v>1.601593625498008E-2</v>
          </cell>
          <cell r="AG321">
            <v>1.770126091173618E-2</v>
          </cell>
          <cell r="AH321">
            <v>2.0118025751072962E-2</v>
          </cell>
          <cell r="AI321">
            <v>1.8461426861557433E-2</v>
          </cell>
          <cell r="AJ321">
            <v>2.1986997288379235E-2</v>
          </cell>
          <cell r="AK321">
            <v>6.3092688895686755E-3</v>
          </cell>
          <cell r="AL321">
            <v>6.3977541371158395E-2</v>
          </cell>
          <cell r="AM321">
            <v>2.0006611153961185E-2</v>
          </cell>
          <cell r="AN321">
            <v>3.1134721145491345E-2</v>
          </cell>
        </row>
        <row r="322">
          <cell r="C322" t="str">
            <v>LEGAL EXPENSE US PROSECUTION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W322" t="str">
            <v>LEGAL EXPENSE US PROSECUTION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</row>
        <row r="323">
          <cell r="C323" t="str">
            <v>LEGAL EXPENSE FOREIGN - 1ST YEAR FILING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W323" t="str">
            <v>LEGAL EXPENSE FOREIGN - 1ST YEAR FILING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</row>
        <row r="324">
          <cell r="C324" t="str">
            <v>LEGAL EXPENSE FOREIGN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W324" t="str">
            <v>LEGAL EXPENSE FOREIGN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</row>
        <row r="325">
          <cell r="C325" t="str">
            <v>PURCHASED SERVICES FROM APCI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W325" t="str">
            <v>PURCHASED SERVICES FROM APCI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</row>
        <row r="326">
          <cell r="C326" t="str">
            <v>TRAINING EXP-EXTERNAL</v>
          </cell>
          <cell r="D326">
            <v>0</v>
          </cell>
          <cell r="E326">
            <v>166</v>
          </cell>
          <cell r="F326">
            <v>-2</v>
          </cell>
          <cell r="G326">
            <v>164</v>
          </cell>
          <cell r="H326">
            <v>200</v>
          </cell>
          <cell r="I326">
            <v>40</v>
          </cell>
          <cell r="J326">
            <v>17</v>
          </cell>
          <cell r="K326">
            <v>257</v>
          </cell>
          <cell r="L326">
            <v>1570</v>
          </cell>
          <cell r="M326">
            <v>-12</v>
          </cell>
          <cell r="N326">
            <v>616</v>
          </cell>
          <cell r="O326">
            <v>2174</v>
          </cell>
          <cell r="P326">
            <v>17</v>
          </cell>
          <cell r="Q326">
            <v>51</v>
          </cell>
          <cell r="R326">
            <v>-1</v>
          </cell>
          <cell r="S326">
            <v>67</v>
          </cell>
          <cell r="T326">
            <v>2662</v>
          </cell>
          <cell r="W326" t="str">
            <v>TRAINING EXP-EXTERNAL</v>
          </cell>
          <cell r="X326">
            <v>0</v>
          </cell>
          <cell r="Y326">
            <v>1.6290480863591757E-2</v>
          </cell>
          <cell r="Z326">
            <v>-1.9267822736030829E-4</v>
          </cell>
          <cell r="AA326">
            <v>5.3763440860215058E-3</v>
          </cell>
          <cell r="AB326">
            <v>1.4643432420559379E-2</v>
          </cell>
          <cell r="AC326">
            <v>2.6246719160104987E-3</v>
          </cell>
          <cell r="AD326">
            <v>1.2036250354007364E-3</v>
          </cell>
          <cell r="AE326">
            <v>5.9736878806192183E-3</v>
          </cell>
          <cell r="AF326">
            <v>0.12509960159362549</v>
          </cell>
          <cell r="AG326">
            <v>-7.2744907856450052E-4</v>
          </cell>
          <cell r="AH326">
            <v>2.3605150214592276E-2</v>
          </cell>
          <cell r="AI326">
            <v>3.9425483297667839E-2</v>
          </cell>
          <cell r="AJ326">
            <v>5.5539220490705349E-4</v>
          </cell>
          <cell r="AK326">
            <v>1.9501376567757724E-3</v>
          </cell>
          <cell r="AL326">
            <v>-1.4775413711583924E-4</v>
          </cell>
          <cell r="AM326">
            <v>1.0546364652363486E-3</v>
          </cell>
          <cell r="AN326">
            <v>1.3850372274281077E-2</v>
          </cell>
        </row>
        <row r="327">
          <cell r="C327" t="str">
            <v>OUTSIDE UTILITY LAB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W327" t="str">
            <v>OUTSIDE UTILITY LAB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</row>
        <row r="328">
          <cell r="C328" t="str">
            <v>OUTSIDE LAB ANALYTICAL EXP</v>
          </cell>
          <cell r="D328">
            <v>185</v>
          </cell>
          <cell r="E328">
            <v>188</v>
          </cell>
          <cell r="F328">
            <v>164</v>
          </cell>
          <cell r="G328">
            <v>537</v>
          </cell>
          <cell r="H328">
            <v>255</v>
          </cell>
          <cell r="I328">
            <v>158</v>
          </cell>
          <cell r="J328">
            <v>153</v>
          </cell>
          <cell r="K328">
            <v>566</v>
          </cell>
          <cell r="L328">
            <v>218</v>
          </cell>
          <cell r="M328">
            <v>173</v>
          </cell>
          <cell r="N328">
            <v>136</v>
          </cell>
          <cell r="O328">
            <v>527</v>
          </cell>
          <cell r="P328">
            <v>253</v>
          </cell>
          <cell r="Q328">
            <v>173</v>
          </cell>
          <cell r="R328">
            <v>251</v>
          </cell>
          <cell r="S328">
            <v>677</v>
          </cell>
          <cell r="T328">
            <v>2307</v>
          </cell>
          <cell r="W328" t="str">
            <v>OUTSIDE LAB ANALYTICAL EXP</v>
          </cell>
          <cell r="X328">
            <v>1.8622911214012484E-2</v>
          </cell>
          <cell r="Y328">
            <v>1.8449460255152109E-2</v>
          </cell>
          <cell r="Z328">
            <v>1.579961464354528E-2</v>
          </cell>
          <cell r="AA328">
            <v>1.7604248623131393E-2</v>
          </cell>
          <cell r="AB328">
            <v>1.8670376336213209E-2</v>
          </cell>
          <cell r="AC328">
            <v>1.036745406824147E-2</v>
          </cell>
          <cell r="AD328">
            <v>1.0832625318606627E-2</v>
          </cell>
          <cell r="AE328">
            <v>1.3156059690390963E-2</v>
          </cell>
          <cell r="AF328">
            <v>1.7370517928286852E-2</v>
          </cell>
          <cell r="AG328">
            <v>1.0487390882638215E-2</v>
          </cell>
          <cell r="AH328">
            <v>5.2115266707541382E-3</v>
          </cell>
          <cell r="AI328">
            <v>9.5571433752856261E-3</v>
          </cell>
          <cell r="AJ328">
            <v>8.2655428142049715E-3</v>
          </cell>
          <cell r="AK328">
            <v>6.6151728357295809E-3</v>
          </cell>
          <cell r="AL328">
            <v>3.7086288416075648E-2</v>
          </cell>
          <cell r="AM328">
            <v>1.065655055171654E-2</v>
          </cell>
          <cell r="AN328">
            <v>1.2003309104720677E-2</v>
          </cell>
        </row>
        <row r="329">
          <cell r="C329" t="str">
            <v>EMPLOYEE COUNSELING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W329" t="str">
            <v>EMPLOYEE COUNSELING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</row>
        <row r="330">
          <cell r="C330" t="str">
            <v>ENVIRONMENTAL TESTING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W330" t="str">
            <v>ENVIRONMENTAL TESTING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</row>
        <row r="331">
          <cell r="C331" t="str">
            <v>OUTSIDE ANALYSIS COSTS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W331" t="str">
            <v>OUTSIDE ANALYSIS COSTS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</row>
        <row r="332">
          <cell r="C332" t="str">
            <v>US PATENT MAINT FEES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W332" t="str">
            <v>US PATENT MAINT FEES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</row>
        <row r="333">
          <cell r="C333" t="str">
            <v>FOREIGN PATENT MAINT FEES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W333" t="str">
            <v>FOREIGN PATENT MAINT FEES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</row>
        <row r="334">
          <cell r="C334" t="str">
            <v>OUTSIDE CONSULT FEES - LOBBYING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W334" t="str">
            <v>OUTSIDE CONSULT FEES - LOBBYING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</row>
        <row r="335">
          <cell r="C335" t="str">
            <v>FEES RECEIVED FOR APCI GUARANTEES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W335" t="str">
            <v>FEES RECEIVED FOR APCI GUARANTEES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C336" t="str">
            <v>MISC FREIGHT ON SPEC GAS TRF IN</v>
          </cell>
          <cell r="D336">
            <v>0</v>
          </cell>
          <cell r="E336">
            <v>306</v>
          </cell>
          <cell r="F336">
            <v>-29</v>
          </cell>
          <cell r="G336">
            <v>277</v>
          </cell>
          <cell r="H336">
            <v>8</v>
          </cell>
          <cell r="I336">
            <v>1</v>
          </cell>
          <cell r="J336">
            <v>9</v>
          </cell>
          <cell r="K336">
            <v>18</v>
          </cell>
          <cell r="L336">
            <v>2</v>
          </cell>
          <cell r="M336">
            <v>5</v>
          </cell>
          <cell r="N336">
            <v>-1</v>
          </cell>
          <cell r="O336">
            <v>6</v>
          </cell>
          <cell r="P336">
            <v>0</v>
          </cell>
          <cell r="Q336">
            <v>4</v>
          </cell>
          <cell r="R336">
            <v>-4</v>
          </cell>
          <cell r="S336">
            <v>0</v>
          </cell>
          <cell r="T336">
            <v>301</v>
          </cell>
          <cell r="W336" t="str">
            <v>MISC FREIGHT ON SPEC GAS TRF IN</v>
          </cell>
          <cell r="X336">
            <v>0</v>
          </cell>
          <cell r="Y336">
            <v>3.0029440628066732E-2</v>
          </cell>
          <cell r="Z336">
            <v>-2.7938342967244703E-3</v>
          </cell>
          <cell r="AA336">
            <v>9.0807762916338842E-3</v>
          </cell>
          <cell r="AB336">
            <v>5.8573729682237518E-4</v>
          </cell>
          <cell r="AC336">
            <v>6.5616797900262466E-5</v>
          </cell>
          <cell r="AD336">
            <v>6.3721325403568395E-4</v>
          </cell>
          <cell r="AE336">
            <v>4.1839059086048997E-4</v>
          </cell>
          <cell r="AF336">
            <v>1.5936254980079682E-4</v>
          </cell>
          <cell r="AG336">
            <v>3.0310378273520856E-4</v>
          </cell>
          <cell r="AH336">
            <v>-3.8320049049662781E-5</v>
          </cell>
          <cell r="AI336">
            <v>1.0880998150230315E-4</v>
          </cell>
          <cell r="AJ336">
            <v>0</v>
          </cell>
          <cell r="AK336">
            <v>1.5295197308045274E-4</v>
          </cell>
          <cell r="AL336">
            <v>-5.9101654846335696E-4</v>
          </cell>
          <cell r="AM336">
            <v>0</v>
          </cell>
          <cell r="AN336">
            <v>1.5661014479934651E-3</v>
          </cell>
        </row>
        <row r="337">
          <cell r="C337" t="str">
            <v xml:space="preserve"> TOTAL PURCHASED SERVICES</v>
          </cell>
          <cell r="D337">
            <v>10273</v>
          </cell>
          <cell r="E337">
            <v>23865</v>
          </cell>
          <cell r="F337">
            <v>19041</v>
          </cell>
          <cell r="G337">
            <v>53179</v>
          </cell>
          <cell r="H337">
            <v>25771</v>
          </cell>
          <cell r="I337">
            <v>32986</v>
          </cell>
          <cell r="J337">
            <v>27494</v>
          </cell>
          <cell r="K337">
            <v>86251</v>
          </cell>
          <cell r="L337">
            <v>33091</v>
          </cell>
          <cell r="M337">
            <v>20910</v>
          </cell>
          <cell r="N337">
            <v>20418</v>
          </cell>
          <cell r="O337">
            <v>74419</v>
          </cell>
          <cell r="P337">
            <v>33467</v>
          </cell>
          <cell r="Q337">
            <v>20750</v>
          </cell>
          <cell r="R337">
            <v>31468</v>
          </cell>
          <cell r="S337">
            <v>85685</v>
          </cell>
          <cell r="T337">
            <v>299534</v>
          </cell>
          <cell r="W337" t="str">
            <v xml:space="preserve"> TOTAL PURCHASED SERVICES</v>
          </cell>
          <cell r="X337">
            <v>1.0341252264948662</v>
          </cell>
          <cell r="Y337">
            <v>2.342001962708538</v>
          </cell>
          <cell r="Z337">
            <v>1.834393063583815</v>
          </cell>
          <cell r="AA337">
            <v>1.7433451350642539</v>
          </cell>
          <cell r="AB337">
            <v>1.8868794845511787</v>
          </cell>
          <cell r="AC337">
            <v>2.1644356955380579</v>
          </cell>
          <cell r="AD337">
            <v>1.9466156896063438</v>
          </cell>
          <cell r="AE337">
            <v>2.0048114917948956</v>
          </cell>
          <cell r="AF337">
            <v>2.6367330677290837</v>
          </cell>
          <cell r="AG337">
            <v>1.2675800193986422</v>
          </cell>
          <cell r="AH337">
            <v>0.78241876149601475</v>
          </cell>
          <cell r="AI337">
            <v>1.3495883355699829</v>
          </cell>
          <cell r="AJ337">
            <v>1.0933712306837857</v>
          </cell>
          <cell r="AK337">
            <v>0.7934383603548486</v>
          </cell>
          <cell r="AL337">
            <v>4.6495271867612296</v>
          </cell>
          <cell r="AM337">
            <v>1.3487541122951723</v>
          </cell>
          <cell r="AN337">
            <v>1.5584738575524071</v>
          </cell>
        </row>
        <row r="338">
          <cell r="D338" t="str">
            <v xml:space="preserve"> </v>
          </cell>
          <cell r="E338" t="str">
            <v xml:space="preserve"> </v>
          </cell>
          <cell r="F338" t="str">
            <v xml:space="preserve"> </v>
          </cell>
          <cell r="G338" t="str">
            <v xml:space="preserve"> </v>
          </cell>
          <cell r="H338" t="str">
            <v xml:space="preserve"> </v>
          </cell>
          <cell r="I338" t="str">
            <v xml:space="preserve"> </v>
          </cell>
          <cell r="J338" t="str">
            <v xml:space="preserve"> </v>
          </cell>
          <cell r="K338" t="str">
            <v xml:space="preserve"> </v>
          </cell>
          <cell r="L338" t="str">
            <v xml:space="preserve"> </v>
          </cell>
          <cell r="M338" t="str">
            <v xml:space="preserve"> 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</row>
        <row r="339">
          <cell r="C339" t="str">
            <v>HEADCOUNT BASED COSTS TRF IN</v>
          </cell>
          <cell r="D339">
            <v>4872</v>
          </cell>
          <cell r="E339">
            <v>5307</v>
          </cell>
          <cell r="F339">
            <v>5009</v>
          </cell>
          <cell r="G339">
            <v>15188</v>
          </cell>
          <cell r="H339">
            <v>4951</v>
          </cell>
          <cell r="I339">
            <v>4945</v>
          </cell>
          <cell r="J339">
            <v>5371</v>
          </cell>
          <cell r="K339">
            <v>15267</v>
          </cell>
          <cell r="L339">
            <v>6050</v>
          </cell>
          <cell r="M339">
            <v>5929</v>
          </cell>
          <cell r="N339">
            <v>5932</v>
          </cell>
          <cell r="O339">
            <v>17911</v>
          </cell>
          <cell r="P339">
            <v>6548</v>
          </cell>
          <cell r="Q339">
            <v>6373</v>
          </cell>
          <cell r="R339">
            <v>5933</v>
          </cell>
          <cell r="S339">
            <v>18854</v>
          </cell>
          <cell r="T339">
            <v>67220</v>
          </cell>
          <cell r="W339" t="str">
            <v>HEADCOUNT BASED COSTS TRF IN</v>
          </cell>
          <cell r="X339">
            <v>0.49043688343064223</v>
          </cell>
          <cell r="Y339">
            <v>0.52080471050049071</v>
          </cell>
          <cell r="Z339">
            <v>0.48256262042389209</v>
          </cell>
          <cell r="AA339">
            <v>0.49790191450301602</v>
          </cell>
          <cell r="AB339">
            <v>0.36249816957094744</v>
          </cell>
          <cell r="AC339">
            <v>0.3244750656167979</v>
          </cell>
          <cell r="AD339">
            <v>0.38027470971396204</v>
          </cell>
          <cell r="AE339">
            <v>0.35486495281483893</v>
          </cell>
          <cell r="AF339">
            <v>0.48207171314741037</v>
          </cell>
          <cell r="AG339">
            <v>0.35942046556741031</v>
          </cell>
          <cell r="AH339">
            <v>0.22731453096259963</v>
          </cell>
          <cell r="AI339">
            <v>0.32481592978129192</v>
          </cell>
          <cell r="AJ339">
            <v>0.21392400927831684</v>
          </cell>
          <cell r="AK339">
            <v>0.24369073111043132</v>
          </cell>
          <cell r="AL339">
            <v>0.87662529550827428</v>
          </cell>
          <cell r="AM339">
            <v>0.29677784948606151</v>
          </cell>
          <cell r="AN339">
            <v>0.3497453134023944</v>
          </cell>
        </row>
        <row r="340">
          <cell r="C340" t="str">
            <v>CORPORATE EH&amp;S COSTS TRF IN</v>
          </cell>
          <cell r="D340">
            <v>12442</v>
          </cell>
          <cell r="E340">
            <v>12186</v>
          </cell>
          <cell r="F340">
            <v>11978</v>
          </cell>
          <cell r="G340">
            <v>36606</v>
          </cell>
          <cell r="H340">
            <v>12634</v>
          </cell>
          <cell r="I340">
            <v>12389</v>
          </cell>
          <cell r="J340">
            <v>12614</v>
          </cell>
          <cell r="K340">
            <v>37637</v>
          </cell>
          <cell r="L340">
            <v>12635</v>
          </cell>
          <cell r="M340">
            <v>11778</v>
          </cell>
          <cell r="N340">
            <v>11879</v>
          </cell>
          <cell r="O340">
            <v>36292</v>
          </cell>
          <cell r="P340">
            <v>12181</v>
          </cell>
          <cell r="Q340">
            <v>11720</v>
          </cell>
          <cell r="R340">
            <v>12138</v>
          </cell>
          <cell r="S340">
            <v>36039</v>
          </cell>
          <cell r="T340">
            <v>146574</v>
          </cell>
          <cell r="W340" t="str">
            <v>CORPORATE EH&amp;S COSTS TRF IN</v>
          </cell>
          <cell r="X340">
            <v>1.2524662774310449</v>
          </cell>
          <cell r="Y340">
            <v>1.1958783120706575</v>
          </cell>
          <cell r="Z340">
            <v>1.1539499036608862</v>
          </cell>
          <cell r="AA340">
            <v>1.2000393391030684</v>
          </cell>
          <cell r="AB340">
            <v>0.92502562600673599</v>
          </cell>
          <cell r="AC340">
            <v>0.81292650918635168</v>
          </cell>
          <cell r="AD340">
            <v>0.89308977626734631</v>
          </cell>
          <cell r="AE340">
            <v>0.87483148156757007</v>
          </cell>
          <cell r="AF340">
            <v>1.0067729083665338</v>
          </cell>
          <cell r="AG340">
            <v>0.71399127061105727</v>
          </cell>
          <cell r="AH340">
            <v>0.4552038626609442</v>
          </cell>
          <cell r="AI340">
            <v>0.65815530811359757</v>
          </cell>
          <cell r="AJ340">
            <v>0.39795484988075402</v>
          </cell>
          <cell r="AK340">
            <v>0.4481492811257265</v>
          </cell>
          <cell r="AL340">
            <v>1.7934397163120568</v>
          </cell>
          <cell r="AM340">
            <v>0.56728423239780257</v>
          </cell>
          <cell r="AN340">
            <v>0.76262376623984762</v>
          </cell>
        </row>
        <row r="341">
          <cell r="C341" t="str">
            <v>GLOBAL MAINT ORG (GMO) COSTS TRF IN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W341" t="str">
            <v>GLOBAL MAINT ORG (GMO) COSTS TRF IN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</row>
        <row r="342">
          <cell r="C342" t="str">
            <v>PLANT PROJECT ORG (PPO) COSTS TRF IN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W342" t="str">
            <v>PLANT PROJECT ORG (PPO) COSTS TRF IN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</row>
        <row r="343">
          <cell r="C343" t="str">
            <v>PROJECT SUPPLY TEAM (PST) COSTS TRF IN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W343" t="str">
            <v>PROJECT SUPPLY TEAM (PST) COSTS TRF IN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</row>
        <row r="344">
          <cell r="C344" t="str">
            <v>RESEARCH TECH SUPPORT TRF IN</v>
          </cell>
          <cell r="D344">
            <v>-221</v>
          </cell>
          <cell r="E344">
            <v>-9</v>
          </cell>
          <cell r="F344">
            <v>0</v>
          </cell>
          <cell r="G344">
            <v>-230</v>
          </cell>
          <cell r="H344">
            <v>-6</v>
          </cell>
          <cell r="I344">
            <v>-1</v>
          </cell>
          <cell r="J344">
            <v>0</v>
          </cell>
          <cell r="K344">
            <v>-7</v>
          </cell>
          <cell r="L344">
            <v>0</v>
          </cell>
          <cell r="M344">
            <v>1</v>
          </cell>
          <cell r="N344">
            <v>0</v>
          </cell>
          <cell r="O344">
            <v>1</v>
          </cell>
          <cell r="P344">
            <v>-3</v>
          </cell>
          <cell r="Q344">
            <v>1</v>
          </cell>
          <cell r="R344">
            <v>-6</v>
          </cell>
          <cell r="S344">
            <v>-8</v>
          </cell>
          <cell r="T344">
            <v>-244</v>
          </cell>
          <cell r="W344" t="str">
            <v>RESEARCH TECH SUPPORT TRF IN</v>
          </cell>
          <cell r="X344">
            <v>-2.224682907187437E-2</v>
          </cell>
          <cell r="Y344">
            <v>-8.8321884200196269E-4</v>
          </cell>
          <cell r="Z344">
            <v>0</v>
          </cell>
          <cell r="AA344">
            <v>-7.5399947547862573E-3</v>
          </cell>
          <cell r="AB344">
            <v>-4.3930297261678136E-4</v>
          </cell>
          <cell r="AC344">
            <v>-6.5616797900262466E-5</v>
          </cell>
          <cell r="AD344">
            <v>0</v>
          </cell>
          <cell r="AE344">
            <v>-1.6270745200130165E-4</v>
          </cell>
          <cell r="AF344">
            <v>0</v>
          </cell>
          <cell r="AG344">
            <v>6.0620756547041708E-5</v>
          </cell>
          <cell r="AH344">
            <v>0</v>
          </cell>
          <cell r="AI344">
            <v>1.8134996917050524E-5</v>
          </cell>
          <cell r="AJ344">
            <v>-9.8010389101244733E-5</v>
          </cell>
          <cell r="AK344">
            <v>3.8237993270113186E-5</v>
          </cell>
          <cell r="AL344">
            <v>-8.8652482269503544E-4</v>
          </cell>
          <cell r="AM344">
            <v>-1.25926742117773E-4</v>
          </cell>
          <cell r="AN344">
            <v>-1.2695307418950348E-3</v>
          </cell>
        </row>
        <row r="345">
          <cell r="C345" t="str">
            <v>ALLOC PLANT ADMIN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W345" t="str">
            <v>ALLOC PLANT ADMIN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C346" t="str">
            <v>ALLOC PSO HOME OFFICE EXP</v>
          </cell>
          <cell r="D346">
            <v>2655</v>
          </cell>
          <cell r="E346">
            <v>1058</v>
          </cell>
          <cell r="F346">
            <v>-17802</v>
          </cell>
          <cell r="G346">
            <v>-14089</v>
          </cell>
          <cell r="H346">
            <v>3162</v>
          </cell>
          <cell r="I346">
            <v>627</v>
          </cell>
          <cell r="J346">
            <v>2031</v>
          </cell>
          <cell r="K346">
            <v>5820</v>
          </cell>
          <cell r="L346">
            <v>-214</v>
          </cell>
          <cell r="M346">
            <v>404</v>
          </cell>
          <cell r="N346">
            <v>24670</v>
          </cell>
          <cell r="O346">
            <v>24860</v>
          </cell>
          <cell r="P346">
            <v>1054</v>
          </cell>
          <cell r="Q346">
            <v>-22</v>
          </cell>
          <cell r="R346">
            <v>1142</v>
          </cell>
          <cell r="S346">
            <v>2174</v>
          </cell>
          <cell r="T346">
            <v>18765</v>
          </cell>
          <cell r="W346" t="str">
            <v>ALLOC PSO HOME OFFICE EXP</v>
          </cell>
          <cell r="X346">
            <v>0.26726394201731429</v>
          </cell>
          <cell r="Y346">
            <v>0.10382728164867518</v>
          </cell>
          <cell r="Z346">
            <v>-1.715028901734104</v>
          </cell>
          <cell r="AA346">
            <v>-0.46187385260949382</v>
          </cell>
          <cell r="AB346">
            <v>0.23151266656904379</v>
          </cell>
          <cell r="AC346">
            <v>4.1141732283464565E-2</v>
          </cell>
          <cell r="AD346">
            <v>0.14379779099405268</v>
          </cell>
          <cell r="AE346">
            <v>0.13527962437822511</v>
          </cell>
          <cell r="AF346">
            <v>-1.7051792828685259E-2</v>
          </cell>
          <cell r="AG346">
            <v>2.4490785645004849E-2</v>
          </cell>
          <cell r="AH346">
            <v>0.94535561005518087</v>
          </cell>
          <cell r="AI346">
            <v>0.45083602335787604</v>
          </cell>
          <cell r="AJ346">
            <v>3.4434316704237314E-2</v>
          </cell>
          <cell r="AK346">
            <v>-8.4123585194249004E-4</v>
          </cell>
          <cell r="AL346">
            <v>0.16873522458628842</v>
          </cell>
          <cell r="AM346">
            <v>3.4220592170504806E-2</v>
          </cell>
          <cell r="AN346">
            <v>9.7634198244509543E-2</v>
          </cell>
        </row>
        <row r="347">
          <cell r="C347" t="str">
            <v>ALLOC OPER REGIONAL OFF EXP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W347" t="str">
            <v>ALLOC OPER REGIONAL OFF EXP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</row>
        <row r="348">
          <cell r="C348" t="str">
            <v>ALLOC ACCOUNTING EXP</v>
          </cell>
          <cell r="D348">
            <v>1953</v>
          </cell>
          <cell r="E348">
            <v>2105</v>
          </cell>
          <cell r="F348">
            <v>2033</v>
          </cell>
          <cell r="G348">
            <v>6091</v>
          </cell>
          <cell r="H348">
            <v>2276</v>
          </cell>
          <cell r="I348">
            <v>2092</v>
          </cell>
          <cell r="J348">
            <v>2076</v>
          </cell>
          <cell r="K348">
            <v>6444</v>
          </cell>
          <cell r="L348">
            <v>2117</v>
          </cell>
          <cell r="M348">
            <v>2031</v>
          </cell>
          <cell r="N348">
            <v>2013</v>
          </cell>
          <cell r="O348">
            <v>6161</v>
          </cell>
          <cell r="P348">
            <v>2415</v>
          </cell>
          <cell r="Q348">
            <v>2012</v>
          </cell>
          <cell r="R348">
            <v>2691</v>
          </cell>
          <cell r="S348">
            <v>7118</v>
          </cell>
          <cell r="T348">
            <v>25814</v>
          </cell>
          <cell r="W348" t="str">
            <v>ALLOC ACCOUNTING EXP</v>
          </cell>
          <cell r="X348">
            <v>0.19659754378900746</v>
          </cell>
          <cell r="Y348">
            <v>0.20657507360157018</v>
          </cell>
          <cell r="Z348">
            <v>0.19585741811175336</v>
          </cell>
          <cell r="AA348">
            <v>0.19967873065827432</v>
          </cell>
          <cell r="AB348">
            <v>0.16664226094596574</v>
          </cell>
          <cell r="AC348">
            <v>0.13727034120734907</v>
          </cell>
          <cell r="AD348">
            <v>0.1469838572642311</v>
          </cell>
          <cell r="AE348">
            <v>0.14978383152805541</v>
          </cell>
          <cell r="AF348">
            <v>0.16868525896414344</v>
          </cell>
          <cell r="AG348">
            <v>0.1231207565470417</v>
          </cell>
          <cell r="AH348">
            <v>7.713825873697118E-2</v>
          </cell>
          <cell r="AI348">
            <v>0.11172971600594828</v>
          </cell>
          <cell r="AJ348">
            <v>7.8898363226502011E-2</v>
          </cell>
          <cell r="AK348">
            <v>7.6934842459467731E-2</v>
          </cell>
          <cell r="AL348">
            <v>0.39760638297872342</v>
          </cell>
          <cell r="AM348">
            <v>0.11204331879928851</v>
          </cell>
          <cell r="AN348">
            <v>0.13431010889868208</v>
          </cell>
        </row>
        <row r="349">
          <cell r="C349" t="str">
            <v>ALLOC PURCHASING EXP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W349" t="str">
            <v>ALLOC PURCHASING EXP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</row>
        <row r="350">
          <cell r="C350" t="str">
            <v>ALLOC DIV ADMIN EXP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W350" t="str">
            <v>ALLOC DIV ADMIN EXP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</row>
        <row r="351">
          <cell r="C351" t="str">
            <v>ALLOC GROUP CREDIT TRF IN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W351" t="str">
            <v>ALLOC GROUP CREDIT TRF IN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</row>
        <row r="352">
          <cell r="C352" t="str">
            <v>ALLOC GROUP TECHNOLOGY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W352" t="str">
            <v>ALLOC GROUP TECHNOLOGY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</row>
        <row r="353">
          <cell r="C353" t="str">
            <v>ALLOC PROCESS CONTROL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W353" t="str">
            <v>ALLOC PROCESS CONTROL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</row>
        <row r="354">
          <cell r="C354" t="str">
            <v>ALLOC PROCESS TECHNOLOGY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W354" t="str">
            <v>ALLOC PROCESS TECHNOLOGY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</row>
        <row r="355">
          <cell r="C355" t="str">
            <v>ALLOC ENVIRON TECHNOLOGY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W355" t="str">
            <v>ALLOC ENVIRON TECHNOLOGY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</row>
        <row r="356">
          <cell r="C356" t="str">
            <v>APP GROUP TECH TRF IN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W356" t="str">
            <v>APP GROUP TECH TRF IN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</row>
        <row r="357">
          <cell r="C357" t="str">
            <v>ALLOC MIS PROD EXP TRF IN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W357" t="str">
            <v>ALLOC MIS PROD EXP TRF IN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</row>
        <row r="358">
          <cell r="C358" t="str">
            <v>ALLOC MID SUPP EXP TRF IN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W358" t="str">
            <v>ALLOC MID SUPP EXP TRF IN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</row>
        <row r="359">
          <cell r="C359" t="str">
            <v>ALLOC MID DEVELOPMENT EXP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W359" t="str">
            <v>ALLOC MID DEVELOPMENT EXP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</row>
        <row r="360">
          <cell r="C360" t="str">
            <v>ALLOC MIS EQUIP/SOFT EXP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W360" t="str">
            <v>ALLOC MIS EQUIP/SOFT EXP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</row>
        <row r="361">
          <cell r="C361" t="str">
            <v>ALLOC MFG EMPLOYEE RELATE EXP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W361" t="str">
            <v>ALLOC MFG EMPLOYEE RELATE EXP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</row>
        <row r="362">
          <cell r="C362" t="str">
            <v>RATE VAR-CORP O/H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W362" t="str">
            <v>RATE VAR-CORP O/H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</row>
        <row r="363">
          <cell r="C363" t="str">
            <v>TRF IN PLANT OH OTHER PLANTS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W363" t="str">
            <v>TRF IN PLANT OH OTHER PLANTS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</row>
        <row r="364">
          <cell r="C364" t="str">
            <v>CORP EMPL RELATIONS EXP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W364" t="str">
            <v>CORP EMPL RELATIONS EXP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</row>
        <row r="365">
          <cell r="C365" t="str">
            <v>CORP MFG ADMIN EXP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W365" t="str">
            <v>CORP MFG ADMIN EXP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</row>
        <row r="366">
          <cell r="C366" t="str">
            <v>ALLOC GROUP ENGR O/H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W366" t="str">
            <v>ALLOC GROUP ENGR O/H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</row>
        <row r="367">
          <cell r="C367" t="str">
            <v>TOTAL GROUP/CORP OVERHEAD</v>
          </cell>
          <cell r="D367">
            <v>21701</v>
          </cell>
          <cell r="E367">
            <v>20647</v>
          </cell>
          <cell r="F367">
            <v>1218</v>
          </cell>
          <cell r="G367">
            <v>43566</v>
          </cell>
          <cell r="H367">
            <v>23017</v>
          </cell>
          <cell r="I367">
            <v>20052</v>
          </cell>
          <cell r="J367">
            <v>22092</v>
          </cell>
          <cell r="K367">
            <v>65161</v>
          </cell>
          <cell r="L367">
            <v>20588</v>
          </cell>
          <cell r="M367">
            <v>20143</v>
          </cell>
          <cell r="N367">
            <v>44494</v>
          </cell>
          <cell r="O367">
            <v>85225</v>
          </cell>
          <cell r="P367">
            <v>22195</v>
          </cell>
          <cell r="Q367">
            <v>20084</v>
          </cell>
          <cell r="R367">
            <v>21898</v>
          </cell>
          <cell r="S367">
            <v>64177</v>
          </cell>
          <cell r="T367">
            <v>258129</v>
          </cell>
          <cell r="W367" t="str">
            <v>TOTAL GROUP/CORP OVERHEAD</v>
          </cell>
          <cell r="X367">
            <v>2.1845178175961344</v>
          </cell>
          <cell r="Y367">
            <v>2.0262021589793915</v>
          </cell>
          <cell r="Z367">
            <v>0.11734104046242774</v>
          </cell>
          <cell r="AA367">
            <v>1.4282061369000787</v>
          </cell>
          <cell r="AB367">
            <v>1.6852394201200762</v>
          </cell>
          <cell r="AC367">
            <v>1.315748031496063</v>
          </cell>
          <cell r="AD367">
            <v>1.5641461342395921</v>
          </cell>
          <cell r="AE367">
            <v>1.5145971828366882</v>
          </cell>
          <cell r="AF367">
            <v>1.6404780876494023</v>
          </cell>
          <cell r="AG367">
            <v>1.2210838991270612</v>
          </cell>
          <cell r="AH367">
            <v>1.7050122624156958</v>
          </cell>
          <cell r="AI367">
            <v>1.545555112255631</v>
          </cell>
          <cell r="AJ367">
            <v>0.72511352870070889</v>
          </cell>
          <cell r="AK367">
            <v>0.76797185683695324</v>
          </cell>
          <cell r="AL367">
            <v>3.2355200945626477</v>
          </cell>
          <cell r="AM367">
            <v>1.0102000661115396</v>
          </cell>
          <cell r="AN367">
            <v>1.3430438560435387</v>
          </cell>
        </row>
        <row r="368">
          <cell r="D368" t="str">
            <v xml:space="preserve"> </v>
          </cell>
          <cell r="E368" t="str">
            <v xml:space="preserve"> </v>
          </cell>
          <cell r="F368" t="str">
            <v xml:space="preserve"> </v>
          </cell>
          <cell r="G368" t="str">
            <v xml:space="preserve"> </v>
          </cell>
          <cell r="H368" t="str">
            <v xml:space="preserve"> </v>
          </cell>
          <cell r="I368" t="str">
            <v xml:space="preserve"> </v>
          </cell>
          <cell r="J368" t="str">
            <v xml:space="preserve"> </v>
          </cell>
          <cell r="K368" t="str">
            <v xml:space="preserve"> </v>
          </cell>
          <cell r="L368" t="str">
            <v xml:space="preserve"> </v>
          </cell>
          <cell r="M368" t="str">
            <v xml:space="preserve"> 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</row>
        <row r="369">
          <cell r="C369" t="str">
            <v>GCWDA-FACILITY-INTEREST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W369" t="str">
            <v>GCWDA-FACILITY-INTEREST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</row>
        <row r="370">
          <cell r="C370" t="str">
            <v>GCWDA-FACILITY-PRINCIPAL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W370" t="str">
            <v>GCWDA-FACILITY-PRINCIPAL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</row>
        <row r="371">
          <cell r="C371" t="str">
            <v>SELF INS EXP-OTHER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W371" t="str">
            <v>SELF INS EXP-OTHER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</row>
        <row r="372">
          <cell r="C372" t="str">
            <v>SELF INS EXP-FIRE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W372" t="str">
            <v>SELF INS EXP-FIRE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</row>
        <row r="373">
          <cell r="C373" t="str">
            <v>SELF INS EXP-B&amp;M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W373" t="str">
            <v>SELF INS EXP-B&amp;M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</row>
        <row r="374">
          <cell r="C374" t="str">
            <v>SELF INS EXP-DIC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W374" t="str">
            <v>SELF INS EXP-DIC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</row>
        <row r="375">
          <cell r="C375" t="str">
            <v>RET CHGS-SELF INS LOSSES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W375" t="str">
            <v>RET CHGS-SELF INS LOSSES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</row>
        <row r="376">
          <cell r="C376" t="str">
            <v>SELF INS EXP-TL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W376" t="str">
            <v>SELF INS EXP-TL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</row>
        <row r="377">
          <cell r="C377" t="str">
            <v>INS EXP-OTHER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W377" t="str">
            <v>INS EXP-OTHER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</row>
        <row r="378">
          <cell r="C378" t="str">
            <v>INSURANCE EXP-B&amp;M</v>
          </cell>
          <cell r="D378">
            <v>8222</v>
          </cell>
          <cell r="E378">
            <v>8864</v>
          </cell>
          <cell r="F378">
            <v>8558</v>
          </cell>
          <cell r="G378">
            <v>25644</v>
          </cell>
          <cell r="H378">
            <v>9577</v>
          </cell>
          <cell r="I378">
            <v>8805</v>
          </cell>
          <cell r="J378">
            <v>8741</v>
          </cell>
          <cell r="K378">
            <v>27123</v>
          </cell>
          <cell r="L378">
            <v>8911</v>
          </cell>
          <cell r="M378">
            <v>8552</v>
          </cell>
          <cell r="N378">
            <v>8694</v>
          </cell>
          <cell r="O378">
            <v>26157</v>
          </cell>
          <cell r="P378">
            <v>10395</v>
          </cell>
          <cell r="Q378">
            <v>8692</v>
          </cell>
          <cell r="R378">
            <v>11581</v>
          </cell>
          <cell r="S378">
            <v>30668</v>
          </cell>
          <cell r="T378">
            <v>109592</v>
          </cell>
          <cell r="W378" t="str">
            <v>INSURANCE EXP-B&amp;M</v>
          </cell>
          <cell r="X378">
            <v>0.82766257298167911</v>
          </cell>
          <cell r="Y378">
            <v>0.86987242394504416</v>
          </cell>
          <cell r="Z378">
            <v>0.82447013487475918</v>
          </cell>
          <cell r="AA378">
            <v>0.84067663257277736</v>
          </cell>
          <cell r="AB378">
            <v>0.70120076145848587</v>
          </cell>
          <cell r="AC378">
            <v>0.577755905511811</v>
          </cell>
          <cell r="AD378">
            <v>0.61887567261399035</v>
          </cell>
          <cell r="AE378">
            <v>0.63044488866161497</v>
          </cell>
          <cell r="AF378">
            <v>0.71003984063745018</v>
          </cell>
          <cell r="AG378">
            <v>0.51842870999030066</v>
          </cell>
          <cell r="AH378">
            <v>0.33315450643776823</v>
          </cell>
          <cell r="AI378">
            <v>0.47435711435929057</v>
          </cell>
          <cell r="AJ378">
            <v>0.339605998235813</v>
          </cell>
          <cell r="AK378">
            <v>0.33236463750382378</v>
          </cell>
          <cell r="AL378">
            <v>1.7111406619385343</v>
          </cell>
          <cell r="AM378">
            <v>0.48274016590848273</v>
          </cell>
          <cell r="AN378">
            <v>0.5702066109252486</v>
          </cell>
        </row>
        <row r="379">
          <cell r="C379" t="str">
            <v>INSURANCE EXP-DIC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W379" t="str">
            <v>INSURANCE EXP-DIC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</row>
        <row r="380">
          <cell r="C380" t="str">
            <v>INSURANCE EXP-FIRE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W380" t="str">
            <v>INSURANCE EXP-FIRE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C381" t="str">
            <v>INSURANCE EXP-CASUALTY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W381" t="str">
            <v>INSURANCE EXP-CASUALTY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</row>
        <row r="382">
          <cell r="C382" t="str">
            <v>INS EXP-AUTO CASUALTY</v>
          </cell>
          <cell r="D382">
            <v>0</v>
          </cell>
          <cell r="E382">
            <v>0</v>
          </cell>
          <cell r="F382">
            <v>6</v>
          </cell>
          <cell r="G382">
            <v>6</v>
          </cell>
          <cell r="H382">
            <v>6</v>
          </cell>
          <cell r="I382">
            <v>-1</v>
          </cell>
          <cell r="J382">
            <v>1</v>
          </cell>
          <cell r="K382">
            <v>6</v>
          </cell>
          <cell r="L382">
            <v>-1</v>
          </cell>
          <cell r="M382">
            <v>5</v>
          </cell>
          <cell r="N382">
            <v>0</v>
          </cell>
          <cell r="O382">
            <v>4</v>
          </cell>
          <cell r="P382">
            <v>11</v>
          </cell>
          <cell r="Q382">
            <v>1</v>
          </cell>
          <cell r="R382">
            <v>2</v>
          </cell>
          <cell r="S382">
            <v>14</v>
          </cell>
          <cell r="T382">
            <v>30</v>
          </cell>
          <cell r="W382" t="str">
            <v>INS EXP-AUTO CASUALTY</v>
          </cell>
          <cell r="X382">
            <v>0</v>
          </cell>
          <cell r="Y382">
            <v>0</v>
          </cell>
          <cell r="Z382">
            <v>5.7803468208092489E-4</v>
          </cell>
          <cell r="AA382">
            <v>1.966955153422502E-4</v>
          </cell>
          <cell r="AB382">
            <v>4.3930297261678136E-4</v>
          </cell>
          <cell r="AC382">
            <v>-6.5616797900262466E-5</v>
          </cell>
          <cell r="AD382">
            <v>7.0801472670631546E-5</v>
          </cell>
          <cell r="AE382">
            <v>1.3946353028683001E-4</v>
          </cell>
          <cell r="AF382">
            <v>-7.9681274900398409E-5</v>
          </cell>
          <cell r="AG382">
            <v>3.0310378273520856E-4</v>
          </cell>
          <cell r="AH382">
            <v>0</v>
          </cell>
          <cell r="AI382">
            <v>7.2539987668202098E-5</v>
          </cell>
          <cell r="AJ382">
            <v>3.5937142670456403E-4</v>
          </cell>
          <cell r="AK382">
            <v>3.8237993270113186E-5</v>
          </cell>
          <cell r="AL382">
            <v>2.9550827423167848E-4</v>
          </cell>
          <cell r="AM382">
            <v>2.2037179870610272E-4</v>
          </cell>
          <cell r="AN382">
            <v>1.5608984531496328E-4</v>
          </cell>
        </row>
        <row r="383">
          <cell r="C383" t="str">
            <v>DEPRECIATION EXP</v>
          </cell>
          <cell r="D383">
            <v>139740</v>
          </cell>
          <cell r="E383">
            <v>138786</v>
          </cell>
          <cell r="F383">
            <v>141626</v>
          </cell>
          <cell r="G383">
            <v>420152</v>
          </cell>
          <cell r="H383">
            <v>142559</v>
          </cell>
          <cell r="I383">
            <v>137010</v>
          </cell>
          <cell r="J383">
            <v>143720</v>
          </cell>
          <cell r="K383">
            <v>423289</v>
          </cell>
          <cell r="L383">
            <v>142142</v>
          </cell>
          <cell r="M383">
            <v>137907</v>
          </cell>
          <cell r="N383">
            <v>138738</v>
          </cell>
          <cell r="O383">
            <v>418787</v>
          </cell>
          <cell r="P383">
            <v>139533</v>
          </cell>
          <cell r="Q383">
            <v>139758</v>
          </cell>
          <cell r="R383">
            <v>138166</v>
          </cell>
          <cell r="S383">
            <v>417457</v>
          </cell>
          <cell r="T383">
            <v>1679685</v>
          </cell>
          <cell r="W383" t="str">
            <v>DEPRECIATION EXP</v>
          </cell>
          <cell r="X383">
            <v>14.066841151600563</v>
          </cell>
          <cell r="Y383">
            <v>13.619823356231599</v>
          </cell>
          <cell r="Z383">
            <v>13.64412331406551</v>
          </cell>
          <cell r="AA383">
            <v>13.773669027012851</v>
          </cell>
          <cell r="AB383">
            <v>10.437765412212622</v>
          </cell>
          <cell r="AC383">
            <v>8.9901574803149611</v>
          </cell>
          <cell r="AD383">
            <v>10.175587652223166</v>
          </cell>
          <cell r="AE383">
            <v>9.8388963785969974</v>
          </cell>
          <cell r="AF383">
            <v>11.32605577689243</v>
          </cell>
          <cell r="AG383">
            <v>8.3600266731328805</v>
          </cell>
          <cell r="AH383">
            <v>5.3164469650521156</v>
          </cell>
          <cell r="AI383">
            <v>7.5947009539008379</v>
          </cell>
          <cell r="AJ383">
            <v>4.558561207487994</v>
          </cell>
          <cell r="AK383">
            <v>5.3440654634444789</v>
          </cell>
          <cell r="AL383">
            <v>20.414598108747043</v>
          </cell>
          <cell r="AM383">
            <v>6.5711249980323947</v>
          </cell>
          <cell r="AN383">
            <v>8.7393923942621381</v>
          </cell>
        </row>
        <row r="384">
          <cell r="C384" t="str">
            <v>DEPR-REPAIR PARTS INV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W384" t="str">
            <v>DEPR-REPAIR PARTS INV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</row>
        <row r="385">
          <cell r="C385" t="str">
            <v>DEPR EXP-FORMER CAP LSES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W385" t="str">
            <v>DEPR EXP-FORMER CAP LSES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</row>
        <row r="386">
          <cell r="C386" t="str">
            <v>PROPERTY TAXES</v>
          </cell>
          <cell r="D386">
            <v>181</v>
          </cell>
          <cell r="E386">
            <v>195</v>
          </cell>
          <cell r="F386">
            <v>615</v>
          </cell>
          <cell r="G386">
            <v>991</v>
          </cell>
          <cell r="H386">
            <v>748</v>
          </cell>
          <cell r="I386">
            <v>665</v>
          </cell>
          <cell r="J386">
            <v>703</v>
          </cell>
          <cell r="K386">
            <v>2116</v>
          </cell>
          <cell r="L386">
            <v>1074</v>
          </cell>
          <cell r="M386">
            <v>820</v>
          </cell>
          <cell r="N386">
            <v>722</v>
          </cell>
          <cell r="O386">
            <v>2616</v>
          </cell>
          <cell r="P386">
            <v>731</v>
          </cell>
          <cell r="Q386">
            <v>1290</v>
          </cell>
          <cell r="R386">
            <v>976</v>
          </cell>
          <cell r="S386">
            <v>2997</v>
          </cell>
          <cell r="T386">
            <v>8720</v>
          </cell>
          <cell r="W386" t="str">
            <v>PROPERTY TAXES</v>
          </cell>
          <cell r="X386">
            <v>1.822025367425005E-2</v>
          </cell>
          <cell r="Y386">
            <v>1.9136408243375858E-2</v>
          </cell>
          <cell r="Z386">
            <v>5.9248554913294796E-2</v>
          </cell>
          <cell r="AA386">
            <v>3.2487542617361656E-2</v>
          </cell>
          <cell r="AB386">
            <v>5.4766437252892076E-2</v>
          </cell>
          <cell r="AC386">
            <v>4.3635170603674542E-2</v>
          </cell>
          <cell r="AD386">
            <v>4.9773435287453982E-2</v>
          </cell>
          <cell r="AE386">
            <v>4.9184138347822044E-2</v>
          </cell>
          <cell r="AF386">
            <v>8.5577689243027888E-2</v>
          </cell>
          <cell r="AG386">
            <v>4.9709020368574199E-2</v>
          </cell>
          <cell r="AH386">
            <v>2.7667075413856528E-2</v>
          </cell>
          <cell r="AI386">
            <v>4.7441151935004172E-2</v>
          </cell>
          <cell r="AJ386">
            <v>2.3881864811003298E-2</v>
          </cell>
          <cell r="AK386">
            <v>4.932701131844601E-2</v>
          </cell>
          <cell r="AL386">
            <v>0.14420803782505912</v>
          </cell>
          <cell r="AM386">
            <v>4.7175305765870708E-2</v>
          </cell>
          <cell r="AN386">
            <v>4.5370115038215995E-2</v>
          </cell>
        </row>
        <row r="387">
          <cell r="C387" t="str">
            <v>AMORT PURCH SOFTWARE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W387" t="str">
            <v>AMORT PURCH SOFTWARE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</row>
        <row r="388">
          <cell r="C388" t="str">
            <v>DEPR EXP SPECIAL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W388" t="str">
            <v>DEPR EXP SPECIAL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</row>
        <row r="389">
          <cell r="C389" t="str">
            <v>DEPR ON GEG ASSETS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W389" t="str">
            <v>DEPR ON GEG ASSETS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</row>
        <row r="390">
          <cell r="C390" t="str">
            <v>DEPR EXP-COMPUTER EQUIPMENT</v>
          </cell>
          <cell r="D390">
            <v>3179</v>
          </cell>
          <cell r="E390">
            <v>4071</v>
          </cell>
          <cell r="F390">
            <v>3105</v>
          </cell>
          <cell r="G390">
            <v>10355</v>
          </cell>
          <cell r="H390">
            <v>3331</v>
          </cell>
          <cell r="I390">
            <v>2680</v>
          </cell>
          <cell r="J390">
            <v>3460</v>
          </cell>
          <cell r="K390">
            <v>9471</v>
          </cell>
          <cell r="L390">
            <v>3310</v>
          </cell>
          <cell r="M390">
            <v>2568</v>
          </cell>
          <cell r="N390">
            <v>3271</v>
          </cell>
          <cell r="O390">
            <v>9149</v>
          </cell>
          <cell r="P390">
            <v>5213</v>
          </cell>
          <cell r="Q390">
            <v>3698</v>
          </cell>
          <cell r="R390">
            <v>4311</v>
          </cell>
          <cell r="S390">
            <v>13222</v>
          </cell>
          <cell r="T390">
            <v>42197</v>
          </cell>
          <cell r="W390" t="str">
            <v>DEPR EXP-COMPUTER EQUIPMENT</v>
          </cell>
          <cell r="X390">
            <v>0.32001207972619289</v>
          </cell>
          <cell r="Y390">
            <v>0.39950932286555446</v>
          </cell>
          <cell r="Z390">
            <v>0.29913294797687862</v>
          </cell>
          <cell r="AA390">
            <v>0.33946367689483348</v>
          </cell>
          <cell r="AB390">
            <v>0.24388636696441646</v>
          </cell>
          <cell r="AC390">
            <v>0.17585301837270342</v>
          </cell>
          <cell r="AD390">
            <v>0.24497309544038515</v>
          </cell>
          <cell r="AE390">
            <v>0.22014318255776114</v>
          </cell>
          <cell r="AF390">
            <v>0.26374501992031874</v>
          </cell>
          <cell r="AG390">
            <v>0.15567410281280311</v>
          </cell>
          <cell r="AH390">
            <v>0.12534488044144695</v>
          </cell>
          <cell r="AI390">
            <v>0.16591708679409525</v>
          </cell>
          <cell r="AJ390">
            <v>0.17030938612826294</v>
          </cell>
          <cell r="AK390">
            <v>0.14140409911287855</v>
          </cell>
          <cell r="AL390">
            <v>0.63696808510638303</v>
          </cell>
          <cell r="AM390">
            <v>0.2081254230351493</v>
          </cell>
          <cell r="AN390">
            <v>0.21955077342518353</v>
          </cell>
        </row>
        <row r="391">
          <cell r="C391" t="str">
            <v>DEPR ON CAP LEASES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W391" t="str">
            <v>DEPR ON CAP LEASES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</row>
        <row r="392">
          <cell r="C392" t="str">
            <v>DEPR EXP - TANDEM AXLE TRACTORS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W392" t="str">
            <v>DEPR EXP - TANDEM AXLE TRACTORS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C393" t="str">
            <v>DEPR EXP - CYLINDER TRAILERS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W393" t="str">
            <v>DEPR EXP - CYLINDER TRAILERS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</row>
        <row r="394">
          <cell r="C394" t="str">
            <v>DEPR EXP - STRAIGHT TRUCKS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W394" t="str">
            <v>DEPR EXP - STRAIGHT TRUCKS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</row>
        <row r="395">
          <cell r="C395" t="str">
            <v>DEPR EXP - MISC TRUCKS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W395" t="str">
            <v>DEPR EXP - MISC TRUCKS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</row>
        <row r="396">
          <cell r="C396" t="str">
            <v>GENERAL TAXES</v>
          </cell>
          <cell r="D396">
            <v>384</v>
          </cell>
          <cell r="E396">
            <v>371</v>
          </cell>
          <cell r="F396">
            <v>413</v>
          </cell>
          <cell r="G396">
            <v>1168</v>
          </cell>
          <cell r="H396">
            <v>534</v>
          </cell>
          <cell r="I396">
            <v>510</v>
          </cell>
          <cell r="J396">
            <v>543</v>
          </cell>
          <cell r="K396">
            <v>1587</v>
          </cell>
          <cell r="L396">
            <v>410</v>
          </cell>
          <cell r="M396">
            <v>388</v>
          </cell>
          <cell r="N396">
            <v>548</v>
          </cell>
          <cell r="O396">
            <v>1346</v>
          </cell>
          <cell r="P396">
            <v>482</v>
          </cell>
          <cell r="Q396">
            <v>7441</v>
          </cell>
          <cell r="R396">
            <v>802</v>
          </cell>
          <cell r="S396">
            <v>8725</v>
          </cell>
          <cell r="T396">
            <v>12826</v>
          </cell>
          <cell r="W396" t="str">
            <v>GENERAL TAXES</v>
          </cell>
          <cell r="X396">
            <v>3.8655123817193479E-2</v>
          </cell>
          <cell r="Y396">
            <v>3.6408243375858684E-2</v>
          </cell>
          <cell r="Z396">
            <v>3.978805394990366E-2</v>
          </cell>
          <cell r="AA396">
            <v>3.829006031995804E-2</v>
          </cell>
          <cell r="AB396">
            <v>3.9097964562893543E-2</v>
          </cell>
          <cell r="AC396">
            <v>3.3464566929133861E-2</v>
          </cell>
          <cell r="AD396">
            <v>3.8445199660152932E-2</v>
          </cell>
          <cell r="AE396">
            <v>3.6888103760866535E-2</v>
          </cell>
          <cell r="AF396">
            <v>3.2669322709163347E-2</v>
          </cell>
          <cell r="AG396">
            <v>2.3520853540252181E-2</v>
          </cell>
          <cell r="AH396">
            <v>2.0999386879215206E-2</v>
          </cell>
          <cell r="AI396">
            <v>2.4409705850350006E-2</v>
          </cell>
          <cell r="AJ396">
            <v>1.5747002515599986E-2</v>
          </cell>
          <cell r="AK396">
            <v>0.28452890792291219</v>
          </cell>
          <cell r="AL396">
            <v>0.11849881796690308</v>
          </cell>
          <cell r="AM396">
            <v>0.13733885312219615</v>
          </cell>
          <cell r="AN396">
            <v>6.6733611866990644E-2</v>
          </cell>
        </row>
        <row r="397">
          <cell r="C397" t="str">
            <v>AMORT PURCHASED PATENTS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W397" t="str">
            <v>AMORT PURCHASED PATENTS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</row>
        <row r="398">
          <cell r="C398" t="str">
            <v>SALES TAX ON CAP LEASES</v>
          </cell>
          <cell r="D398">
            <v>7</v>
          </cell>
          <cell r="E398">
            <v>9</v>
          </cell>
          <cell r="F398">
            <v>7</v>
          </cell>
          <cell r="G398">
            <v>23</v>
          </cell>
          <cell r="H398">
            <v>8</v>
          </cell>
          <cell r="I398">
            <v>8</v>
          </cell>
          <cell r="J398">
            <v>7</v>
          </cell>
          <cell r="K398">
            <v>23</v>
          </cell>
          <cell r="L398">
            <v>8</v>
          </cell>
          <cell r="M398">
            <v>7</v>
          </cell>
          <cell r="N398">
            <v>7</v>
          </cell>
          <cell r="O398">
            <v>22</v>
          </cell>
          <cell r="P398">
            <v>10</v>
          </cell>
          <cell r="Q398">
            <v>6</v>
          </cell>
          <cell r="R398">
            <v>11</v>
          </cell>
          <cell r="S398">
            <v>27</v>
          </cell>
          <cell r="T398">
            <v>95</v>
          </cell>
          <cell r="W398" t="str">
            <v>SALES TAX ON CAP LEASES</v>
          </cell>
          <cell r="X398">
            <v>7.0465069458425613E-4</v>
          </cell>
          <cell r="Y398">
            <v>8.8321884200196269E-4</v>
          </cell>
          <cell r="Z398">
            <v>6.7437379576107902E-4</v>
          </cell>
          <cell r="AA398">
            <v>7.5399947547862575E-4</v>
          </cell>
          <cell r="AB398">
            <v>5.8573729682237518E-4</v>
          </cell>
          <cell r="AC398">
            <v>5.2493438320209973E-4</v>
          </cell>
          <cell r="AD398">
            <v>4.9561030869442089E-4</v>
          </cell>
          <cell r="AE398">
            <v>5.3461019943284831E-4</v>
          </cell>
          <cell r="AF398">
            <v>6.3745019920318727E-4</v>
          </cell>
          <cell r="AG398">
            <v>4.2434529582929196E-4</v>
          </cell>
          <cell r="AH398">
            <v>2.6824034334763948E-4</v>
          </cell>
          <cell r="AI398">
            <v>3.9896993217511151E-4</v>
          </cell>
          <cell r="AJ398">
            <v>3.2670129700414913E-4</v>
          </cell>
          <cell r="AK398">
            <v>2.294279596206791E-4</v>
          </cell>
          <cell r="AL398">
            <v>1.6252955082742316E-3</v>
          </cell>
          <cell r="AM398">
            <v>4.2500275464748383E-4</v>
          </cell>
          <cell r="AN398">
            <v>4.9428451016405044E-4</v>
          </cell>
        </row>
        <row r="399">
          <cell r="C399" t="str">
            <v>SUPERFUND EXPENSE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W399" t="str">
            <v>SUPERFUND EXPENSE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</row>
        <row r="400">
          <cell r="C400" t="str">
            <v>FLORIDA SUPERFUND TAX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W400" t="str">
            <v>FLORIDA SUPERFUND TAX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</row>
        <row r="401">
          <cell r="C401" t="str">
            <v>CLEANUP-CONTAM WASTE SITE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W401" t="str">
            <v>CLEANUP-CONTAM WASTE SITE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</row>
        <row r="402">
          <cell r="C402" t="str">
            <v>NJ SPILL COMP/CONTROL TAX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W402" t="str">
            <v>NJ SPILL COMP/CONTROL TAX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</row>
        <row r="403">
          <cell r="C403" t="str">
            <v>SPEC DEPR EXP-PVC-TRF OUT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W403" t="str">
            <v>SPEC DEPR EXP-PVC-TRF OUT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</row>
        <row r="404">
          <cell r="C404" t="str">
            <v>SPEC DEPR EXP-PVC-TRF IN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W404" t="str">
            <v>SPEC DEPR EXP-PVC-TRF IN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</row>
        <row r="405">
          <cell r="C405" t="str">
            <v>DEPRECIATION TRF IN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W405" t="str">
            <v>DEPRECIATION TRF IN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</row>
        <row r="406">
          <cell r="C406" t="str">
            <v>TOTAL DEPR-TAXES-INSURANCE</v>
          </cell>
          <cell r="D406">
            <v>151713</v>
          </cell>
          <cell r="E406">
            <v>152296</v>
          </cell>
          <cell r="F406">
            <v>154330</v>
          </cell>
          <cell r="G406">
            <v>458339</v>
          </cell>
          <cell r="H406">
            <v>156763</v>
          </cell>
          <cell r="I406">
            <v>149677</v>
          </cell>
          <cell r="J406">
            <v>157175</v>
          </cell>
          <cell r="K406">
            <v>463615</v>
          </cell>
          <cell r="L406">
            <v>155854</v>
          </cell>
          <cell r="M406">
            <v>150247</v>
          </cell>
          <cell r="N406">
            <v>151980</v>
          </cell>
          <cell r="O406">
            <v>458081</v>
          </cell>
          <cell r="P406">
            <v>156375</v>
          </cell>
          <cell r="Q406">
            <v>160886</v>
          </cell>
          <cell r="R406">
            <v>155849</v>
          </cell>
          <cell r="S406">
            <v>473110</v>
          </cell>
          <cell r="T406">
            <v>1853145</v>
          </cell>
          <cell r="W406" t="str">
            <v>TOTAL DEPR-TAXES-INSURANCE</v>
          </cell>
          <cell r="X406">
            <v>15.272095832494463</v>
          </cell>
          <cell r="Y406">
            <v>14.945632973503434</v>
          </cell>
          <cell r="Z406">
            <v>14.868015414258188</v>
          </cell>
          <cell r="AA406">
            <v>15.025537634408602</v>
          </cell>
          <cell r="AB406">
            <v>11.477741982720749</v>
          </cell>
          <cell r="AC406">
            <v>9.8213254593175847</v>
          </cell>
          <cell r="AD406">
            <v>11.128221467006513</v>
          </cell>
          <cell r="AE406">
            <v>10.77623076565478</v>
          </cell>
          <cell r="AF406">
            <v>12.418645418326694</v>
          </cell>
          <cell r="AG406">
            <v>9.1080868089233746</v>
          </cell>
          <cell r="AH406">
            <v>5.8238810545677495</v>
          </cell>
          <cell r="AI406">
            <v>8.3072975227594217</v>
          </cell>
          <cell r="AJ406">
            <v>5.1087915319023818</v>
          </cell>
          <cell r="AK406">
            <v>6.1519577852554299</v>
          </cell>
          <cell r="AL406">
            <v>23.02733451536643</v>
          </cell>
          <cell r="AM406">
            <v>7.4471501204174473</v>
          </cell>
          <cell r="AN406">
            <v>9.6419038798732544</v>
          </cell>
        </row>
        <row r="407">
          <cell r="D407" t="str">
            <v xml:space="preserve"> </v>
          </cell>
          <cell r="E407" t="str">
            <v xml:space="preserve"> </v>
          </cell>
          <cell r="F407" t="str">
            <v xml:space="preserve"> </v>
          </cell>
          <cell r="G407" t="str">
            <v xml:space="preserve"> </v>
          </cell>
          <cell r="H407" t="str">
            <v xml:space="preserve"> </v>
          </cell>
          <cell r="I407" t="str">
            <v xml:space="preserve"> </v>
          </cell>
          <cell r="J407" t="str">
            <v xml:space="preserve"> </v>
          </cell>
          <cell r="K407" t="str">
            <v xml:space="preserve"> </v>
          </cell>
          <cell r="L407" t="str">
            <v xml:space="preserve"> </v>
          </cell>
          <cell r="M407" t="str">
            <v xml:space="preserve"> </v>
          </cell>
          <cell r="N407" t="str">
            <v xml:space="preserve"> </v>
          </cell>
          <cell r="O407" t="str">
            <v xml:space="preserve"> </v>
          </cell>
          <cell r="P407" t="str">
            <v xml:space="preserve"> </v>
          </cell>
          <cell r="Q407" t="str">
            <v xml:space="preserve"> </v>
          </cell>
          <cell r="R407" t="str">
            <v xml:space="preserve"> </v>
          </cell>
          <cell r="S407" t="str">
            <v xml:space="preserve"> </v>
          </cell>
        </row>
        <row r="408">
          <cell r="C408" t="str">
            <v>US PATENT TRADEMARKS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W408" t="str">
            <v>US PATENT TRADEMARKS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</row>
        <row r="409">
          <cell r="C409" t="str">
            <v>R&amp;D DEPT COSTS TRF OUT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W409" t="str">
            <v>R&amp;D DEPT COSTS TRF OUT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</row>
        <row r="410">
          <cell r="C410" t="str">
            <v>SAFETY EXP TRF IN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W410" t="str">
            <v>SAFETY EXP TRF IN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</row>
        <row r="411">
          <cell r="C411" t="str">
            <v>TRF IN AIRCRAFT CHARGES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W411" t="str">
            <v>TRF IN AIRCRAFT CHARGES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</row>
        <row r="412">
          <cell r="C412" t="str">
            <v>TRF IN SALES PROM MATL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W412" t="str">
            <v>TRF IN SALES PROM MATL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</row>
        <row r="413">
          <cell r="C413" t="str">
            <v>AUDIO VISUAL COSTS TRF IN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1</v>
          </cell>
          <cell r="O413">
            <v>1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1</v>
          </cell>
          <cell r="W413" t="str">
            <v>AUDIO VISUAL COSTS TRF IN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3.8320049049662781E-5</v>
          </cell>
          <cell r="AI413">
            <v>1.8134996917050524E-5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5.2029948438321099E-6</v>
          </cell>
        </row>
        <row r="414">
          <cell r="C414" t="str">
            <v>TECH SERVICES TRF IN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W414" t="str">
            <v>TECH SERVICES TRF IN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</row>
        <row r="415">
          <cell r="C415" t="str">
            <v>TRF IN MICROFILM EXP</v>
          </cell>
          <cell r="D415">
            <v>0</v>
          </cell>
          <cell r="E415">
            <v>0</v>
          </cell>
          <cell r="F415">
            <v>9</v>
          </cell>
          <cell r="G415">
            <v>9</v>
          </cell>
          <cell r="H415">
            <v>10</v>
          </cell>
          <cell r="I415">
            <v>1</v>
          </cell>
          <cell r="J415">
            <v>2</v>
          </cell>
          <cell r="K415">
            <v>13</v>
          </cell>
          <cell r="L415">
            <v>1</v>
          </cell>
          <cell r="M415">
            <v>1</v>
          </cell>
          <cell r="N415">
            <v>1</v>
          </cell>
          <cell r="O415">
            <v>3</v>
          </cell>
          <cell r="P415">
            <v>1</v>
          </cell>
          <cell r="Q415">
            <v>-1</v>
          </cell>
          <cell r="R415">
            <v>16</v>
          </cell>
          <cell r="S415">
            <v>16</v>
          </cell>
          <cell r="T415">
            <v>41</v>
          </cell>
          <cell r="W415" t="str">
            <v>TRF IN MICROFILM EXP</v>
          </cell>
          <cell r="X415">
            <v>0</v>
          </cell>
          <cell r="Y415">
            <v>0</v>
          </cell>
          <cell r="Z415">
            <v>8.6705202312138728E-4</v>
          </cell>
          <cell r="AA415">
            <v>2.9504327301337529E-4</v>
          </cell>
          <cell r="AB415">
            <v>7.3217162102796895E-4</v>
          </cell>
          <cell r="AC415">
            <v>6.5616797900262466E-5</v>
          </cell>
          <cell r="AD415">
            <v>1.4160294534126309E-4</v>
          </cell>
          <cell r="AE415">
            <v>3.0217098228813163E-4</v>
          </cell>
          <cell r="AF415">
            <v>7.9681274900398409E-5</v>
          </cell>
          <cell r="AG415">
            <v>6.0620756547041708E-5</v>
          </cell>
          <cell r="AH415">
            <v>3.8320049049662781E-5</v>
          </cell>
          <cell r="AI415">
            <v>5.4404990751151573E-5</v>
          </cell>
          <cell r="AJ415">
            <v>3.2670129700414909E-5</v>
          </cell>
          <cell r="AK415">
            <v>-3.8237993270113186E-5</v>
          </cell>
          <cell r="AL415">
            <v>2.3640661938534278E-3</v>
          </cell>
          <cell r="AM415">
            <v>2.5185348423554599E-4</v>
          </cell>
          <cell r="AN415">
            <v>2.1332278859711651E-4</v>
          </cell>
        </row>
        <row r="416">
          <cell r="C416" t="str">
            <v>CORP TRANSP SERV CHRGS TRF IN</v>
          </cell>
          <cell r="D416">
            <v>77</v>
          </cell>
          <cell r="E416">
            <v>138</v>
          </cell>
          <cell r="F416">
            <v>214</v>
          </cell>
          <cell r="G416">
            <v>429</v>
          </cell>
          <cell r="H416">
            <v>618</v>
          </cell>
          <cell r="I416">
            <v>1041</v>
          </cell>
          <cell r="J416">
            <v>679</v>
          </cell>
          <cell r="K416">
            <v>2338</v>
          </cell>
          <cell r="L416">
            <v>731</v>
          </cell>
          <cell r="M416">
            <v>250</v>
          </cell>
          <cell r="N416">
            <v>319</v>
          </cell>
          <cell r="O416">
            <v>1300</v>
          </cell>
          <cell r="P416">
            <v>382</v>
          </cell>
          <cell r="Q416">
            <v>270</v>
          </cell>
          <cell r="R416">
            <v>606</v>
          </cell>
          <cell r="S416">
            <v>1258</v>
          </cell>
          <cell r="T416">
            <v>5325</v>
          </cell>
          <cell r="W416" t="str">
            <v>CORP TRANSP SERV CHRGS TRF IN</v>
          </cell>
          <cell r="X416">
            <v>7.7511576404268173E-3</v>
          </cell>
          <cell r="Y416">
            <v>1.3542688910696762E-2</v>
          </cell>
          <cell r="Z416">
            <v>2.0616570327552985E-2</v>
          </cell>
          <cell r="AA416">
            <v>1.4063729346970888E-2</v>
          </cell>
          <cell r="AB416">
            <v>4.5248206179528482E-2</v>
          </cell>
          <cell r="AC416">
            <v>6.8307086614173229E-2</v>
          </cell>
          <cell r="AD416">
            <v>4.807419994335882E-2</v>
          </cell>
          <cell r="AE416">
            <v>5.4344288968434754E-2</v>
          </cell>
          <cell r="AF416">
            <v>5.8247011952191237E-2</v>
          </cell>
          <cell r="AG416">
            <v>1.5155189136760427E-2</v>
          </cell>
          <cell r="AH416">
            <v>1.2224095646842428E-2</v>
          </cell>
          <cell r="AI416">
            <v>2.3575495992165681E-2</v>
          </cell>
          <cell r="AJ416">
            <v>1.2479989545558496E-2</v>
          </cell>
          <cell r="AK416">
            <v>1.0324258182930559E-2</v>
          </cell>
          <cell r="AL416">
            <v>8.9539007092198586E-2</v>
          </cell>
          <cell r="AM416">
            <v>1.9801980198019802E-2</v>
          </cell>
          <cell r="AN416">
            <v>2.7705947543405985E-2</v>
          </cell>
        </row>
        <row r="417">
          <cell r="C417" t="str">
            <v>FOREIGN PATENT FILING COST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W417" t="str">
            <v>FOREIGN PATENT FILING COST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</row>
        <row r="418">
          <cell r="C418" t="str">
            <v>FOREIGN PATENT MAINTENANCE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W418" t="str">
            <v>FOREIGN PATENT MAINTENANCE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</row>
        <row r="419">
          <cell r="C419" t="str">
            <v>PATENT AWARD COSTS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W419" t="str">
            <v>PATENT AWARD COSTS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</row>
        <row r="420">
          <cell r="C420" t="str">
            <v>US PATENT TRADEMARK&amp;COPY RIGHTS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W420" t="str">
            <v>US PATENT TRADEMARK&amp;COPY RIGHTS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</row>
        <row r="421">
          <cell r="C421" t="str">
            <v>US PATENT MAINT FEES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W421" t="str">
            <v>US PATENT MAINT FEES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</row>
        <row r="422">
          <cell r="C422" t="str">
            <v>TRF IN R + D IWO COSTS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W422" t="str">
            <v>TRF IN R + D IWO COSTS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</row>
        <row r="423">
          <cell r="C423" t="str">
            <v>LITERATURE SEARCH CHG IN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W423" t="str">
            <v>LITERATURE SEARCH CHG IN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</row>
        <row r="424">
          <cell r="C424" t="str">
            <v>TRF IN INSTRUMENT RENTAL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W424" t="str">
            <v>TRF IN INSTRUMENT RENTAL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</row>
        <row r="425">
          <cell r="C425" t="str">
            <v>ALLOC FLEET CUST STATION &amp; CYLINDER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W425" t="str">
            <v>ALLOC FLEET CUST STATION &amp; CYLINDER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</row>
        <row r="426">
          <cell r="C426" t="str">
            <v>ALLOC FLEET MAINT &amp; REPAIR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W426" t="str">
            <v>ALLOC FLEET MAINT &amp; REPAIR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</row>
        <row r="427">
          <cell r="C427" t="str">
            <v>ALLOC RENTAL AND DEPRECIATION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W427" t="str">
            <v>ALLOC RENTAL AND DEPRECIATION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</row>
        <row r="428">
          <cell r="C428" t="str">
            <v>CUSTOMERA CHG BACK TRF IN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W428" t="str">
            <v>CUSTOMERA CHG BACK TRF IN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</row>
        <row r="429">
          <cell r="C429" t="str">
            <v>ALLOC AUTO MAINT EXP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4</v>
          </cell>
          <cell r="M429">
            <v>2</v>
          </cell>
          <cell r="N429">
            <v>1</v>
          </cell>
          <cell r="O429">
            <v>7</v>
          </cell>
          <cell r="P429">
            <v>12</v>
          </cell>
          <cell r="Q429">
            <v>4</v>
          </cell>
          <cell r="R429">
            <v>3</v>
          </cell>
          <cell r="S429">
            <v>19</v>
          </cell>
          <cell r="T429">
            <v>26</v>
          </cell>
          <cell r="W429" t="str">
            <v>ALLOC AUTO MAINT EXP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3.1872509960159364E-4</v>
          </cell>
          <cell r="AG429">
            <v>1.2124151309408342E-4</v>
          </cell>
          <cell r="AH429">
            <v>3.8320049049662781E-5</v>
          </cell>
          <cell r="AI429">
            <v>1.2694497841935366E-4</v>
          </cell>
          <cell r="AJ429">
            <v>3.9204155640497893E-4</v>
          </cell>
          <cell r="AK429">
            <v>1.5295197308045274E-4</v>
          </cell>
          <cell r="AL429">
            <v>4.4326241134751772E-4</v>
          </cell>
          <cell r="AM429">
            <v>2.9907601252971084E-4</v>
          </cell>
          <cell r="AN429">
            <v>1.3527786593963486E-4</v>
          </cell>
        </row>
        <row r="430">
          <cell r="C430" t="str">
            <v>ALLOC AUTO RENTAL EXP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W430" t="str">
            <v>ALLOC AUTO RENTAL EXP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</row>
        <row r="431">
          <cell r="C431" t="str">
            <v>ALLOC MAINT + REPAIR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W431" t="str">
            <v>ALLOC MAINT + REPAIR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</row>
        <row r="432">
          <cell r="C432" t="str">
            <v>TRF IN PRINTING EXP</v>
          </cell>
          <cell r="D432">
            <v>45</v>
          </cell>
          <cell r="E432">
            <v>40</v>
          </cell>
          <cell r="F432">
            <v>42</v>
          </cell>
          <cell r="G432">
            <v>127</v>
          </cell>
          <cell r="H432">
            <v>67</v>
          </cell>
          <cell r="I432">
            <v>76</v>
          </cell>
          <cell r="J432">
            <v>45</v>
          </cell>
          <cell r="K432">
            <v>188</v>
          </cell>
          <cell r="L432">
            <v>1</v>
          </cell>
          <cell r="M432">
            <v>-2</v>
          </cell>
          <cell r="N432">
            <v>-1</v>
          </cell>
          <cell r="O432">
            <v>-2</v>
          </cell>
          <cell r="P432">
            <v>6</v>
          </cell>
          <cell r="Q432">
            <v>379</v>
          </cell>
          <cell r="R432">
            <v>62</v>
          </cell>
          <cell r="S432">
            <v>447</v>
          </cell>
          <cell r="T432">
            <v>760</v>
          </cell>
          <cell r="W432" t="str">
            <v>TRF IN PRINTING EXP</v>
          </cell>
          <cell r="X432">
            <v>4.5298973223273607E-3</v>
          </cell>
          <cell r="Y432">
            <v>3.9254170755642784E-3</v>
          </cell>
          <cell r="Z432">
            <v>4.0462427745664737E-3</v>
          </cell>
          <cell r="AA432">
            <v>4.1633884080776295E-3</v>
          </cell>
          <cell r="AB432">
            <v>4.9055498608873921E-3</v>
          </cell>
          <cell r="AC432">
            <v>4.9868766404199474E-3</v>
          </cell>
          <cell r="AD432">
            <v>3.1860662701784196E-3</v>
          </cell>
          <cell r="AE432">
            <v>4.3698572823206733E-3</v>
          </cell>
          <cell r="AF432">
            <v>7.9681274900398409E-5</v>
          </cell>
          <cell r="AG432">
            <v>-1.2124151309408342E-4</v>
          </cell>
          <cell r="AH432">
            <v>-3.8320049049662781E-5</v>
          </cell>
          <cell r="AI432">
            <v>-3.6269993834101049E-5</v>
          </cell>
          <cell r="AJ432">
            <v>1.9602077820248947E-4</v>
          </cell>
          <cell r="AK432">
            <v>1.4492199449372897E-2</v>
          </cell>
          <cell r="AL432">
            <v>9.1607565011820324E-3</v>
          </cell>
          <cell r="AM432">
            <v>7.0361567158305658E-3</v>
          </cell>
          <cell r="AN432">
            <v>3.9542760813124035E-3</v>
          </cell>
        </row>
        <row r="433">
          <cell r="C433" t="str">
            <v>MAINT TRF IN TO NON-MFG ACTIVITIES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W433" t="str">
            <v>MAINT TRF IN TO NON-MFG ACTIVITIES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</row>
        <row r="434">
          <cell r="C434" t="str">
            <v>COMM EQUIP EXP TRF IN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W434" t="str">
            <v>COMM EQUIP EXP TRF IN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</row>
        <row r="435">
          <cell r="C435" t="str">
            <v>TRF IN WATS LINE EXP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W435" t="str">
            <v>TRF IN WATS LINE EXP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</row>
        <row r="436">
          <cell r="C436" t="str">
            <v>VIDEO CONFERENCE COST TRF IN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W436" t="str">
            <v>VIDEO CONFERENCE COST TRF IN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</row>
        <row r="437">
          <cell r="C437" t="str">
            <v>MISC COMMUNICATION EXP TRF IN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W437" t="str">
            <v>MISC COMMUNICATION EXP TRF IN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</row>
        <row r="438">
          <cell r="C438" t="str">
            <v>SALES EST &amp; BID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W438" t="str">
            <v>SALES EST &amp; BID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</row>
        <row r="439">
          <cell r="C439" t="str">
            <v>TUBE TRAILER FIXED EXP - TRF IN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W439" t="str">
            <v>TUBE TRAILER FIXED EXP - TRF IN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</row>
        <row r="440">
          <cell r="C440" t="str">
            <v>CYLINDER TRUCK EXP TRSF IN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W440" t="str">
            <v>CYLINDER TRUCK EXP TRSF IN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</row>
        <row r="441">
          <cell r="C441" t="str">
            <v>MISC TRUCK EXP-OTHER TRF IN</v>
          </cell>
          <cell r="D441">
            <v>20</v>
          </cell>
          <cell r="E441">
            <v>26</v>
          </cell>
          <cell r="F441">
            <v>17</v>
          </cell>
          <cell r="G441">
            <v>63</v>
          </cell>
          <cell r="H441">
            <v>21</v>
          </cell>
          <cell r="I441">
            <v>18</v>
          </cell>
          <cell r="J441">
            <v>32</v>
          </cell>
          <cell r="K441">
            <v>71</v>
          </cell>
          <cell r="L441">
            <v>25</v>
          </cell>
          <cell r="M441">
            <v>16</v>
          </cell>
          <cell r="N441">
            <v>23</v>
          </cell>
          <cell r="O441">
            <v>64</v>
          </cell>
          <cell r="P441">
            <v>43</v>
          </cell>
          <cell r="Q441">
            <v>25</v>
          </cell>
          <cell r="R441">
            <v>37</v>
          </cell>
          <cell r="S441">
            <v>105</v>
          </cell>
          <cell r="T441">
            <v>303</v>
          </cell>
          <cell r="W441" t="str">
            <v>MISC TRUCK EXP-OTHER TRF IN</v>
          </cell>
          <cell r="X441">
            <v>2.0132876988121604E-3</v>
          </cell>
          <cell r="Y441">
            <v>2.5515210991167814E-3</v>
          </cell>
          <cell r="Z441">
            <v>1.6377649325626203E-3</v>
          </cell>
          <cell r="AA441">
            <v>2.065302911093627E-3</v>
          </cell>
          <cell r="AB441">
            <v>1.5375604041587348E-3</v>
          </cell>
          <cell r="AC441">
            <v>1.1811023622047244E-3</v>
          </cell>
          <cell r="AD441">
            <v>2.2656471254602095E-3</v>
          </cell>
          <cell r="AE441">
            <v>1.6503184417274884E-3</v>
          </cell>
          <cell r="AF441">
            <v>1.9920318725099601E-3</v>
          </cell>
          <cell r="AG441">
            <v>9.6993210475266732E-4</v>
          </cell>
          <cell r="AH441">
            <v>8.8136112814224399E-4</v>
          </cell>
          <cell r="AI441">
            <v>1.1606398026912336E-3</v>
          </cell>
          <cell r="AJ441">
            <v>1.4048155771178412E-3</v>
          </cell>
          <cell r="AK441">
            <v>9.5594983175282958E-4</v>
          </cell>
          <cell r="AL441">
            <v>5.4669030732860521E-3</v>
          </cell>
          <cell r="AM441">
            <v>1.6527884902957704E-3</v>
          </cell>
          <cell r="AN441">
            <v>1.5765074376811292E-3</v>
          </cell>
        </row>
        <row r="442">
          <cell r="C442" t="str">
            <v>ALLOC TUBE TRAILER RENT &amp; DEPREC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W442" t="str">
            <v>ALLOC TUBE TRAILER RENT &amp; DEPREC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</row>
        <row r="443">
          <cell r="C443" t="str">
            <v>ALLOC TUBE TRAILER MAINT &amp; REPAIR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W443" t="str">
            <v>ALLOC TUBE TRAILER MAINT &amp; REPAIR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C444" t="str">
            <v>ALLOC TUBE TRAILER OTHER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W444" t="str">
            <v>ALLOC TUBE TRAILER OTHER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</row>
        <row r="445">
          <cell r="C445" t="str">
            <v>XEROX COSTS TRF IN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3</v>
          </cell>
          <cell r="J445">
            <v>0</v>
          </cell>
          <cell r="K445">
            <v>3</v>
          </cell>
          <cell r="L445">
            <v>0</v>
          </cell>
          <cell r="M445">
            <v>7</v>
          </cell>
          <cell r="N445">
            <v>0</v>
          </cell>
          <cell r="O445">
            <v>7</v>
          </cell>
          <cell r="P445">
            <v>-1</v>
          </cell>
          <cell r="Q445">
            <v>1</v>
          </cell>
          <cell r="R445">
            <v>0</v>
          </cell>
          <cell r="S445">
            <v>0</v>
          </cell>
          <cell r="T445">
            <v>10</v>
          </cell>
          <cell r="W445" t="str">
            <v>XEROX COSTS TRF IN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1.968503937007874E-4</v>
          </cell>
          <cell r="AD445">
            <v>0</v>
          </cell>
          <cell r="AE445">
            <v>6.9731765143415004E-5</v>
          </cell>
          <cell r="AF445">
            <v>0</v>
          </cell>
          <cell r="AG445">
            <v>4.2434529582929196E-4</v>
          </cell>
          <cell r="AH445">
            <v>0</v>
          </cell>
          <cell r="AI445">
            <v>1.2694497841935366E-4</v>
          </cell>
          <cell r="AJ445">
            <v>-3.2670129700414909E-5</v>
          </cell>
          <cell r="AK445">
            <v>3.8237993270113186E-5</v>
          </cell>
          <cell r="AL445">
            <v>0</v>
          </cell>
          <cell r="AM445">
            <v>0</v>
          </cell>
          <cell r="AN445">
            <v>5.2029948438321098E-5</v>
          </cell>
        </row>
        <row r="446">
          <cell r="C446" t="str">
            <v>CRSD ANALY SVCS TRF IN</v>
          </cell>
          <cell r="D446">
            <v>2586</v>
          </cell>
          <cell r="E446">
            <v>2219</v>
          </cell>
          <cell r="F446">
            <v>-1008</v>
          </cell>
          <cell r="G446">
            <v>3797</v>
          </cell>
          <cell r="H446">
            <v>2012</v>
          </cell>
          <cell r="I446">
            <v>2872</v>
          </cell>
          <cell r="J446">
            <v>2508</v>
          </cell>
          <cell r="K446">
            <v>7392</v>
          </cell>
          <cell r="L446">
            <v>1823</v>
          </cell>
          <cell r="M446">
            <v>2534</v>
          </cell>
          <cell r="N446">
            <v>1017</v>
          </cell>
          <cell r="O446">
            <v>5374</v>
          </cell>
          <cell r="P446">
            <v>-29</v>
          </cell>
          <cell r="Q446">
            <v>414</v>
          </cell>
          <cell r="R446">
            <v>3583</v>
          </cell>
          <cell r="S446">
            <v>3968</v>
          </cell>
          <cell r="T446">
            <v>20531</v>
          </cell>
          <cell r="W446" t="str">
            <v>CRSD ANALY SVCS TRF IN</v>
          </cell>
          <cell r="X446">
            <v>0.26031809945641232</v>
          </cell>
          <cell r="Y446">
            <v>0.21776251226692836</v>
          </cell>
          <cell r="Z446">
            <v>-9.7109826589595369E-2</v>
          </cell>
          <cell r="AA446">
            <v>0.124475478625754</v>
          </cell>
          <cell r="AB446">
            <v>0.14731293015082736</v>
          </cell>
          <cell r="AC446">
            <v>0.18845144356955382</v>
          </cell>
          <cell r="AD446">
            <v>0.17757009345794392</v>
          </cell>
          <cell r="AE446">
            <v>0.17181906931337454</v>
          </cell>
          <cell r="AF446">
            <v>0.14525896414342629</v>
          </cell>
          <cell r="AG446">
            <v>0.15361299709020368</v>
          </cell>
          <cell r="AH446">
            <v>3.897148988350705E-2</v>
          </cell>
          <cell r="AI446">
            <v>9.7457473432229519E-2</v>
          </cell>
          <cell r="AJ446">
            <v>-9.4743376131203243E-4</v>
          </cell>
          <cell r="AK446">
            <v>1.5830529213826858E-2</v>
          </cell>
          <cell r="AL446">
            <v>0.52940307328605196</v>
          </cell>
          <cell r="AM446">
            <v>6.2459664090415402E-2</v>
          </cell>
          <cell r="AN446">
            <v>0.10682268713871705</v>
          </cell>
        </row>
        <row r="447">
          <cell r="C447" t="str">
            <v>WORD PROCESSING TRF IN</v>
          </cell>
          <cell r="D447">
            <v>0</v>
          </cell>
          <cell r="E447">
            <v>0</v>
          </cell>
          <cell r="F447">
            <v>5</v>
          </cell>
          <cell r="G447">
            <v>5</v>
          </cell>
          <cell r="H447">
            <v>1</v>
          </cell>
          <cell r="I447">
            <v>28</v>
          </cell>
          <cell r="J447">
            <v>0</v>
          </cell>
          <cell r="K447">
            <v>29</v>
          </cell>
          <cell r="L447">
            <v>0</v>
          </cell>
          <cell r="M447">
            <v>4</v>
          </cell>
          <cell r="N447">
            <v>0</v>
          </cell>
          <cell r="O447">
            <v>4</v>
          </cell>
          <cell r="P447">
            <v>0</v>
          </cell>
          <cell r="Q447">
            <v>0</v>
          </cell>
          <cell r="R447">
            <v>-1</v>
          </cell>
          <cell r="S447">
            <v>-1</v>
          </cell>
          <cell r="T447">
            <v>37</v>
          </cell>
          <cell r="W447" t="str">
            <v>WORD PROCESSING TRF IN</v>
          </cell>
          <cell r="X447">
            <v>0</v>
          </cell>
          <cell r="Y447">
            <v>0</v>
          </cell>
          <cell r="Z447">
            <v>4.8169556840077071E-4</v>
          </cell>
          <cell r="AA447">
            <v>1.6391292945187516E-4</v>
          </cell>
          <cell r="AB447">
            <v>7.3217162102796898E-5</v>
          </cell>
          <cell r="AC447">
            <v>1.8372703412073491E-3</v>
          </cell>
          <cell r="AD447">
            <v>0</v>
          </cell>
          <cell r="AE447">
            <v>6.7407372971967831E-4</v>
          </cell>
          <cell r="AF447">
            <v>0</v>
          </cell>
          <cell r="AG447">
            <v>2.4248302618816683E-4</v>
          </cell>
          <cell r="AH447">
            <v>0</v>
          </cell>
          <cell r="AI447">
            <v>7.2539987668202098E-5</v>
          </cell>
          <cell r="AJ447">
            <v>0</v>
          </cell>
          <cell r="AK447">
            <v>0</v>
          </cell>
          <cell r="AL447">
            <v>-1.4775413711583924E-4</v>
          </cell>
          <cell r="AM447">
            <v>-1.5740842764721624E-5</v>
          </cell>
          <cell r="AN447">
            <v>1.9251080922178806E-4</v>
          </cell>
        </row>
        <row r="448">
          <cell r="C448" t="str">
            <v>SUPPORT STAFF TRAIN  COSTS TRFIN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W448" t="str">
            <v>SUPPORT STAFF TRAIN  COSTS TRFIN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</row>
        <row r="449">
          <cell r="C449" t="str">
            <v>SUPPLEMENTAL COMP TRSF IN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W449" t="str">
            <v>SUPPLEMENTAL COMP TRSF IN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</row>
        <row r="450">
          <cell r="C450" t="str">
            <v>MIS INFO TECH TRAIN TRF IN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W450" t="str">
            <v>MIS INFO TECH TRAIN TRF IN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</row>
        <row r="451">
          <cell r="C451" t="str">
            <v>EXEC SERVICES TRSF IN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W451" t="str">
            <v>EXEC SERVICES TRSF IN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</row>
        <row r="452">
          <cell r="C452" t="str">
            <v>RESEARCH TECH DVLP TRF IN</v>
          </cell>
          <cell r="D452">
            <v>1024</v>
          </cell>
          <cell r="E452">
            <v>640</v>
          </cell>
          <cell r="F452">
            <v>303</v>
          </cell>
          <cell r="G452">
            <v>1967</v>
          </cell>
          <cell r="H452">
            <v>399</v>
          </cell>
          <cell r="I452">
            <v>592</v>
          </cell>
          <cell r="J452">
            <v>699</v>
          </cell>
          <cell r="K452">
            <v>1690</v>
          </cell>
          <cell r="L452">
            <v>323</v>
          </cell>
          <cell r="M452">
            <v>333</v>
          </cell>
          <cell r="N452">
            <v>232</v>
          </cell>
          <cell r="O452">
            <v>888</v>
          </cell>
          <cell r="P452">
            <v>338</v>
          </cell>
          <cell r="Q452">
            <v>445</v>
          </cell>
          <cell r="R452">
            <v>258</v>
          </cell>
          <cell r="S452">
            <v>1041</v>
          </cell>
          <cell r="T452">
            <v>5586</v>
          </cell>
          <cell r="W452" t="str">
            <v>RESEARCH TECH DVLP TRF IN</v>
          </cell>
          <cell r="X452">
            <v>0.10308033017918261</v>
          </cell>
          <cell r="Y452">
            <v>6.2806673209028455E-2</v>
          </cell>
          <cell r="Z452">
            <v>2.9190751445086704E-2</v>
          </cell>
          <cell r="AA452">
            <v>6.448334644636769E-2</v>
          </cell>
          <cell r="AB452">
            <v>2.921364767901596E-2</v>
          </cell>
          <cell r="AC452">
            <v>3.884514435695538E-2</v>
          </cell>
          <cell r="AD452">
            <v>4.9490229396771453E-2</v>
          </cell>
          <cell r="AE452">
            <v>3.9282227697457116E-2</v>
          </cell>
          <cell r="AF452">
            <v>2.5737051792828685E-2</v>
          </cell>
          <cell r="AG452">
            <v>2.0186711930164889E-2</v>
          </cell>
          <cell r="AH452">
            <v>8.8902513795217665E-3</v>
          </cell>
          <cell r="AI452">
            <v>1.6103877262340867E-2</v>
          </cell>
          <cell r="AJ452">
            <v>1.1042503838740239E-2</v>
          </cell>
          <cell r="AK452">
            <v>1.7015907005200368E-2</v>
          </cell>
          <cell r="AL452">
            <v>3.8120567375886524E-2</v>
          </cell>
          <cell r="AM452">
            <v>1.638621731807521E-2</v>
          </cell>
          <cell r="AN452">
            <v>2.9063929197646166E-2</v>
          </cell>
        </row>
        <row r="453">
          <cell r="C453" t="str">
            <v>ALLOC OCCUPANCY EXP</v>
          </cell>
          <cell r="D453">
            <v>-1</v>
          </cell>
          <cell r="E453">
            <v>3</v>
          </cell>
          <cell r="F453">
            <v>2</v>
          </cell>
          <cell r="G453">
            <v>4</v>
          </cell>
          <cell r="H453">
            <v>6</v>
          </cell>
          <cell r="I453">
            <v>11</v>
          </cell>
          <cell r="J453">
            <v>4</v>
          </cell>
          <cell r="K453">
            <v>21</v>
          </cell>
          <cell r="L453">
            <v>16</v>
          </cell>
          <cell r="M453">
            <v>24</v>
          </cell>
          <cell r="N453">
            <v>16</v>
          </cell>
          <cell r="O453">
            <v>56</v>
          </cell>
          <cell r="P453">
            <v>5</v>
          </cell>
          <cell r="Q453">
            <v>9</v>
          </cell>
          <cell r="R453">
            <v>11</v>
          </cell>
          <cell r="S453">
            <v>25</v>
          </cell>
          <cell r="T453">
            <v>106</v>
          </cell>
          <cell r="W453" t="str">
            <v>ALLOC OCCUPANCY EXP</v>
          </cell>
          <cell r="X453">
            <v>-1.0066438494060802E-4</v>
          </cell>
          <cell r="Y453">
            <v>2.9440628066732091E-4</v>
          </cell>
          <cell r="Z453">
            <v>1.9267822736030829E-4</v>
          </cell>
          <cell r="AA453">
            <v>1.3113034356150013E-4</v>
          </cell>
          <cell r="AB453">
            <v>4.3930297261678136E-4</v>
          </cell>
          <cell r="AC453">
            <v>7.2178477690288713E-4</v>
          </cell>
          <cell r="AD453">
            <v>2.8320589068252618E-4</v>
          </cell>
          <cell r="AE453">
            <v>4.8812235600390497E-4</v>
          </cell>
          <cell r="AF453">
            <v>1.2749003984063745E-3</v>
          </cell>
          <cell r="AG453">
            <v>1.454898157129001E-3</v>
          </cell>
          <cell r="AH453">
            <v>6.131207847946045E-4</v>
          </cell>
          <cell r="AI453">
            <v>1.0155598273548293E-3</v>
          </cell>
          <cell r="AJ453">
            <v>1.6335064850207456E-4</v>
          </cell>
          <cell r="AK453">
            <v>3.4414193943101866E-4</v>
          </cell>
          <cell r="AL453">
            <v>1.6252955082742316E-3</v>
          </cell>
          <cell r="AM453">
            <v>3.9352106911804058E-4</v>
          </cell>
          <cell r="AN453">
            <v>5.5151745344620361E-4</v>
          </cell>
        </row>
        <row r="454">
          <cell r="C454" t="str">
            <v>ALLOC TREXLER GENERAL OFFICE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W454" t="str">
            <v>ALLOC TREXLER GENERAL OFFICE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</row>
        <row r="455">
          <cell r="C455" t="str">
            <v>ALLOC CHEM ADM SERV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W455" t="str">
            <v>ALLOC CHEM ADM SERV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</row>
        <row r="456">
          <cell r="C456" t="str">
            <v>ALLOC EMPLOYEE RELATIONS</v>
          </cell>
          <cell r="D456">
            <v>2343</v>
          </cell>
          <cell r="E456">
            <v>2528</v>
          </cell>
          <cell r="F456">
            <v>2439</v>
          </cell>
          <cell r="G456">
            <v>7310</v>
          </cell>
          <cell r="H456">
            <v>2730</v>
          </cell>
          <cell r="I456">
            <v>2510</v>
          </cell>
          <cell r="J456">
            <v>2491</v>
          </cell>
          <cell r="K456">
            <v>7731</v>
          </cell>
          <cell r="L456">
            <v>2541</v>
          </cell>
          <cell r="M456">
            <v>2437</v>
          </cell>
          <cell r="N456">
            <v>2415</v>
          </cell>
          <cell r="O456">
            <v>7393</v>
          </cell>
          <cell r="P456">
            <v>2898</v>
          </cell>
          <cell r="Q456">
            <v>2414</v>
          </cell>
          <cell r="R456">
            <v>3232</v>
          </cell>
          <cell r="S456">
            <v>8544</v>
          </cell>
          <cell r="T456">
            <v>30978</v>
          </cell>
          <cell r="W456" t="str">
            <v>ALLOC EMPLOYEE RELATIONS</v>
          </cell>
          <cell r="X456">
            <v>0.23585665391584457</v>
          </cell>
          <cell r="Y456">
            <v>0.24808635917566241</v>
          </cell>
          <cell r="Z456">
            <v>0.23497109826589596</v>
          </cell>
          <cell r="AA456">
            <v>0.2396407028586415</v>
          </cell>
          <cell r="AB456">
            <v>0.19988285254063554</v>
          </cell>
          <cell r="AC456">
            <v>0.16469816272965879</v>
          </cell>
          <cell r="AD456">
            <v>0.17636646842254319</v>
          </cell>
          <cell r="AE456">
            <v>0.17969875877458044</v>
          </cell>
          <cell r="AF456">
            <v>0.20247011952191235</v>
          </cell>
          <cell r="AG456">
            <v>0.14773278370514065</v>
          </cell>
          <cell r="AH456">
            <v>9.2542918454935619E-2</v>
          </cell>
          <cell r="AI456">
            <v>0.13407203220775452</v>
          </cell>
          <cell r="AJ456">
            <v>9.4678035871802416E-2</v>
          </cell>
          <cell r="AK456">
            <v>9.2306515754053228E-2</v>
          </cell>
          <cell r="AL456">
            <v>0.47754137115839246</v>
          </cell>
          <cell r="AM456">
            <v>0.13448976058178155</v>
          </cell>
          <cell r="AN456">
            <v>0.16117837427223108</v>
          </cell>
        </row>
        <row r="457">
          <cell r="C457" t="str">
            <v>ALLOC R&amp;D HOME OFFICE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W457" t="str">
            <v>ALLOC R&amp;D HOME OFFICE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</row>
        <row r="458">
          <cell r="C458" t="str">
            <v>ALLOC DEPRTMENT ADMIN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W458" t="str">
            <v>ALLOC DEPRTMENT ADMIN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</row>
        <row r="459">
          <cell r="C459" t="str">
            <v>ALLOC INFO SERVICES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W459" t="str">
            <v>ALLOC INFO SERVICES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</row>
        <row r="460">
          <cell r="C460" t="str">
            <v>ALLOC DISTRIBUTION TRF IN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W460" t="str">
            <v>ALLOC DISTRIBUTION TRF IN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</row>
        <row r="461">
          <cell r="C461" t="str">
            <v>ALLOC GROUP HELIUM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W461" t="str">
            <v>ALLOC GROUP HELIUM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</row>
        <row r="462">
          <cell r="C462" t="str">
            <v>ALLOC GROUP VP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W462" t="str">
            <v>ALLOC GROUP VP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</row>
        <row r="463">
          <cell r="C463" t="str">
            <v>ALLOC IGD GROUP SUPPORT</v>
          </cell>
          <cell r="D463">
            <v>7177</v>
          </cell>
          <cell r="E463">
            <v>98</v>
          </cell>
          <cell r="F463">
            <v>377</v>
          </cell>
          <cell r="G463">
            <v>7652</v>
          </cell>
          <cell r="H463">
            <v>754</v>
          </cell>
          <cell r="I463">
            <v>276</v>
          </cell>
          <cell r="J463">
            <v>313</v>
          </cell>
          <cell r="K463">
            <v>1343</v>
          </cell>
          <cell r="L463">
            <v>209</v>
          </cell>
          <cell r="M463">
            <v>646</v>
          </cell>
          <cell r="N463">
            <v>-167</v>
          </cell>
          <cell r="O463">
            <v>688</v>
          </cell>
          <cell r="P463">
            <v>38</v>
          </cell>
          <cell r="Q463">
            <v>559</v>
          </cell>
          <cell r="R463">
            <v>773</v>
          </cell>
          <cell r="S463">
            <v>1370</v>
          </cell>
          <cell r="T463">
            <v>11053</v>
          </cell>
          <cell r="W463" t="str">
            <v>ALLOC IGD GROUP SUPPORT</v>
          </cell>
          <cell r="X463">
            <v>0.72246829071874374</v>
          </cell>
          <cell r="Y463">
            <v>9.6172718351324824E-3</v>
          </cell>
          <cell r="Z463">
            <v>3.6319845857418112E-2</v>
          </cell>
          <cell r="AA463">
            <v>0.25085234723314975</v>
          </cell>
          <cell r="AB463">
            <v>5.5205740225508858E-2</v>
          </cell>
          <cell r="AC463">
            <v>1.8110236220472441E-2</v>
          </cell>
          <cell r="AD463">
            <v>2.2160860945907676E-2</v>
          </cell>
          <cell r="AE463">
            <v>3.1216586862535447E-2</v>
          </cell>
          <cell r="AF463">
            <v>1.6653386454183267E-2</v>
          </cell>
          <cell r="AG463">
            <v>3.9161008729388942E-2</v>
          </cell>
          <cell r="AH463">
            <v>-6.3994481912936852E-3</v>
          </cell>
          <cell r="AI463">
            <v>1.2476877878930761E-2</v>
          </cell>
          <cell r="AJ463">
            <v>1.2414649286157666E-3</v>
          </cell>
          <cell r="AK463">
            <v>2.137503823799327E-2</v>
          </cell>
          <cell r="AL463">
            <v>0.11421394799054374</v>
          </cell>
          <cell r="AM463">
            <v>2.1564954587668623E-2</v>
          </cell>
          <cell r="AN463">
            <v>5.7508702008876311E-2</v>
          </cell>
        </row>
        <row r="464">
          <cell r="C464" t="str">
            <v>TOTAL CORP SERVICES</v>
          </cell>
          <cell r="D464">
            <v>13271</v>
          </cell>
          <cell r="E464">
            <v>5692</v>
          </cell>
          <cell r="F464">
            <v>2400</v>
          </cell>
          <cell r="G464">
            <v>21363</v>
          </cell>
          <cell r="H464">
            <v>6618</v>
          </cell>
          <cell r="I464">
            <v>7428</v>
          </cell>
          <cell r="J464">
            <v>6773</v>
          </cell>
          <cell r="K464">
            <v>20819</v>
          </cell>
          <cell r="L464">
            <v>5674</v>
          </cell>
          <cell r="M464">
            <v>6252</v>
          </cell>
          <cell r="N464">
            <v>3857</v>
          </cell>
          <cell r="O464">
            <v>15783</v>
          </cell>
          <cell r="P464">
            <v>3693</v>
          </cell>
          <cell r="Q464">
            <v>4519</v>
          </cell>
          <cell r="R464">
            <v>8580</v>
          </cell>
          <cell r="S464">
            <v>16792</v>
          </cell>
          <cell r="T464">
            <v>74757</v>
          </cell>
          <cell r="W464" t="str">
            <v>TOTAL CORP SERVICES</v>
          </cell>
          <cell r="X464">
            <v>1.3359170525468089</v>
          </cell>
          <cell r="Y464">
            <v>0.55858684985279683</v>
          </cell>
          <cell r="Z464">
            <v>0.23121387283236994</v>
          </cell>
          <cell r="AA464">
            <v>0.70033438237608181</v>
          </cell>
          <cell r="AB464">
            <v>0.48455117879630988</v>
          </cell>
          <cell r="AC464">
            <v>0.48740157480314961</v>
          </cell>
          <cell r="AD464">
            <v>0.47953837439818747</v>
          </cell>
          <cell r="AE464">
            <v>0.48391520617358563</v>
          </cell>
          <cell r="AF464">
            <v>0.45211155378486056</v>
          </cell>
          <cell r="AG464">
            <v>0.37900096993210475</v>
          </cell>
          <cell r="AH464">
            <v>0.14780042918454936</v>
          </cell>
          <cell r="AI464">
            <v>0.28622465634180844</v>
          </cell>
          <cell r="AJ464">
            <v>0.12065078898363227</v>
          </cell>
          <cell r="AK464">
            <v>0.17279749158764149</v>
          </cell>
          <cell r="AL464">
            <v>1.2677304964539007</v>
          </cell>
          <cell r="AM464">
            <v>0.26432023170520552</v>
          </cell>
          <cell r="AN464">
            <v>0.38896028554035705</v>
          </cell>
        </row>
        <row r="465">
          <cell r="D465" t="str">
            <v xml:space="preserve"> </v>
          </cell>
          <cell r="E465" t="str">
            <v xml:space="preserve"> </v>
          </cell>
          <cell r="F465" t="str">
            <v xml:space="preserve"> </v>
          </cell>
          <cell r="G465" t="str">
            <v xml:space="preserve"> </v>
          </cell>
          <cell r="H465" t="str">
            <v xml:space="preserve"> </v>
          </cell>
          <cell r="I465" t="str">
            <v xml:space="preserve"> </v>
          </cell>
          <cell r="J465" t="str">
            <v xml:space="preserve"> </v>
          </cell>
          <cell r="K465" t="str">
            <v xml:space="preserve"> </v>
          </cell>
          <cell r="L465" t="str">
            <v xml:space="preserve"> </v>
          </cell>
          <cell r="M465" t="str">
            <v xml:space="preserve"> 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</row>
        <row r="466">
          <cell r="C466" t="str">
            <v>LEASED SYSTEMS + PROGRAMS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W466" t="str">
            <v>LEASED SYSTEMS + PROGRAMS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C467" t="str">
            <v>PURCH SYSTEM + PROGRAM</v>
          </cell>
          <cell r="D467">
            <v>43</v>
          </cell>
          <cell r="E467">
            <v>46</v>
          </cell>
          <cell r="F467">
            <v>26</v>
          </cell>
          <cell r="G467">
            <v>115</v>
          </cell>
          <cell r="H467">
            <v>41</v>
          </cell>
          <cell r="I467">
            <v>0</v>
          </cell>
          <cell r="J467">
            <v>0</v>
          </cell>
          <cell r="K467">
            <v>41</v>
          </cell>
          <cell r="L467">
            <v>225</v>
          </cell>
          <cell r="M467">
            <v>-2</v>
          </cell>
          <cell r="N467">
            <v>-2</v>
          </cell>
          <cell r="O467">
            <v>221</v>
          </cell>
          <cell r="P467">
            <v>187</v>
          </cell>
          <cell r="Q467">
            <v>-3</v>
          </cell>
          <cell r="R467">
            <v>115</v>
          </cell>
          <cell r="S467">
            <v>299</v>
          </cell>
          <cell r="T467">
            <v>676</v>
          </cell>
          <cell r="W467" t="str">
            <v>PURCH SYSTEM + PROGRAM</v>
          </cell>
          <cell r="X467">
            <v>4.3285685524461449E-3</v>
          </cell>
          <cell r="Y467">
            <v>4.5142296368989206E-3</v>
          </cell>
          <cell r="Z467">
            <v>2.5048169556840076E-3</v>
          </cell>
          <cell r="AA467">
            <v>3.7699973773931287E-3</v>
          </cell>
          <cell r="AB467">
            <v>3.0019036462146727E-3</v>
          </cell>
          <cell r="AC467">
            <v>0</v>
          </cell>
          <cell r="AD467">
            <v>0</v>
          </cell>
          <cell r="AE467">
            <v>9.5300079029333833E-4</v>
          </cell>
          <cell r="AF467">
            <v>1.7928286852589643E-2</v>
          </cell>
          <cell r="AG467">
            <v>-1.2124151309408342E-4</v>
          </cell>
          <cell r="AH467">
            <v>-7.6640098099325563E-5</v>
          </cell>
          <cell r="AI467">
            <v>4.0078343186681657E-3</v>
          </cell>
          <cell r="AJ467">
            <v>6.1093142539775883E-3</v>
          </cell>
          <cell r="AK467">
            <v>-1.1471397981033955E-4</v>
          </cell>
          <cell r="AL467">
            <v>1.6991725768321513E-2</v>
          </cell>
          <cell r="AM467">
            <v>4.7065119866517655E-3</v>
          </cell>
          <cell r="AN467">
            <v>3.5172245144305062E-3</v>
          </cell>
        </row>
        <row r="468">
          <cell r="C468" t="str">
            <v>PURCH SYSTEMS + PROGRAM MAINT</v>
          </cell>
          <cell r="D468">
            <v>385</v>
          </cell>
          <cell r="E468">
            <v>399</v>
          </cell>
          <cell r="F468">
            <v>391</v>
          </cell>
          <cell r="G468">
            <v>1175</v>
          </cell>
          <cell r="H468">
            <v>312</v>
          </cell>
          <cell r="I468">
            <v>168</v>
          </cell>
          <cell r="J468">
            <v>425</v>
          </cell>
          <cell r="K468">
            <v>905</v>
          </cell>
          <cell r="L468">
            <v>369</v>
          </cell>
          <cell r="M468">
            <v>227</v>
          </cell>
          <cell r="N468">
            <v>327</v>
          </cell>
          <cell r="O468">
            <v>923</v>
          </cell>
          <cell r="P468">
            <v>604</v>
          </cell>
          <cell r="Q468">
            <v>459</v>
          </cell>
          <cell r="R468">
            <v>181</v>
          </cell>
          <cell r="S468">
            <v>1244</v>
          </cell>
          <cell r="T468">
            <v>4247</v>
          </cell>
          <cell r="W468" t="str">
            <v>PURCH SYSTEMS + PROGRAM MAINT</v>
          </cell>
          <cell r="X468">
            <v>3.8755788202134087E-2</v>
          </cell>
          <cell r="Y468">
            <v>3.9156035328753683E-2</v>
          </cell>
          <cell r="Z468">
            <v>3.7668593448940267E-2</v>
          </cell>
          <cell r="AA468">
            <v>3.8519538421190665E-2</v>
          </cell>
          <cell r="AB468">
            <v>2.2843754576072631E-2</v>
          </cell>
          <cell r="AC468">
            <v>1.1023622047244094E-2</v>
          </cell>
          <cell r="AD468">
            <v>3.0090625885018409E-2</v>
          </cell>
          <cell r="AE468">
            <v>2.1035749151596856E-2</v>
          </cell>
          <cell r="AF468">
            <v>2.9402390438247012E-2</v>
          </cell>
          <cell r="AG468">
            <v>1.3760911736178468E-2</v>
          </cell>
          <cell r="AH468">
            <v>1.2530656039239731E-2</v>
          </cell>
          <cell r="AI468">
            <v>1.6738602154437635E-2</v>
          </cell>
          <cell r="AJ468">
            <v>1.9732758339050607E-2</v>
          </cell>
          <cell r="AK468">
            <v>1.7551238910981953E-2</v>
          </cell>
          <cell r="AL468">
            <v>2.6743498817966904E-2</v>
          </cell>
          <cell r="AM468">
            <v>1.9581608399313701E-2</v>
          </cell>
          <cell r="AN468">
            <v>2.2097119101754971E-2</v>
          </cell>
        </row>
        <row r="469">
          <cell r="C469" t="str">
            <v>PC SOFTWARE&amp; HARDWARE M&amp;E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W469" t="str">
            <v>PC SOFTWARE&amp; HARDWARE M&amp;E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C470" t="str">
            <v>COMPUTER TERMINAL INSTALL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68</v>
          </cell>
          <cell r="R470">
            <v>0</v>
          </cell>
          <cell r="S470">
            <v>68</v>
          </cell>
          <cell r="T470">
            <v>68</v>
          </cell>
          <cell r="W470" t="str">
            <v>COMPUTER TERMINAL INSTALL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2.6001835423676966E-3</v>
          </cell>
          <cell r="AL470">
            <v>0</v>
          </cell>
          <cell r="AM470">
            <v>1.0703773080010704E-3</v>
          </cell>
          <cell r="AN470">
            <v>3.5380364938058346E-4</v>
          </cell>
        </row>
        <row r="471">
          <cell r="C471" t="str">
            <v>COMPUTER JOB COST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W471" t="str">
            <v>COMPUTER JOB COST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C472" t="str">
            <v>COMPUTER SUPPLIES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W472" t="str">
            <v>COMPUTER SUPPLIES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C473" t="str">
            <v>PC HARDWARE MAINT + REPAIR</v>
          </cell>
          <cell r="D473">
            <v>0</v>
          </cell>
          <cell r="E473">
            <v>-6</v>
          </cell>
          <cell r="F473">
            <v>0</v>
          </cell>
          <cell r="G473">
            <v>-6</v>
          </cell>
          <cell r="H473">
            <v>0</v>
          </cell>
          <cell r="I473">
            <v>121</v>
          </cell>
          <cell r="J473">
            <v>24</v>
          </cell>
          <cell r="K473">
            <v>145</v>
          </cell>
          <cell r="L473">
            <v>67</v>
          </cell>
          <cell r="M473">
            <v>10</v>
          </cell>
          <cell r="N473">
            <v>30</v>
          </cell>
          <cell r="O473">
            <v>107</v>
          </cell>
          <cell r="P473">
            <v>21</v>
          </cell>
          <cell r="Q473">
            <v>278</v>
          </cell>
          <cell r="R473">
            <v>94</v>
          </cell>
          <cell r="S473">
            <v>393</v>
          </cell>
          <cell r="T473">
            <v>639</v>
          </cell>
          <cell r="W473" t="str">
            <v>PC HARDWARE MAINT + REPAIR</v>
          </cell>
          <cell r="X473">
            <v>0</v>
          </cell>
          <cell r="Y473">
            <v>-5.8881256133464183E-4</v>
          </cell>
          <cell r="Z473">
            <v>0</v>
          </cell>
          <cell r="AA473">
            <v>-1.966955153422502E-4</v>
          </cell>
          <cell r="AB473">
            <v>0</v>
          </cell>
          <cell r="AC473">
            <v>7.9396325459317584E-3</v>
          </cell>
          <cell r="AD473">
            <v>1.6992353440951572E-3</v>
          </cell>
          <cell r="AE473">
            <v>3.3703686485983915E-3</v>
          </cell>
          <cell r="AF473">
            <v>5.3386454183266931E-3</v>
          </cell>
          <cell r="AG473">
            <v>6.0620756547041712E-4</v>
          </cell>
          <cell r="AH473">
            <v>1.1496014714898835E-3</v>
          </cell>
          <cell r="AI473">
            <v>1.940444670124406E-3</v>
          </cell>
          <cell r="AJ473">
            <v>6.860727237087131E-4</v>
          </cell>
          <cell r="AK473">
            <v>1.0630162129091465E-2</v>
          </cell>
          <cell r="AL473">
            <v>1.3888888888888888E-2</v>
          </cell>
          <cell r="AM473">
            <v>6.1861512065355976E-3</v>
          </cell>
          <cell r="AN473">
            <v>3.3247137052087182E-3</v>
          </cell>
        </row>
        <row r="474">
          <cell r="C474" t="str">
            <v>PC PURCHASED SOFTWARE</v>
          </cell>
          <cell r="D474">
            <v>0</v>
          </cell>
          <cell r="E474">
            <v>0</v>
          </cell>
          <cell r="F474">
            <v>35</v>
          </cell>
          <cell r="G474">
            <v>35</v>
          </cell>
          <cell r="H474">
            <v>-1</v>
          </cell>
          <cell r="I474">
            <v>11</v>
          </cell>
          <cell r="J474">
            <v>12</v>
          </cell>
          <cell r="K474">
            <v>22</v>
          </cell>
          <cell r="L474">
            <v>733</v>
          </cell>
          <cell r="M474">
            <v>61</v>
          </cell>
          <cell r="N474">
            <v>15</v>
          </cell>
          <cell r="O474">
            <v>809</v>
          </cell>
          <cell r="P474">
            <v>6</v>
          </cell>
          <cell r="Q474">
            <v>115</v>
          </cell>
          <cell r="R474">
            <v>-6</v>
          </cell>
          <cell r="S474">
            <v>115</v>
          </cell>
          <cell r="T474">
            <v>981</v>
          </cell>
          <cell r="W474" t="str">
            <v>PC PURCHASED SOFTWARE</v>
          </cell>
          <cell r="X474">
            <v>0</v>
          </cell>
          <cell r="Y474">
            <v>0</v>
          </cell>
          <cell r="Z474">
            <v>3.3718689788053949E-3</v>
          </cell>
          <cell r="AA474">
            <v>1.1473905061631263E-3</v>
          </cell>
          <cell r="AB474">
            <v>-7.3217162102796898E-5</v>
          </cell>
          <cell r="AC474">
            <v>7.2178477690288713E-4</v>
          </cell>
          <cell r="AD474">
            <v>8.4961767204757861E-4</v>
          </cell>
          <cell r="AE474">
            <v>5.1136627771837669E-4</v>
          </cell>
          <cell r="AF474">
            <v>5.8406374501992035E-2</v>
          </cell>
          <cell r="AG474">
            <v>3.6978661493695443E-3</v>
          </cell>
          <cell r="AH474">
            <v>5.7480073574494174E-4</v>
          </cell>
          <cell r="AI474">
            <v>1.4671212505893875E-2</v>
          </cell>
          <cell r="AJ474">
            <v>1.9602077820248947E-4</v>
          </cell>
          <cell r="AK474">
            <v>4.3973692260630163E-3</v>
          </cell>
          <cell r="AL474">
            <v>-8.8652482269503544E-4</v>
          </cell>
          <cell r="AM474">
            <v>1.8101969179429866E-3</v>
          </cell>
          <cell r="AN474">
            <v>5.1041379417992999E-3</v>
          </cell>
        </row>
        <row r="475">
          <cell r="C475" t="str">
            <v>PC EQUIPMENT + SUPPLIES</v>
          </cell>
          <cell r="D475">
            <v>376</v>
          </cell>
          <cell r="E475">
            <v>94</v>
          </cell>
          <cell r="F475">
            <v>236</v>
          </cell>
          <cell r="G475">
            <v>706</v>
          </cell>
          <cell r="H475">
            <v>371</v>
          </cell>
          <cell r="I475">
            <v>70</v>
          </cell>
          <cell r="J475">
            <v>255</v>
          </cell>
          <cell r="K475">
            <v>696</v>
          </cell>
          <cell r="L475">
            <v>110</v>
          </cell>
          <cell r="M475">
            <v>83</v>
          </cell>
          <cell r="N475">
            <v>276</v>
          </cell>
          <cell r="O475">
            <v>469</v>
          </cell>
          <cell r="P475">
            <v>63</v>
          </cell>
          <cell r="Q475">
            <v>2</v>
          </cell>
          <cell r="R475">
            <v>448</v>
          </cell>
          <cell r="S475">
            <v>513</v>
          </cell>
          <cell r="T475">
            <v>2384</v>
          </cell>
          <cell r="W475" t="str">
            <v>PC EQUIPMENT + SUPPLIES</v>
          </cell>
          <cell r="X475">
            <v>3.7849808737668612E-2</v>
          </cell>
          <cell r="Y475">
            <v>9.2247301275760543E-3</v>
          </cell>
          <cell r="Z475">
            <v>2.2736030828516378E-2</v>
          </cell>
          <cell r="AA475">
            <v>2.3144505638604772E-2</v>
          </cell>
          <cell r="AB475">
            <v>2.7163567140137648E-2</v>
          </cell>
          <cell r="AC475">
            <v>4.5931758530183726E-3</v>
          </cell>
          <cell r="AD475">
            <v>1.8054375531011045E-2</v>
          </cell>
          <cell r="AE475">
            <v>1.617776951327228E-2</v>
          </cell>
          <cell r="AF475">
            <v>8.7649402390438252E-3</v>
          </cell>
          <cell r="AG475">
            <v>5.031522793404462E-3</v>
          </cell>
          <cell r="AH475">
            <v>1.0576333537706928E-2</v>
          </cell>
          <cell r="AI475">
            <v>8.5053135540966961E-3</v>
          </cell>
          <cell r="AJ475">
            <v>2.0582181711261394E-3</v>
          </cell>
          <cell r="AK475">
            <v>7.6475986540226371E-5</v>
          </cell>
          <cell r="AL475">
            <v>6.6193853427895979E-2</v>
          </cell>
          <cell r="AM475">
            <v>8.0750523383021928E-3</v>
          </cell>
          <cell r="AN475">
            <v>1.240393970769575E-2</v>
          </cell>
        </row>
        <row r="476">
          <cell r="C476" t="str">
            <v>MIS USER MANUALS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W476" t="str">
            <v>MIS USER MANUALS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C477" t="str">
            <v>ELECTRONIC WINDOW TRSF OUT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W477" t="str">
            <v>ELECTRONIC WINDOW TRSF OUT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C478" t="str">
            <v>LAN ADMIN TRF OUT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W478" t="str">
            <v>LAN ADMIN TRF OUT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C479" t="str">
            <v>TRF IN MIS PROD EXP</v>
          </cell>
          <cell r="D479">
            <v>644</v>
          </cell>
          <cell r="E479">
            <v>654</v>
          </cell>
          <cell r="F479">
            <v>596</v>
          </cell>
          <cell r="G479">
            <v>1894</v>
          </cell>
          <cell r="H479">
            <v>761</v>
          </cell>
          <cell r="I479">
            <v>615</v>
          </cell>
          <cell r="J479">
            <v>660</v>
          </cell>
          <cell r="K479">
            <v>2036</v>
          </cell>
          <cell r="L479">
            <v>709</v>
          </cell>
          <cell r="M479">
            <v>618</v>
          </cell>
          <cell r="N479">
            <v>536</v>
          </cell>
          <cell r="O479">
            <v>1863</v>
          </cell>
          <cell r="P479">
            <v>747</v>
          </cell>
          <cell r="Q479">
            <v>572</v>
          </cell>
          <cell r="R479">
            <v>702</v>
          </cell>
          <cell r="S479">
            <v>2021</v>
          </cell>
          <cell r="T479">
            <v>7814</v>
          </cell>
          <cell r="W479" t="str">
            <v>TRF IN MIS PROD EXP</v>
          </cell>
          <cell r="X479">
            <v>6.4827863901751562E-2</v>
          </cell>
          <cell r="Y479">
            <v>6.4180569185475961E-2</v>
          </cell>
          <cell r="Z479">
            <v>5.7418111753371866E-2</v>
          </cell>
          <cell r="AA479">
            <v>6.209021767637031E-2</v>
          </cell>
          <cell r="AB479">
            <v>5.5718260360228436E-2</v>
          </cell>
          <cell r="AC479">
            <v>4.0354330708661415E-2</v>
          </cell>
          <cell r="AD479">
            <v>4.6728971962616821E-2</v>
          </cell>
          <cell r="AE479">
            <v>4.7324624610664313E-2</v>
          </cell>
          <cell r="AF479">
            <v>5.6494023904382469E-2</v>
          </cell>
          <cell r="AG479">
            <v>3.7463627546071777E-2</v>
          </cell>
          <cell r="AH479">
            <v>2.0539546290619253E-2</v>
          </cell>
          <cell r="AI479">
            <v>3.3785499256465124E-2</v>
          </cell>
          <cell r="AJ479">
            <v>2.4404586886209938E-2</v>
          </cell>
          <cell r="AK479">
            <v>2.1872132150504743E-2</v>
          </cell>
          <cell r="AL479">
            <v>0.10372340425531915</v>
          </cell>
          <cell r="AM479">
            <v>3.1812243227502403E-2</v>
          </cell>
          <cell r="AN479">
            <v>4.0656201709704104E-2</v>
          </cell>
        </row>
        <row r="480">
          <cell r="C480" t="str">
            <v>TRF IN MIS SUPPORT EXP</v>
          </cell>
          <cell r="D480">
            <v>8440</v>
          </cell>
          <cell r="E480">
            <v>7826</v>
          </cell>
          <cell r="F480">
            <v>7624</v>
          </cell>
          <cell r="G480">
            <v>23890</v>
          </cell>
          <cell r="H480">
            <v>8563</v>
          </cell>
          <cell r="I480">
            <v>7843</v>
          </cell>
          <cell r="J480">
            <v>7786</v>
          </cell>
          <cell r="K480">
            <v>24192</v>
          </cell>
          <cell r="L480">
            <v>7940</v>
          </cell>
          <cell r="M480">
            <v>7613</v>
          </cell>
          <cell r="N480">
            <v>7543</v>
          </cell>
          <cell r="O480">
            <v>23096</v>
          </cell>
          <cell r="P480">
            <v>9073</v>
          </cell>
          <cell r="Q480">
            <v>7539</v>
          </cell>
          <cell r="R480">
            <v>10123</v>
          </cell>
          <cell r="S480">
            <v>26735</v>
          </cell>
          <cell r="T480">
            <v>97913</v>
          </cell>
          <cell r="W480" t="str">
            <v>TRF IN MIS SUPPORT EXP</v>
          </cell>
          <cell r="X480">
            <v>0.84960740889873165</v>
          </cell>
          <cell r="Y480">
            <v>0.76800785083415113</v>
          </cell>
          <cell r="Z480">
            <v>0.73448940269749519</v>
          </cell>
          <cell r="AA480">
            <v>0.78317597692105956</v>
          </cell>
          <cell r="AB480">
            <v>0.62695855908624987</v>
          </cell>
          <cell r="AC480">
            <v>0.51463254593175856</v>
          </cell>
          <cell r="AD480">
            <v>0.55126026621353719</v>
          </cell>
          <cell r="AE480">
            <v>0.56231695411649851</v>
          </cell>
          <cell r="AF480">
            <v>0.63266932270916332</v>
          </cell>
          <cell r="AG480">
            <v>0.46150581959262854</v>
          </cell>
          <cell r="AH480">
            <v>0.28904812998160639</v>
          </cell>
          <cell r="AI480">
            <v>0.41884588879619888</v>
          </cell>
          <cell r="AJ480">
            <v>0.29641608677186448</v>
          </cell>
          <cell r="AK480">
            <v>0.28827623126338331</v>
          </cell>
          <cell r="AL480">
            <v>1.4957151300236406</v>
          </cell>
          <cell r="AM480">
            <v>0.42083143131483258</v>
          </cell>
          <cell r="AN480">
            <v>0.50944083414413333</v>
          </cell>
        </row>
        <row r="481">
          <cell r="C481" t="str">
            <v>TRF IN MIS DEVELOPMENT EXP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W481" t="str">
            <v>TRF IN MIS DEVELOPMENT EXP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C482" t="str">
            <v>MIS USER SUBMITTED</v>
          </cell>
          <cell r="D482">
            <v>88</v>
          </cell>
          <cell r="E482">
            <v>39</v>
          </cell>
          <cell r="F482">
            <v>52</v>
          </cell>
          <cell r="G482">
            <v>179</v>
          </cell>
          <cell r="H482">
            <v>74</v>
          </cell>
          <cell r="I482">
            <v>231</v>
          </cell>
          <cell r="J482">
            <v>152</v>
          </cell>
          <cell r="K482">
            <v>457</v>
          </cell>
          <cell r="L482">
            <v>114</v>
          </cell>
          <cell r="M482">
            <v>86</v>
          </cell>
          <cell r="N482">
            <v>48</v>
          </cell>
          <cell r="O482">
            <v>248</v>
          </cell>
          <cell r="P482">
            <v>55</v>
          </cell>
          <cell r="Q482">
            <v>27</v>
          </cell>
          <cell r="R482">
            <v>33</v>
          </cell>
          <cell r="S482">
            <v>115</v>
          </cell>
          <cell r="T482">
            <v>999</v>
          </cell>
          <cell r="W482" t="str">
            <v>MIS USER SUBMITTED</v>
          </cell>
          <cell r="X482">
            <v>8.8584658747735048E-3</v>
          </cell>
          <cell r="Y482">
            <v>3.8272816486751718E-3</v>
          </cell>
          <cell r="Z482">
            <v>5.0096339113680152E-3</v>
          </cell>
          <cell r="AA482">
            <v>5.8680828743771308E-3</v>
          </cell>
          <cell r="AB482">
            <v>5.4180699956069703E-3</v>
          </cell>
          <cell r="AC482">
            <v>1.515748031496063E-2</v>
          </cell>
          <cell r="AD482">
            <v>1.0761823845935995E-2</v>
          </cell>
          <cell r="AE482">
            <v>1.0622472223513551E-2</v>
          </cell>
          <cell r="AF482">
            <v>9.0836653386454184E-3</v>
          </cell>
          <cell r="AG482">
            <v>5.213385063045587E-3</v>
          </cell>
          <cell r="AH482">
            <v>1.8393623543838135E-3</v>
          </cell>
          <cell r="AI482">
            <v>4.4974792354285304E-3</v>
          </cell>
          <cell r="AJ482">
            <v>1.79685713352282E-3</v>
          </cell>
          <cell r="AK482">
            <v>1.0324258182930559E-3</v>
          </cell>
          <cell r="AL482">
            <v>4.8758865248226951E-3</v>
          </cell>
          <cell r="AM482">
            <v>1.8101969179429866E-3</v>
          </cell>
          <cell r="AN482">
            <v>5.1977918489882775E-3</v>
          </cell>
        </row>
        <row r="483">
          <cell r="C483" t="str">
            <v>MIS EQUIP/SOFTWARE TRF IN</v>
          </cell>
          <cell r="D483">
            <v>1145</v>
          </cell>
          <cell r="E483">
            <v>1431</v>
          </cell>
          <cell r="F483">
            <v>1386</v>
          </cell>
          <cell r="G483">
            <v>3962</v>
          </cell>
          <cell r="H483">
            <v>1324</v>
          </cell>
          <cell r="I483">
            <v>1084</v>
          </cell>
          <cell r="J483">
            <v>1251</v>
          </cell>
          <cell r="K483">
            <v>3659</v>
          </cell>
          <cell r="L483">
            <v>1232</v>
          </cell>
          <cell r="M483">
            <v>1112</v>
          </cell>
          <cell r="N483">
            <v>1058</v>
          </cell>
          <cell r="O483">
            <v>3402</v>
          </cell>
          <cell r="P483">
            <v>1377</v>
          </cell>
          <cell r="Q483">
            <v>1404</v>
          </cell>
          <cell r="R483">
            <v>1120</v>
          </cell>
          <cell r="S483">
            <v>3901</v>
          </cell>
          <cell r="T483">
            <v>14924</v>
          </cell>
          <cell r="W483" t="str">
            <v>MIS EQUIP/SOFTWARE TRF IN</v>
          </cell>
          <cell r="X483">
            <v>0.11526072075699617</v>
          </cell>
          <cell r="Y483">
            <v>0.14043179587831206</v>
          </cell>
          <cell r="Z483">
            <v>0.13352601156069363</v>
          </cell>
          <cell r="AA483">
            <v>0.12988460529766588</v>
          </cell>
          <cell r="AB483">
            <v>9.6939522624103089E-2</v>
          </cell>
          <cell r="AC483">
            <v>7.112860892388452E-2</v>
          </cell>
          <cell r="AD483">
            <v>8.857264231096007E-2</v>
          </cell>
          <cell r="AE483">
            <v>8.5049509553251829E-2</v>
          </cell>
          <cell r="AF483">
            <v>9.8167330677290832E-2</v>
          </cell>
          <cell r="AG483">
            <v>6.7410281280310375E-2</v>
          </cell>
          <cell r="AH483">
            <v>4.0542611894543223E-2</v>
          </cell>
          <cell r="AI483">
            <v>6.1695259511805885E-2</v>
          </cell>
          <cell r="AJ483">
            <v>4.4986768597471333E-2</v>
          </cell>
          <cell r="AK483">
            <v>5.3686142551238908E-2</v>
          </cell>
          <cell r="AL483">
            <v>0.16548463356973994</v>
          </cell>
          <cell r="AM483">
            <v>6.1405027625179055E-2</v>
          </cell>
          <cell r="AN483">
            <v>7.7649495049350412E-2</v>
          </cell>
        </row>
        <row r="484">
          <cell r="C484" t="str">
            <v>MIS OUTSIDE SEARCH TRF IN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W484" t="str">
            <v>MIS OUTSIDE SEARCH TRF IN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C485" t="str">
            <v>ELECTRONIC WINDOW TRSF IN</v>
          </cell>
          <cell r="D485">
            <v>7242</v>
          </cell>
          <cell r="E485">
            <v>8497</v>
          </cell>
          <cell r="F485">
            <v>8176</v>
          </cell>
          <cell r="G485">
            <v>23915</v>
          </cell>
          <cell r="H485">
            <v>8241</v>
          </cell>
          <cell r="I485">
            <v>8073</v>
          </cell>
          <cell r="J485">
            <v>8794</v>
          </cell>
          <cell r="K485">
            <v>25108</v>
          </cell>
          <cell r="L485">
            <v>8975</v>
          </cell>
          <cell r="M485">
            <v>8570</v>
          </cell>
          <cell r="N485">
            <v>8424</v>
          </cell>
          <cell r="O485">
            <v>25969</v>
          </cell>
          <cell r="P485">
            <v>9221</v>
          </cell>
          <cell r="Q485">
            <v>9168</v>
          </cell>
          <cell r="R485">
            <v>8879</v>
          </cell>
          <cell r="S485">
            <v>27268</v>
          </cell>
          <cell r="T485">
            <v>102260</v>
          </cell>
          <cell r="W485" t="str">
            <v>ELECTRONIC WINDOW TRSF IN</v>
          </cell>
          <cell r="X485">
            <v>0.72901147573988323</v>
          </cell>
          <cell r="Y485">
            <v>0.8338567222767419</v>
          </cell>
          <cell r="Z485">
            <v>0.78766859344894025</v>
          </cell>
          <cell r="AA485">
            <v>0.78399554156831885</v>
          </cell>
          <cell r="AB485">
            <v>0.60338263288914917</v>
          </cell>
          <cell r="AC485">
            <v>0.52972440944881893</v>
          </cell>
          <cell r="AD485">
            <v>0.6226281506655339</v>
          </cell>
          <cell r="AE485">
            <v>0.58360838640695456</v>
          </cell>
          <cell r="AF485">
            <v>0.71513944223107573</v>
          </cell>
          <cell r="AG485">
            <v>0.51951988360814738</v>
          </cell>
          <cell r="AH485">
            <v>0.32280809319435927</v>
          </cell>
          <cell r="AI485">
            <v>0.47094773493888509</v>
          </cell>
          <cell r="AJ485">
            <v>0.30125126596752588</v>
          </cell>
          <cell r="AK485">
            <v>0.35056592230039768</v>
          </cell>
          <cell r="AL485">
            <v>1.3119089834515367</v>
          </cell>
          <cell r="AM485">
            <v>0.42922130050842922</v>
          </cell>
          <cell r="AN485">
            <v>0.53205825273027152</v>
          </cell>
        </row>
        <row r="486">
          <cell r="C486" t="str">
            <v>LAN ADMIN TRF IN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W486" t="str">
            <v>LAN ADMIN TRF IN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C487" t="str">
            <v>ALLOC TANDEM COMPUTER COSTS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W487" t="str">
            <v>ALLOC TANDEM COMPUTER COSTS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C488" t="str">
            <v>TOTAL MIS</v>
          </cell>
          <cell r="D488">
            <v>18363</v>
          </cell>
          <cell r="E488">
            <v>18980</v>
          </cell>
          <cell r="F488">
            <v>18522</v>
          </cell>
          <cell r="G488">
            <v>55865</v>
          </cell>
          <cell r="H488">
            <v>19686</v>
          </cell>
          <cell r="I488">
            <v>18216</v>
          </cell>
          <cell r="J488">
            <v>19359</v>
          </cell>
          <cell r="K488">
            <v>57261</v>
          </cell>
          <cell r="L488">
            <v>20474</v>
          </cell>
          <cell r="M488">
            <v>18378</v>
          </cell>
          <cell r="N488">
            <v>18255</v>
          </cell>
          <cell r="O488">
            <v>57107</v>
          </cell>
          <cell r="P488">
            <v>21354</v>
          </cell>
          <cell r="Q488">
            <v>19629</v>
          </cell>
          <cell r="R488">
            <v>21689</v>
          </cell>
          <cell r="S488">
            <v>62672</v>
          </cell>
          <cell r="T488">
            <v>232905</v>
          </cell>
          <cell r="W488" t="str">
            <v>TOTAL MIS</v>
          </cell>
          <cell r="X488">
            <v>1.8485001006643849</v>
          </cell>
          <cell r="Y488">
            <v>1.8626104023552503</v>
          </cell>
          <cell r="Z488">
            <v>1.784393063583815</v>
          </cell>
          <cell r="AA488">
            <v>1.8313991607658011</v>
          </cell>
          <cell r="AB488">
            <v>1.4413530531556598</v>
          </cell>
          <cell r="AC488">
            <v>1.1952755905511812</v>
          </cell>
          <cell r="AD488">
            <v>1.3706457094307563</v>
          </cell>
          <cell r="AE488">
            <v>1.3309702012923621</v>
          </cell>
          <cell r="AF488">
            <v>1.631394422310757</v>
          </cell>
          <cell r="AG488">
            <v>1.1140882638215326</v>
          </cell>
          <cell r="AH488">
            <v>0.69953249540159412</v>
          </cell>
          <cell r="AI488">
            <v>1.0356352689420043</v>
          </cell>
          <cell r="AJ488">
            <v>0.69763794962266001</v>
          </cell>
          <cell r="AK488">
            <v>0.75057356989905166</v>
          </cell>
          <cell r="AL488">
            <v>3.2046394799054374</v>
          </cell>
          <cell r="AM488">
            <v>0.98651009775063359</v>
          </cell>
          <cell r="AN488">
            <v>1.2118035141027175</v>
          </cell>
        </row>
        <row r="489">
          <cell r="D489" t="str">
            <v xml:space="preserve"> </v>
          </cell>
          <cell r="E489" t="str">
            <v xml:space="preserve"> </v>
          </cell>
          <cell r="F489" t="str">
            <v xml:space="preserve"> </v>
          </cell>
          <cell r="G489" t="str">
            <v xml:space="preserve"> </v>
          </cell>
          <cell r="H489" t="str">
            <v xml:space="preserve"> </v>
          </cell>
          <cell r="I489" t="str">
            <v xml:space="preserve"> </v>
          </cell>
          <cell r="J489" t="str">
            <v xml:space="preserve"> </v>
          </cell>
          <cell r="K489" t="str">
            <v xml:space="preserve"> </v>
          </cell>
          <cell r="L489" t="str">
            <v xml:space="preserve"> </v>
          </cell>
          <cell r="M489" t="str">
            <v xml:space="preserve"> 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</row>
        <row r="490">
          <cell r="C490" t="str">
            <v>POSTAGE</v>
          </cell>
          <cell r="D490">
            <v>0</v>
          </cell>
          <cell r="E490">
            <v>0</v>
          </cell>
          <cell r="F490">
            <v>3</v>
          </cell>
          <cell r="G490">
            <v>3</v>
          </cell>
          <cell r="H490">
            <v>6</v>
          </cell>
          <cell r="I490">
            <v>0</v>
          </cell>
          <cell r="J490">
            <v>12</v>
          </cell>
          <cell r="K490">
            <v>18</v>
          </cell>
          <cell r="L490">
            <v>0</v>
          </cell>
          <cell r="M490">
            <v>4</v>
          </cell>
          <cell r="N490">
            <v>0</v>
          </cell>
          <cell r="O490">
            <v>4</v>
          </cell>
          <cell r="P490">
            <v>4</v>
          </cell>
          <cell r="Q490">
            <v>-1</v>
          </cell>
          <cell r="R490">
            <v>9</v>
          </cell>
          <cell r="S490">
            <v>12</v>
          </cell>
          <cell r="T490">
            <v>37</v>
          </cell>
          <cell r="W490" t="str">
            <v>POSTAGE</v>
          </cell>
          <cell r="X490">
            <v>0</v>
          </cell>
          <cell r="Y490">
            <v>0</v>
          </cell>
          <cell r="Z490">
            <v>2.8901734104046245E-4</v>
          </cell>
          <cell r="AA490">
            <v>9.8347757671125098E-5</v>
          </cell>
          <cell r="AB490">
            <v>4.3930297261678136E-4</v>
          </cell>
          <cell r="AC490">
            <v>0</v>
          </cell>
          <cell r="AD490">
            <v>8.4961767204757861E-4</v>
          </cell>
          <cell r="AE490">
            <v>4.1839059086048997E-4</v>
          </cell>
          <cell r="AF490">
            <v>0</v>
          </cell>
          <cell r="AG490">
            <v>2.4248302618816683E-4</v>
          </cell>
          <cell r="AH490">
            <v>0</v>
          </cell>
          <cell r="AI490">
            <v>7.2539987668202098E-5</v>
          </cell>
          <cell r="AJ490">
            <v>1.3068051880165963E-4</v>
          </cell>
          <cell r="AK490">
            <v>-3.8237993270113186E-5</v>
          </cell>
          <cell r="AL490">
            <v>1.3297872340425532E-3</v>
          </cell>
          <cell r="AM490">
            <v>1.8889011317665947E-4</v>
          </cell>
          <cell r="AN490">
            <v>1.9251080922178806E-4</v>
          </cell>
        </row>
        <row r="491">
          <cell r="C491" t="str">
            <v>COMM EQUIP RENTAL</v>
          </cell>
          <cell r="D491">
            <v>563</v>
          </cell>
          <cell r="E491">
            <v>589</v>
          </cell>
          <cell r="F491">
            <v>1091</v>
          </cell>
          <cell r="G491">
            <v>2243</v>
          </cell>
          <cell r="H491">
            <v>707</v>
          </cell>
          <cell r="I491">
            <v>571</v>
          </cell>
          <cell r="J491">
            <v>1188</v>
          </cell>
          <cell r="K491">
            <v>2466</v>
          </cell>
          <cell r="L491">
            <v>1123</v>
          </cell>
          <cell r="M491">
            <v>1133</v>
          </cell>
          <cell r="N491">
            <v>585</v>
          </cell>
          <cell r="O491">
            <v>2841</v>
          </cell>
          <cell r="P491">
            <v>928</v>
          </cell>
          <cell r="Q491">
            <v>1512</v>
          </cell>
          <cell r="R491">
            <v>797</v>
          </cell>
          <cell r="S491">
            <v>3237</v>
          </cell>
          <cell r="T491">
            <v>10787</v>
          </cell>
          <cell r="W491" t="str">
            <v>COMM EQUIP RENTAL</v>
          </cell>
          <cell r="X491">
            <v>5.6674048721562315E-2</v>
          </cell>
          <cell r="Y491">
            <v>5.7801766437684005E-2</v>
          </cell>
          <cell r="Z491">
            <v>0.10510597302504816</v>
          </cell>
          <cell r="AA491">
            <v>7.3531340152111199E-2</v>
          </cell>
          <cell r="AB491">
            <v>5.1764533606677404E-2</v>
          </cell>
          <cell r="AC491">
            <v>3.7467191601049867E-2</v>
          </cell>
          <cell r="AD491">
            <v>8.4112149532710276E-2</v>
          </cell>
          <cell r="AE491">
            <v>5.7319510947887127E-2</v>
          </cell>
          <cell r="AF491">
            <v>8.9482071713147412E-2</v>
          </cell>
          <cell r="AG491">
            <v>6.8683317167798255E-2</v>
          </cell>
          <cell r="AH491">
            <v>2.2417228694052729E-2</v>
          </cell>
          <cell r="AI491">
            <v>5.1521526241340536E-2</v>
          </cell>
          <cell r="AJ491">
            <v>3.0317880361985038E-2</v>
          </cell>
          <cell r="AK491">
            <v>5.7815845824411134E-2</v>
          </cell>
          <cell r="AL491">
            <v>0.11776004728132387</v>
          </cell>
          <cell r="AM491">
            <v>5.0953108029403893E-2</v>
          </cell>
          <cell r="AN491">
            <v>5.6124705380416966E-2</v>
          </cell>
        </row>
        <row r="492">
          <cell r="C492" t="str">
            <v>TELEPHONE TOLLS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176</v>
          </cell>
          <cell r="N492">
            <v>4</v>
          </cell>
          <cell r="O492">
            <v>180</v>
          </cell>
          <cell r="P492">
            <v>108</v>
          </cell>
          <cell r="Q492">
            <v>12</v>
          </cell>
          <cell r="R492">
            <v>20</v>
          </cell>
          <cell r="S492">
            <v>140</v>
          </cell>
          <cell r="T492">
            <v>320</v>
          </cell>
          <cell r="W492" t="str">
            <v>TELEPHONE TOLLS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1.066925315227934E-2</v>
          </cell>
          <cell r="AH492">
            <v>1.5328019619865113E-4</v>
          </cell>
          <cell r="AI492">
            <v>3.2642994450690944E-3</v>
          </cell>
          <cell r="AJ492">
            <v>3.5283740076448105E-3</v>
          </cell>
          <cell r="AK492">
            <v>4.588559192413582E-4</v>
          </cell>
          <cell r="AL492">
            <v>2.9550827423167848E-3</v>
          </cell>
          <cell r="AM492">
            <v>2.2037179870610271E-3</v>
          </cell>
          <cell r="AN492">
            <v>1.6649583500262751E-3</v>
          </cell>
        </row>
        <row r="493">
          <cell r="C493" t="str">
            <v>COPY SERVICE COSTS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W493" t="str">
            <v>COPY SERVICE COSTS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C494" t="str">
            <v>MOBILE TELEPHONE EXP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W494" t="str">
            <v>MOBILE TELEPHONE EXP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C495" t="str">
            <v>WIRE MESSAGES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W495" t="str">
            <v>WIRE MESSAGES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C496" t="str">
            <v>TELECOMMUNICATIONS TRF IN</v>
          </cell>
          <cell r="D496">
            <v>546</v>
          </cell>
          <cell r="E496">
            <v>756</v>
          </cell>
          <cell r="F496">
            <v>1555</v>
          </cell>
          <cell r="G496">
            <v>2857</v>
          </cell>
          <cell r="H496">
            <v>877</v>
          </cell>
          <cell r="I496">
            <v>874</v>
          </cell>
          <cell r="J496">
            <v>846</v>
          </cell>
          <cell r="K496">
            <v>2597</v>
          </cell>
          <cell r="L496">
            <v>946</v>
          </cell>
          <cell r="M496">
            <v>941</v>
          </cell>
          <cell r="N496">
            <v>817</v>
          </cell>
          <cell r="O496">
            <v>2704</v>
          </cell>
          <cell r="P496">
            <v>958</v>
          </cell>
          <cell r="Q496">
            <v>947</v>
          </cell>
          <cell r="R496">
            <v>1236</v>
          </cell>
          <cell r="S496">
            <v>3141</v>
          </cell>
          <cell r="T496">
            <v>11299</v>
          </cell>
          <cell r="W496" t="str">
            <v>TELECOMMUNICATIONS TRF IN</v>
          </cell>
          <cell r="X496">
            <v>5.4962754177571974E-2</v>
          </cell>
          <cell r="Y496">
            <v>7.4190382728164861E-2</v>
          </cell>
          <cell r="Z496">
            <v>0.1498073217726397</v>
          </cell>
          <cell r="AA496">
            <v>9.3659847888801467E-2</v>
          </cell>
          <cell r="AB496">
            <v>6.4211451164152875E-2</v>
          </cell>
          <cell r="AC496">
            <v>5.7349081364829399E-2</v>
          </cell>
          <cell r="AD496">
            <v>5.9898045879354288E-2</v>
          </cell>
          <cell r="AE496">
            <v>6.0364464692482918E-2</v>
          </cell>
          <cell r="AF496">
            <v>7.5378486055776892E-2</v>
          </cell>
          <cell r="AG496">
            <v>5.7044131910766245E-2</v>
          </cell>
          <cell r="AH496">
            <v>3.1307480073574492E-2</v>
          </cell>
          <cell r="AI496">
            <v>4.9037031663704614E-2</v>
          </cell>
          <cell r="AJ496">
            <v>3.1297984252997485E-2</v>
          </cell>
          <cell r="AK496">
            <v>3.6211379626797185E-2</v>
          </cell>
          <cell r="AL496">
            <v>0.18262411347517732</v>
          </cell>
          <cell r="AM496">
            <v>4.9441987123990616E-2</v>
          </cell>
          <cell r="AN496">
            <v>5.8788638740459011E-2</v>
          </cell>
        </row>
        <row r="497">
          <cell r="C497" t="str">
            <v xml:space="preserve">TOTAL COMMUNICATION &amp; COPY </v>
          </cell>
          <cell r="D497">
            <v>1109</v>
          </cell>
          <cell r="E497">
            <v>1345</v>
          </cell>
          <cell r="F497">
            <v>2649</v>
          </cell>
          <cell r="G497">
            <v>5103</v>
          </cell>
          <cell r="H497">
            <v>1590</v>
          </cell>
          <cell r="I497">
            <v>1445</v>
          </cell>
          <cell r="J497">
            <v>2046</v>
          </cell>
          <cell r="K497">
            <v>5081</v>
          </cell>
          <cell r="L497">
            <v>2069</v>
          </cell>
          <cell r="M497">
            <v>2254</v>
          </cell>
          <cell r="N497">
            <v>1406</v>
          </cell>
          <cell r="O497">
            <v>5729</v>
          </cell>
          <cell r="P497">
            <v>1998</v>
          </cell>
          <cell r="Q497">
            <v>2470</v>
          </cell>
          <cell r="R497">
            <v>2062</v>
          </cell>
          <cell r="S497">
            <v>6530</v>
          </cell>
          <cell r="T497">
            <v>22443</v>
          </cell>
          <cell r="W497" t="str">
            <v xml:space="preserve">TOTAL COMMUNICATION &amp; COPY </v>
          </cell>
          <cell r="X497">
            <v>0.11163680289913429</v>
          </cell>
          <cell r="Y497">
            <v>0.13199214916584887</v>
          </cell>
          <cell r="Z497">
            <v>0.25520231213872835</v>
          </cell>
          <cell r="AA497">
            <v>0.1672895357985838</v>
          </cell>
          <cell r="AB497">
            <v>0.11641528774344706</v>
          </cell>
          <cell r="AC497">
            <v>9.4816272965879259E-2</v>
          </cell>
          <cell r="AD497">
            <v>0.14485981308411214</v>
          </cell>
          <cell r="AE497">
            <v>0.11810236623123054</v>
          </cell>
          <cell r="AF497">
            <v>0.1648605577689243</v>
          </cell>
          <cell r="AG497">
            <v>0.136639185257032</v>
          </cell>
          <cell r="AH497">
            <v>5.3877988963825875E-2</v>
          </cell>
          <cell r="AI497">
            <v>0.10389539733778246</v>
          </cell>
          <cell r="AJ497">
            <v>6.5274919141428994E-2</v>
          </cell>
          <cell r="AK497">
            <v>9.4447843377179569E-2</v>
          </cell>
          <cell r="AL497">
            <v>0.3046690307328605</v>
          </cell>
          <cell r="AM497">
            <v>0.10278770325363219</v>
          </cell>
          <cell r="AN497">
            <v>0.11677081328012404</v>
          </cell>
        </row>
        <row r="498">
          <cell r="D498" t="str">
            <v xml:space="preserve"> </v>
          </cell>
          <cell r="E498" t="str">
            <v xml:space="preserve"> </v>
          </cell>
          <cell r="F498" t="str">
            <v xml:space="preserve"> </v>
          </cell>
          <cell r="G498" t="str">
            <v xml:space="preserve"> </v>
          </cell>
          <cell r="H498" t="str">
            <v xml:space="preserve"> </v>
          </cell>
          <cell r="I498" t="str">
            <v xml:space="preserve"> </v>
          </cell>
          <cell r="J498" t="str">
            <v xml:space="preserve"> </v>
          </cell>
          <cell r="K498" t="str">
            <v xml:space="preserve"> </v>
          </cell>
          <cell r="L498" t="str">
            <v xml:space="preserve"> </v>
          </cell>
          <cell r="M498" t="str">
            <v xml:space="preserve"> </v>
          </cell>
          <cell r="N498" t="str">
            <v xml:space="preserve"> </v>
          </cell>
          <cell r="O498" t="str">
            <v xml:space="preserve"> </v>
          </cell>
          <cell r="P498" t="str">
            <v xml:space="preserve"> </v>
          </cell>
          <cell r="Q498" t="str">
            <v xml:space="preserve"> </v>
          </cell>
          <cell r="R498" t="str">
            <v xml:space="preserve"> </v>
          </cell>
          <cell r="S498" t="str">
            <v xml:space="preserve"> </v>
          </cell>
        </row>
        <row r="499">
          <cell r="C499" t="str">
            <v>TERMINAL/WHARFAGE COST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W499" t="str">
            <v>TERMINAL/WHARFAGE COST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</row>
        <row r="500">
          <cell r="C500" t="str">
            <v>RENTAL-MACH + EQUIPMENT</v>
          </cell>
          <cell r="D500">
            <v>44</v>
          </cell>
          <cell r="E500">
            <v>2</v>
          </cell>
          <cell r="F500">
            <v>6</v>
          </cell>
          <cell r="G500">
            <v>52</v>
          </cell>
          <cell r="H500">
            <v>-2</v>
          </cell>
          <cell r="I500">
            <v>5</v>
          </cell>
          <cell r="J500">
            <v>21</v>
          </cell>
          <cell r="K500">
            <v>24</v>
          </cell>
          <cell r="L500">
            <v>2</v>
          </cell>
          <cell r="M500">
            <v>44</v>
          </cell>
          <cell r="N500">
            <v>22</v>
          </cell>
          <cell r="O500">
            <v>68</v>
          </cell>
          <cell r="P500">
            <v>99</v>
          </cell>
          <cell r="Q500">
            <v>24</v>
          </cell>
          <cell r="R500">
            <v>1</v>
          </cell>
          <cell r="S500">
            <v>124</v>
          </cell>
          <cell r="T500">
            <v>268</v>
          </cell>
          <cell r="W500" t="str">
            <v>RENTAL-MACH + EQUIPMENT</v>
          </cell>
          <cell r="X500">
            <v>4.4292329373867524E-3</v>
          </cell>
          <cell r="Y500">
            <v>1.9627085377821394E-4</v>
          </cell>
          <cell r="Z500">
            <v>5.7803468208092489E-4</v>
          </cell>
          <cell r="AA500">
            <v>1.7046944662995017E-3</v>
          </cell>
          <cell r="AB500">
            <v>-1.464343242055938E-4</v>
          </cell>
          <cell r="AC500">
            <v>3.2808398950131233E-4</v>
          </cell>
          <cell r="AD500">
            <v>1.4868309260832626E-3</v>
          </cell>
          <cell r="AE500">
            <v>5.5785412114732003E-4</v>
          </cell>
          <cell r="AF500">
            <v>1.5936254980079682E-4</v>
          </cell>
          <cell r="AG500">
            <v>2.6673132880698351E-3</v>
          </cell>
          <cell r="AH500">
            <v>8.4304107909258122E-4</v>
          </cell>
          <cell r="AI500">
            <v>1.2331797903594357E-3</v>
          </cell>
          <cell r="AJ500">
            <v>3.2343428403410761E-3</v>
          </cell>
          <cell r="AK500">
            <v>9.177118384827164E-4</v>
          </cell>
          <cell r="AL500">
            <v>1.4775413711583924E-4</v>
          </cell>
          <cell r="AM500">
            <v>1.9518645028254813E-3</v>
          </cell>
          <cell r="AN500">
            <v>1.3944026181470055E-3</v>
          </cell>
        </row>
        <row r="501">
          <cell r="C501" t="str">
            <v>RENTAL-FLEET VEHICLE (LT)</v>
          </cell>
          <cell r="D501">
            <v>44</v>
          </cell>
          <cell r="E501">
            <v>93</v>
          </cell>
          <cell r="F501">
            <v>91</v>
          </cell>
          <cell r="G501">
            <v>228</v>
          </cell>
          <cell r="H501">
            <v>101</v>
          </cell>
          <cell r="I501">
            <v>94</v>
          </cell>
          <cell r="J501">
            <v>93</v>
          </cell>
          <cell r="K501">
            <v>288</v>
          </cell>
          <cell r="L501">
            <v>95</v>
          </cell>
          <cell r="M501">
            <v>92</v>
          </cell>
          <cell r="N501">
            <v>71</v>
          </cell>
          <cell r="O501">
            <v>258</v>
          </cell>
          <cell r="P501">
            <v>88</v>
          </cell>
          <cell r="Q501">
            <v>72</v>
          </cell>
          <cell r="R501">
            <v>99</v>
          </cell>
          <cell r="S501">
            <v>259</v>
          </cell>
          <cell r="T501">
            <v>1033</v>
          </cell>
          <cell r="W501" t="str">
            <v>RENTAL-FLEET VEHICLE (LT)</v>
          </cell>
          <cell r="X501">
            <v>4.4292329373867524E-3</v>
          </cell>
          <cell r="Y501">
            <v>9.1265947006869477E-3</v>
          </cell>
          <cell r="Z501">
            <v>8.7668593448940266E-3</v>
          </cell>
          <cell r="AA501">
            <v>7.4744295830055079E-3</v>
          </cell>
          <cell r="AB501">
            <v>7.3949333723824862E-3</v>
          </cell>
          <cell r="AC501">
            <v>6.1679790026246718E-3</v>
          </cell>
          <cell r="AD501">
            <v>6.5845369583687344E-3</v>
          </cell>
          <cell r="AE501">
            <v>6.6942494537678395E-3</v>
          </cell>
          <cell r="AF501">
            <v>7.569721115537849E-3</v>
          </cell>
          <cell r="AG501">
            <v>5.5771096023278371E-3</v>
          </cell>
          <cell r="AH501">
            <v>2.7207234825260577E-3</v>
          </cell>
          <cell r="AI501">
            <v>4.6788292045990354E-3</v>
          </cell>
          <cell r="AJ501">
            <v>2.8749714136365122E-3</v>
          </cell>
          <cell r="AK501">
            <v>2.7531355154481493E-3</v>
          </cell>
          <cell r="AL501">
            <v>1.4627659574468085E-2</v>
          </cell>
          <cell r="AM501">
            <v>4.0768782760629008E-3</v>
          </cell>
          <cell r="AN501">
            <v>5.3746936736785694E-3</v>
          </cell>
        </row>
        <row r="502">
          <cell r="C502" t="str">
            <v>RENTAL-CYLINDERS</v>
          </cell>
          <cell r="D502">
            <v>0</v>
          </cell>
          <cell r="E502">
            <v>0</v>
          </cell>
          <cell r="F502">
            <v>334</v>
          </cell>
          <cell r="G502">
            <v>334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334</v>
          </cell>
          <cell r="W502" t="str">
            <v>RENTAL-CYLINDERS</v>
          </cell>
          <cell r="X502">
            <v>0</v>
          </cell>
          <cell r="Y502">
            <v>0</v>
          </cell>
          <cell r="Z502">
            <v>3.2177263969171484E-2</v>
          </cell>
          <cell r="AA502">
            <v>1.0949383687385262E-2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1.7378002778399247E-3</v>
          </cell>
        </row>
        <row r="503">
          <cell r="C503" t="str">
            <v>RENTAL-BLDGS + GROUNDS</v>
          </cell>
          <cell r="D503">
            <v>11</v>
          </cell>
          <cell r="E503">
            <v>1994</v>
          </cell>
          <cell r="F503">
            <v>2096</v>
          </cell>
          <cell r="G503">
            <v>4101</v>
          </cell>
          <cell r="H503">
            <v>2130</v>
          </cell>
          <cell r="I503">
            <v>2232</v>
          </cell>
          <cell r="J503">
            <v>2822</v>
          </cell>
          <cell r="K503">
            <v>7184</v>
          </cell>
          <cell r="L503">
            <v>2167</v>
          </cell>
          <cell r="M503">
            <v>2220</v>
          </cell>
          <cell r="N503">
            <v>2639</v>
          </cell>
          <cell r="O503">
            <v>7026</v>
          </cell>
          <cell r="P503">
            <v>2674</v>
          </cell>
          <cell r="Q503">
            <v>2761</v>
          </cell>
          <cell r="R503">
            <v>2191</v>
          </cell>
          <cell r="S503">
            <v>7626</v>
          </cell>
          <cell r="T503">
            <v>25937</v>
          </cell>
          <cell r="W503" t="str">
            <v>RENTAL-BLDGS + GROUNDS</v>
          </cell>
          <cell r="X503">
            <v>1.1073082343466881E-3</v>
          </cell>
          <cell r="Y503">
            <v>0.19568204121687929</v>
          </cell>
          <cell r="Z503">
            <v>0.20192678227360308</v>
          </cell>
          <cell r="AA503">
            <v>0.134441384736428</v>
          </cell>
          <cell r="AB503">
            <v>0.15595255527895738</v>
          </cell>
          <cell r="AC503">
            <v>0.14645669291338584</v>
          </cell>
          <cell r="AD503">
            <v>0.19980175587652224</v>
          </cell>
          <cell r="AE503">
            <v>0.16698433359676446</v>
          </cell>
          <cell r="AF503">
            <v>0.17266932270916335</v>
          </cell>
          <cell r="AG503">
            <v>0.1345780795344326</v>
          </cell>
          <cell r="AH503">
            <v>0.10112660944206009</v>
          </cell>
          <cell r="AI503">
            <v>0.12741648833919697</v>
          </cell>
          <cell r="AJ503">
            <v>8.7359926818909472E-2</v>
          </cell>
          <cell r="AK503">
            <v>0.1055750994187825</v>
          </cell>
          <cell r="AL503">
            <v>0.32372931442080377</v>
          </cell>
          <cell r="AM503">
            <v>0.12003966692376709</v>
          </cell>
          <cell r="AN503">
            <v>0.13495007726447344</v>
          </cell>
        </row>
        <row r="504">
          <cell r="C504" t="str">
            <v>RENTAL - VACATED PREMISES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W504" t="str">
            <v>RENTAL - VACATED PREMISES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</row>
        <row r="505">
          <cell r="C505" t="str">
            <v>RENTAL VEHICLE TEMPORARY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W505" t="str">
            <v>RENTAL VEHICLE TEMPORARY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</row>
        <row r="506">
          <cell r="C506" t="str">
            <v>RENT MACHINE &amp; EQUIP IMPUTED DEP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W506" t="str">
            <v>RENT MACHINE &amp; EQUIP IMPUTED DEP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</row>
        <row r="507">
          <cell r="C507" t="str">
            <v>RENT MACHINERY &amp; EQUIP IMPUTED INTEREST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W507" t="str">
            <v>RENT MACHINERY &amp; EQUIP IMPUTED INTEREST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</row>
        <row r="508">
          <cell r="C508" t="str">
            <v>OUTSIDE WHSE EXP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W508" t="str">
            <v>OUTSIDE WHSE EXP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</row>
        <row r="509">
          <cell r="C509" t="str">
            <v>RENTAL PIPELINE &amp; RIGHT OF WAY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W509" t="str">
            <v>RENTAL PIPELINE &amp; RIGHT OF WAY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</row>
        <row r="510">
          <cell r="C510" t="str">
            <v>RENTAL EXTRA TUBE TRAILERS TEMP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W510" t="str">
            <v>RENTAL EXTRA TUBE TRAILERS TEMP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</row>
        <row r="511">
          <cell r="C511" t="str">
            <v>RENTAL TRAILERS - TEMP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W511" t="str">
            <v>RENTAL TRAILERS - TEMP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</row>
        <row r="512">
          <cell r="C512" t="str">
            <v>EXTEND RENTALS-CAP LEASES</v>
          </cell>
          <cell r="D512">
            <v>3</v>
          </cell>
          <cell r="E512">
            <v>6</v>
          </cell>
          <cell r="F512">
            <v>3</v>
          </cell>
          <cell r="G512">
            <v>12</v>
          </cell>
          <cell r="H512">
            <v>6</v>
          </cell>
          <cell r="I512">
            <v>2</v>
          </cell>
          <cell r="J512">
            <v>3</v>
          </cell>
          <cell r="K512">
            <v>11</v>
          </cell>
          <cell r="L512">
            <v>4</v>
          </cell>
          <cell r="M512">
            <v>3</v>
          </cell>
          <cell r="N512">
            <v>3</v>
          </cell>
          <cell r="O512">
            <v>10</v>
          </cell>
          <cell r="P512">
            <v>7</v>
          </cell>
          <cell r="Q512">
            <v>2</v>
          </cell>
          <cell r="R512">
            <v>5</v>
          </cell>
          <cell r="S512">
            <v>14</v>
          </cell>
          <cell r="T512">
            <v>47</v>
          </cell>
          <cell r="W512" t="str">
            <v>EXTEND RENTALS-CAP LEASES</v>
          </cell>
          <cell r="X512">
            <v>3.0199315482182406E-4</v>
          </cell>
          <cell r="Y512">
            <v>5.8881256133464183E-4</v>
          </cell>
          <cell r="Z512">
            <v>2.8901734104046245E-4</v>
          </cell>
          <cell r="AA512">
            <v>3.9339103068450039E-4</v>
          </cell>
          <cell r="AB512">
            <v>4.3930297261678136E-4</v>
          </cell>
          <cell r="AC512">
            <v>1.3123359580052493E-4</v>
          </cell>
          <cell r="AD512">
            <v>2.1240441801189465E-4</v>
          </cell>
          <cell r="AE512">
            <v>2.5568313885918835E-4</v>
          </cell>
          <cell r="AF512">
            <v>3.1872509960159364E-4</v>
          </cell>
          <cell r="AG512">
            <v>1.8186226964112513E-4</v>
          </cell>
          <cell r="AH512">
            <v>1.1496014714898834E-4</v>
          </cell>
          <cell r="AI512">
            <v>1.8134996917050524E-4</v>
          </cell>
          <cell r="AJ512">
            <v>2.2869090790290437E-4</v>
          </cell>
          <cell r="AK512">
            <v>7.6475986540226371E-5</v>
          </cell>
          <cell r="AL512">
            <v>7.387706855791962E-4</v>
          </cell>
          <cell r="AM512">
            <v>2.2037179870610272E-4</v>
          </cell>
          <cell r="AN512">
            <v>2.4454075766010914E-4</v>
          </cell>
        </row>
        <row r="513">
          <cell r="C513" t="str">
            <v>MILEAGE CREDITS-TANK CARS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W513" t="str">
            <v>MILEAGE CREDITS-TANK CARS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</row>
        <row r="514">
          <cell r="C514" t="str">
            <v>RENTAL-TANK CARS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W514" t="str">
            <v>RENTAL-TANK CARS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</row>
        <row r="515">
          <cell r="C515" t="str">
            <v>RAILCAR MILEAGE EQUALIZAT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W515" t="str">
            <v>RAILCAR MILEAGE EQUALIZAT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</row>
        <row r="516">
          <cell r="C516" t="str">
            <v>TOTAL RENTAL</v>
          </cell>
          <cell r="D516">
            <v>102</v>
          </cell>
          <cell r="E516">
            <v>2095</v>
          </cell>
          <cell r="F516">
            <v>2530</v>
          </cell>
          <cell r="G516">
            <v>4727</v>
          </cell>
          <cell r="H516">
            <v>2235</v>
          </cell>
          <cell r="I516">
            <v>2333</v>
          </cell>
          <cell r="J516">
            <v>2939</v>
          </cell>
          <cell r="K516">
            <v>7507</v>
          </cell>
          <cell r="L516">
            <v>2268</v>
          </cell>
          <cell r="M516">
            <v>2359</v>
          </cell>
          <cell r="N516">
            <v>2735</v>
          </cell>
          <cell r="O516">
            <v>7362</v>
          </cell>
          <cell r="P516">
            <v>2868</v>
          </cell>
          <cell r="Q516">
            <v>2859</v>
          </cell>
          <cell r="R516">
            <v>2296</v>
          </cell>
          <cell r="S516">
            <v>8023</v>
          </cell>
          <cell r="T516">
            <v>27619</v>
          </cell>
          <cell r="W516" t="str">
            <v>TOTAL RENTAL</v>
          </cell>
          <cell r="X516">
            <v>1.0267767263942018E-2</v>
          </cell>
          <cell r="Y516">
            <v>0.20559371933267909</v>
          </cell>
          <cell r="Z516">
            <v>0.24373795761078998</v>
          </cell>
          <cell r="AA516">
            <v>0.15496328350380278</v>
          </cell>
          <cell r="AB516">
            <v>0.16364035729975107</v>
          </cell>
          <cell r="AC516">
            <v>0.15308398950131233</v>
          </cell>
          <cell r="AD516">
            <v>0.20808552817898612</v>
          </cell>
          <cell r="AE516">
            <v>0.17449212031053879</v>
          </cell>
          <cell r="AF516">
            <v>0.18071713147410359</v>
          </cell>
          <cell r="AG516">
            <v>0.14300436469447139</v>
          </cell>
          <cell r="AH516">
            <v>0.10480533415082771</v>
          </cell>
          <cell r="AI516">
            <v>0.13350984730332596</v>
          </cell>
          <cell r="AJ516">
            <v>9.3697931980789961E-2</v>
          </cell>
          <cell r="AK516">
            <v>0.10932242275925359</v>
          </cell>
          <cell r="AL516">
            <v>0.33924349881796689</v>
          </cell>
          <cell r="AM516">
            <v>0.12628878150136158</v>
          </cell>
          <cell r="AN516">
            <v>0.14370151459179903</v>
          </cell>
        </row>
        <row r="517">
          <cell r="D517" t="str">
            <v xml:space="preserve"> </v>
          </cell>
          <cell r="E517" t="str">
            <v xml:space="preserve"> </v>
          </cell>
          <cell r="F517" t="str">
            <v xml:space="preserve"> </v>
          </cell>
          <cell r="G517" t="str">
            <v xml:space="preserve"> </v>
          </cell>
          <cell r="H517" t="str">
            <v xml:space="preserve"> </v>
          </cell>
          <cell r="I517" t="str">
            <v xml:space="preserve"> </v>
          </cell>
          <cell r="J517" t="str">
            <v xml:space="preserve"> </v>
          </cell>
          <cell r="K517" t="str">
            <v xml:space="preserve"> </v>
          </cell>
          <cell r="L517" t="str">
            <v xml:space="preserve"> </v>
          </cell>
          <cell r="M517" t="str">
            <v xml:space="preserve"> </v>
          </cell>
          <cell r="N517" t="str">
            <v xml:space="preserve"> </v>
          </cell>
          <cell r="O517" t="str">
            <v xml:space="preserve"> 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</row>
        <row r="518">
          <cell r="C518" t="str">
            <v>DIESEL FUEL - BULK STORAGE PURCHASES</v>
          </cell>
          <cell r="D518">
            <v>307</v>
          </cell>
          <cell r="E518">
            <v>375</v>
          </cell>
          <cell r="F518">
            <v>415</v>
          </cell>
          <cell r="G518">
            <v>1097</v>
          </cell>
          <cell r="H518">
            <v>265</v>
          </cell>
          <cell r="I518">
            <v>211</v>
          </cell>
          <cell r="J518">
            <v>265</v>
          </cell>
          <cell r="K518">
            <v>741</v>
          </cell>
          <cell r="L518">
            <v>334</v>
          </cell>
          <cell r="M518">
            <v>315</v>
          </cell>
          <cell r="N518">
            <v>295</v>
          </cell>
          <cell r="O518">
            <v>944</v>
          </cell>
          <cell r="P518">
            <v>243</v>
          </cell>
          <cell r="Q518">
            <v>442</v>
          </cell>
          <cell r="R518">
            <v>433</v>
          </cell>
          <cell r="S518">
            <v>1118</v>
          </cell>
          <cell r="T518">
            <v>3900</v>
          </cell>
          <cell r="W518" t="str">
            <v>DIESEL FUEL - BULK STORAGE PURCHASES</v>
          </cell>
          <cell r="X518">
            <v>3.0903966176766658E-2</v>
          </cell>
          <cell r="Y518">
            <v>3.6800785083415111E-2</v>
          </cell>
          <cell r="Z518">
            <v>3.9980732177263972E-2</v>
          </cell>
          <cell r="AA518">
            <v>3.5962496721741413E-2</v>
          </cell>
          <cell r="AB518">
            <v>1.9402547957241178E-2</v>
          </cell>
          <cell r="AC518">
            <v>1.384514435695538E-2</v>
          </cell>
          <cell r="AD518">
            <v>1.8762390257717362E-2</v>
          </cell>
          <cell r="AE518">
            <v>1.7223745990423506E-2</v>
          </cell>
          <cell r="AF518">
            <v>2.6613545816733069E-2</v>
          </cell>
          <cell r="AG518">
            <v>1.9095538312318139E-2</v>
          </cell>
          <cell r="AH518">
            <v>1.130441446965052E-2</v>
          </cell>
          <cell r="AI518">
            <v>1.7119437089695693E-2</v>
          </cell>
          <cell r="AJ518">
            <v>7.9388415172008241E-3</v>
          </cell>
          <cell r="AK518">
            <v>1.6901193025390029E-2</v>
          </cell>
          <cell r="AL518">
            <v>6.3977541371158395E-2</v>
          </cell>
          <cell r="AM518">
            <v>1.7598262210958775E-2</v>
          </cell>
          <cell r="AN518">
            <v>2.0291679890945227E-2</v>
          </cell>
        </row>
        <row r="519">
          <cell r="C519" t="str">
            <v>DIESEL FUEL OVER THE ROAD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W519" t="str">
            <v>DIESEL FUEL OVER THE ROAD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</row>
        <row r="520">
          <cell r="C520" t="str">
            <v>GASOLINE - OVER THE ROAD</v>
          </cell>
          <cell r="D520">
            <v>0</v>
          </cell>
          <cell r="E520">
            <v>28</v>
          </cell>
          <cell r="F520">
            <v>14</v>
          </cell>
          <cell r="G520">
            <v>42</v>
          </cell>
          <cell r="H520">
            <v>12</v>
          </cell>
          <cell r="I520">
            <v>12</v>
          </cell>
          <cell r="J520">
            <v>25</v>
          </cell>
          <cell r="K520">
            <v>49</v>
          </cell>
          <cell r="L520">
            <v>14</v>
          </cell>
          <cell r="M520">
            <v>24</v>
          </cell>
          <cell r="N520">
            <v>14</v>
          </cell>
          <cell r="O520">
            <v>52</v>
          </cell>
          <cell r="P520">
            <v>15</v>
          </cell>
          <cell r="Q520">
            <v>12</v>
          </cell>
          <cell r="R520">
            <v>17</v>
          </cell>
          <cell r="S520">
            <v>44</v>
          </cell>
          <cell r="T520">
            <v>187</v>
          </cell>
          <cell r="W520" t="str">
            <v>GASOLINE - OVER THE ROAD</v>
          </cell>
          <cell r="X520">
            <v>0</v>
          </cell>
          <cell r="Y520">
            <v>2.747791952894995E-3</v>
          </cell>
          <cell r="Z520">
            <v>1.348747591522158E-3</v>
          </cell>
          <cell r="AA520">
            <v>1.3768686073957514E-3</v>
          </cell>
          <cell r="AB520">
            <v>8.7860594523356272E-4</v>
          </cell>
          <cell r="AC520">
            <v>7.874015748031496E-4</v>
          </cell>
          <cell r="AD520">
            <v>1.7700368167657887E-3</v>
          </cell>
          <cell r="AE520">
            <v>1.1389521640091116E-3</v>
          </cell>
          <cell r="AF520">
            <v>1.1155378486055777E-3</v>
          </cell>
          <cell r="AG520">
            <v>1.454898157129001E-3</v>
          </cell>
          <cell r="AH520">
            <v>5.3648068669527897E-4</v>
          </cell>
          <cell r="AI520">
            <v>9.4301983968662721E-4</v>
          </cell>
          <cell r="AJ520">
            <v>4.9005194550622369E-4</v>
          </cell>
          <cell r="AK520">
            <v>4.588559192413582E-4</v>
          </cell>
          <cell r="AL520">
            <v>2.5118203309692673E-3</v>
          </cell>
          <cell r="AM520">
            <v>6.9259708164775137E-4</v>
          </cell>
          <cell r="AN520">
            <v>9.7296003579660454E-4</v>
          </cell>
        </row>
        <row r="521">
          <cell r="C521" t="str">
            <v>GASOLINE BULK STORAGE PURCHASED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W521" t="str">
            <v>GASOLINE BULK STORAGE PURCHASED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</row>
        <row r="522">
          <cell r="C522" t="str">
            <v>TRAVEL-COLLEGE RECRUITING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W522" t="str">
            <v>TRAVEL-COLLEGE RECRUITING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</row>
        <row r="523">
          <cell r="C523" t="str">
            <v>TRAVEL EXPENSE</v>
          </cell>
          <cell r="D523">
            <v>892</v>
          </cell>
          <cell r="E523">
            <v>1316</v>
          </cell>
          <cell r="F523">
            <v>639</v>
          </cell>
          <cell r="G523">
            <v>2847</v>
          </cell>
          <cell r="H523">
            <v>1135</v>
          </cell>
          <cell r="I523">
            <v>1286</v>
          </cell>
          <cell r="J523">
            <v>670</v>
          </cell>
          <cell r="K523">
            <v>3091</v>
          </cell>
          <cell r="L523">
            <v>1267</v>
          </cell>
          <cell r="M523">
            <v>1043</v>
          </cell>
          <cell r="N523">
            <v>1611</v>
          </cell>
          <cell r="O523">
            <v>3921</v>
          </cell>
          <cell r="P523">
            <v>1257</v>
          </cell>
          <cell r="Q523">
            <v>1451</v>
          </cell>
          <cell r="R523">
            <v>3804</v>
          </cell>
          <cell r="S523">
            <v>6512</v>
          </cell>
          <cell r="T523">
            <v>16371</v>
          </cell>
          <cell r="W523" t="str">
            <v>TRAVEL EXPENSE</v>
          </cell>
          <cell r="X523">
            <v>8.9792631367022341E-2</v>
          </cell>
          <cell r="Y523">
            <v>0.12914622178606477</v>
          </cell>
          <cell r="Z523">
            <v>6.1560693641618494E-2</v>
          </cell>
          <cell r="AA523">
            <v>9.3332022029897724E-2</v>
          </cell>
          <cell r="AB523">
            <v>8.3101478986674471E-2</v>
          </cell>
          <cell r="AC523">
            <v>8.4383202099737528E-2</v>
          </cell>
          <cell r="AD523">
            <v>4.7436986689323141E-2</v>
          </cell>
          <cell r="AE523">
            <v>7.1846962019431915E-2</v>
          </cell>
          <cell r="AF523">
            <v>0.10095617529880478</v>
          </cell>
          <cell r="AG523">
            <v>6.3227449078564507E-2</v>
          </cell>
          <cell r="AH523">
            <v>6.1733599019006748E-2</v>
          </cell>
          <cell r="AI523">
            <v>7.1107322911755103E-2</v>
          </cell>
          <cell r="AJ523">
            <v>4.1066353033421543E-2</v>
          </cell>
          <cell r="AK523">
            <v>5.548332823493423E-2</v>
          </cell>
          <cell r="AL523">
            <v>0.56205673758865249</v>
          </cell>
          <cell r="AM523">
            <v>0.1025043680838672</v>
          </cell>
          <cell r="AN523">
            <v>8.5178228588375468E-2</v>
          </cell>
        </row>
        <row r="524">
          <cell r="C524" t="str">
            <v>CONF FEES + PERS PROF MEM</v>
          </cell>
          <cell r="D524">
            <v>0</v>
          </cell>
          <cell r="E524">
            <v>49</v>
          </cell>
          <cell r="F524">
            <v>0</v>
          </cell>
          <cell r="G524">
            <v>49</v>
          </cell>
          <cell r="H524">
            <v>0</v>
          </cell>
          <cell r="I524">
            <v>30</v>
          </cell>
          <cell r="J524">
            <v>1</v>
          </cell>
          <cell r="K524">
            <v>31</v>
          </cell>
          <cell r="L524">
            <v>70</v>
          </cell>
          <cell r="M524">
            <v>43</v>
          </cell>
          <cell r="N524">
            <v>36</v>
          </cell>
          <cell r="O524">
            <v>149</v>
          </cell>
          <cell r="P524">
            <v>1030</v>
          </cell>
          <cell r="Q524">
            <v>14</v>
          </cell>
          <cell r="R524">
            <v>594</v>
          </cell>
          <cell r="S524">
            <v>1638</v>
          </cell>
          <cell r="T524">
            <v>1867</v>
          </cell>
          <cell r="W524" t="str">
            <v>CONF FEES + PERS PROF MEM</v>
          </cell>
          <cell r="X524">
            <v>0</v>
          </cell>
          <cell r="Y524">
            <v>4.8086359175662412E-3</v>
          </cell>
          <cell r="Z524">
            <v>0</v>
          </cell>
          <cell r="AA524">
            <v>1.6063467086283767E-3</v>
          </cell>
          <cell r="AB524">
            <v>0</v>
          </cell>
          <cell r="AC524">
            <v>1.968503937007874E-3</v>
          </cell>
          <cell r="AD524">
            <v>7.0801472670631546E-5</v>
          </cell>
          <cell r="AE524">
            <v>7.2056157314862165E-4</v>
          </cell>
          <cell r="AF524">
            <v>5.5776892430278889E-3</v>
          </cell>
          <cell r="AG524">
            <v>2.6066925315227935E-3</v>
          </cell>
          <cell r="AH524">
            <v>1.3795217657878603E-3</v>
          </cell>
          <cell r="AI524">
            <v>2.7021145406405283E-3</v>
          </cell>
          <cell r="AJ524">
            <v>3.365023359142736E-2</v>
          </cell>
          <cell r="AK524">
            <v>5.3533190578158461E-4</v>
          </cell>
          <cell r="AL524">
            <v>8.7765957446808512E-2</v>
          </cell>
          <cell r="AM524">
            <v>2.5783500448614018E-2</v>
          </cell>
          <cell r="AN524">
            <v>9.7139913734345489E-3</v>
          </cell>
        </row>
        <row r="525">
          <cell r="C525" t="str">
            <v>TRAVEL-TRUCK/DRIVER/TRIP</v>
          </cell>
          <cell r="D525">
            <v>11</v>
          </cell>
          <cell r="E525">
            <v>0</v>
          </cell>
          <cell r="F525">
            <v>0</v>
          </cell>
          <cell r="G525">
            <v>11</v>
          </cell>
          <cell r="H525">
            <v>0</v>
          </cell>
          <cell r="I525">
            <v>23</v>
          </cell>
          <cell r="J525">
            <v>2</v>
          </cell>
          <cell r="K525">
            <v>25</v>
          </cell>
          <cell r="L525">
            <v>0</v>
          </cell>
          <cell r="M525">
            <v>-1</v>
          </cell>
          <cell r="N525">
            <v>0</v>
          </cell>
          <cell r="O525">
            <v>-1</v>
          </cell>
          <cell r="P525">
            <v>0</v>
          </cell>
          <cell r="Q525">
            <v>2</v>
          </cell>
          <cell r="R525">
            <v>-3</v>
          </cell>
          <cell r="S525">
            <v>-1</v>
          </cell>
          <cell r="T525">
            <v>34</v>
          </cell>
          <cell r="W525" t="str">
            <v>TRAVEL-TRUCK/DRIVER/TRIP</v>
          </cell>
          <cell r="X525">
            <v>1.1073082343466881E-3</v>
          </cell>
          <cell r="Y525">
            <v>0</v>
          </cell>
          <cell r="Z525">
            <v>0</v>
          </cell>
          <cell r="AA525">
            <v>3.6060844479412536E-4</v>
          </cell>
          <cell r="AB525">
            <v>0</v>
          </cell>
          <cell r="AC525">
            <v>1.5091863517060367E-3</v>
          </cell>
          <cell r="AD525">
            <v>1.4160294534126309E-4</v>
          </cell>
          <cell r="AE525">
            <v>5.8109804286179164E-4</v>
          </cell>
          <cell r="AF525">
            <v>0</v>
          </cell>
          <cell r="AG525">
            <v>-6.0620756547041708E-5</v>
          </cell>
          <cell r="AH525">
            <v>0</v>
          </cell>
          <cell r="AI525">
            <v>-1.8134996917050524E-5</v>
          </cell>
          <cell r="AJ525">
            <v>0</v>
          </cell>
          <cell r="AK525">
            <v>7.6475986540226371E-5</v>
          </cell>
          <cell r="AL525">
            <v>-4.4326241134751772E-4</v>
          </cell>
          <cell r="AM525">
            <v>-1.5740842764721624E-5</v>
          </cell>
          <cell r="AN525">
            <v>1.7690182469029173E-4</v>
          </cell>
        </row>
        <row r="526">
          <cell r="C526" t="str">
            <v>TRUCK DRIVER TOLLS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W526" t="str">
            <v>TRUCK DRIVER TOLLS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</row>
        <row r="527">
          <cell r="C527" t="str">
            <v>TRAVEL ISO 9000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W527" t="str">
            <v>TRAVEL ISO 9000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</row>
        <row r="528">
          <cell r="C528" t="str">
            <v>TRAVEL-EMPL SERV ANNIVERSARY</v>
          </cell>
          <cell r="D528">
            <v>0</v>
          </cell>
          <cell r="E528">
            <v>0</v>
          </cell>
          <cell r="F528">
            <v>68</v>
          </cell>
          <cell r="G528">
            <v>68</v>
          </cell>
          <cell r="H528">
            <v>1</v>
          </cell>
          <cell r="I528">
            <v>7</v>
          </cell>
          <cell r="J528">
            <v>-1</v>
          </cell>
          <cell r="K528">
            <v>7</v>
          </cell>
          <cell r="L528">
            <v>1</v>
          </cell>
          <cell r="M528">
            <v>0</v>
          </cell>
          <cell r="N528">
            <v>70</v>
          </cell>
          <cell r="O528">
            <v>71</v>
          </cell>
          <cell r="P528">
            <v>33</v>
          </cell>
          <cell r="Q528">
            <v>4</v>
          </cell>
          <cell r="R528">
            <v>25</v>
          </cell>
          <cell r="S528">
            <v>62</v>
          </cell>
          <cell r="T528">
            <v>208</v>
          </cell>
          <cell r="W528" t="str">
            <v>TRAVEL-EMPL SERV ANNIVERSARY</v>
          </cell>
          <cell r="X528">
            <v>0</v>
          </cell>
          <cell r="Y528">
            <v>0</v>
          </cell>
          <cell r="Z528">
            <v>6.5510597302504813E-3</v>
          </cell>
          <cell r="AA528">
            <v>2.2292158405455022E-3</v>
          </cell>
          <cell r="AB528">
            <v>7.3217162102796898E-5</v>
          </cell>
          <cell r="AC528">
            <v>4.5931758530183726E-4</v>
          </cell>
          <cell r="AD528">
            <v>-7.0801472670631546E-5</v>
          </cell>
          <cell r="AE528">
            <v>1.6270745200130165E-4</v>
          </cell>
          <cell r="AF528">
            <v>7.9681274900398409E-5</v>
          </cell>
          <cell r="AG528">
            <v>0</v>
          </cell>
          <cell r="AH528">
            <v>2.6824034334763948E-3</v>
          </cell>
          <cell r="AI528">
            <v>1.2875847811105873E-3</v>
          </cell>
          <cell r="AJ528">
            <v>1.078114280113692E-3</v>
          </cell>
          <cell r="AK528">
            <v>1.5295197308045274E-4</v>
          </cell>
          <cell r="AL528">
            <v>3.6938534278959812E-3</v>
          </cell>
          <cell r="AM528">
            <v>9.7593225141274066E-4</v>
          </cell>
          <cell r="AN528">
            <v>1.0822229275170789E-3</v>
          </cell>
        </row>
        <row r="529">
          <cell r="C529" t="str">
            <v>TRAVEL - CONF/SEMINAR/TRAIN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W529" t="str">
            <v>TRAVEL - CONF/SEMINAR/TRAIN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</row>
        <row r="530">
          <cell r="C530" t="str">
            <v>CONF/SEMINAR FEES-INTERNAL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W530" t="str">
            <v>CONF/SEMINAR FEES-INTERNAL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</row>
        <row r="531">
          <cell r="C531" t="str">
            <v>NON-DEDUCT FOOD,BEV,ENTERTAINMENT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W531" t="str">
            <v>NON-DEDUCT FOOD,BEV,ENTERTAINMENT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</row>
        <row r="532">
          <cell r="C532" t="str">
            <v>BEV + REFRESHMENT EXP</v>
          </cell>
          <cell r="D532">
            <v>8</v>
          </cell>
          <cell r="E532">
            <v>71</v>
          </cell>
          <cell r="F532">
            <v>95</v>
          </cell>
          <cell r="G532">
            <v>174</v>
          </cell>
          <cell r="H532">
            <v>127</v>
          </cell>
          <cell r="I532">
            <v>71</v>
          </cell>
          <cell r="J532">
            <v>70</v>
          </cell>
          <cell r="K532">
            <v>268</v>
          </cell>
          <cell r="L532">
            <v>26</v>
          </cell>
          <cell r="M532">
            <v>34</v>
          </cell>
          <cell r="N532">
            <v>32</v>
          </cell>
          <cell r="O532">
            <v>92</v>
          </cell>
          <cell r="P532">
            <v>8</v>
          </cell>
          <cell r="Q532">
            <v>14</v>
          </cell>
          <cell r="R532">
            <v>24</v>
          </cell>
          <cell r="S532">
            <v>46</v>
          </cell>
          <cell r="T532">
            <v>580</v>
          </cell>
          <cell r="W532" t="str">
            <v>BEV + REFRESHMENT EXP</v>
          </cell>
          <cell r="X532">
            <v>8.0531507952486415E-4</v>
          </cell>
          <cell r="Y532">
            <v>6.9676153091265949E-3</v>
          </cell>
          <cell r="Z532">
            <v>9.1522157996146436E-3</v>
          </cell>
          <cell r="AA532">
            <v>5.7041699449252555E-3</v>
          </cell>
          <cell r="AB532">
            <v>9.2985795870552061E-3</v>
          </cell>
          <cell r="AC532">
            <v>4.6587926509186351E-3</v>
          </cell>
          <cell r="AD532">
            <v>4.9561030869442087E-3</v>
          </cell>
          <cell r="AE532">
            <v>6.2293710194784068E-3</v>
          </cell>
          <cell r="AF532">
            <v>2.0717131474103584E-3</v>
          </cell>
          <cell r="AG532">
            <v>2.0611057225994179E-3</v>
          </cell>
          <cell r="AH532">
            <v>1.226241569589209E-3</v>
          </cell>
          <cell r="AI532">
            <v>1.6684197163686482E-3</v>
          </cell>
          <cell r="AJ532">
            <v>2.6136103760331927E-4</v>
          </cell>
          <cell r="AK532">
            <v>5.3533190578158461E-4</v>
          </cell>
          <cell r="AL532">
            <v>3.5460992907801418E-3</v>
          </cell>
          <cell r="AM532">
            <v>7.2407876717719467E-4</v>
          </cell>
          <cell r="AN532">
            <v>3.0177370094226236E-3</v>
          </cell>
        </row>
        <row r="533">
          <cell r="C533" t="str">
            <v>TRAVEL-QUALITY MEETINGS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W533" t="str">
            <v>TRAVEL-QUALITY MEETINGS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</row>
        <row r="534">
          <cell r="C534" t="str">
            <v>TRAVEL - MAINT TECH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W534" t="str">
            <v>TRAVEL - MAINT TECH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</row>
        <row r="535">
          <cell r="C535" t="str">
            <v>TRAVEL EXP - CENTRAL MAINT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W535" t="str">
            <v>TRAVEL EXP - CENTRAL MAINT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</row>
        <row r="536">
          <cell r="C536" t="str">
            <v>DRIVER MEAL ALLOWANCE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W536" t="str">
            <v>DRIVER MEAL ALLOWANCE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</row>
        <row r="537">
          <cell r="C537" t="str">
            <v>AUTO-PERSONEL USE CREDIT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W537" t="str">
            <v>AUTO-PERSONEL USE CREDIT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</row>
        <row r="538">
          <cell r="C538" t="str">
            <v>NONDEDUCTIBLE TRAVEL SPOUSE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W538" t="str">
            <v>NONDEDUCTIBLE TRAVEL SPOUSE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</row>
        <row r="539">
          <cell r="C539" t="str">
            <v>FINES PAID MOTOR VEHICLES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W539" t="str">
            <v>FINES PAID MOTOR VEHICLES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</row>
        <row r="540">
          <cell r="C540" t="str">
            <v>TOTAL TRAVEL</v>
          </cell>
          <cell r="D540">
            <v>1218</v>
          </cell>
          <cell r="E540">
            <v>1839</v>
          </cell>
          <cell r="F540">
            <v>1231</v>
          </cell>
          <cell r="G540">
            <v>4288</v>
          </cell>
          <cell r="H540">
            <v>1540</v>
          </cell>
          <cell r="I540">
            <v>1640</v>
          </cell>
          <cell r="J540">
            <v>1032</v>
          </cell>
          <cell r="K540">
            <v>4212</v>
          </cell>
          <cell r="L540">
            <v>1712</v>
          </cell>
          <cell r="M540">
            <v>1458</v>
          </cell>
          <cell r="N540">
            <v>2058</v>
          </cell>
          <cell r="O540">
            <v>5228</v>
          </cell>
          <cell r="P540">
            <v>2586</v>
          </cell>
          <cell r="Q540">
            <v>1939</v>
          </cell>
          <cell r="R540">
            <v>4894</v>
          </cell>
          <cell r="S540">
            <v>9419</v>
          </cell>
          <cell r="T540">
            <v>23147</v>
          </cell>
          <cell r="W540" t="str">
            <v>TOTAL TRAVEL</v>
          </cell>
          <cell r="X540">
            <v>0.12260922085766056</v>
          </cell>
          <cell r="Y540">
            <v>0.18047105004906772</v>
          </cell>
          <cell r="Z540">
            <v>0.11859344894026976</v>
          </cell>
          <cell r="AA540">
            <v>0.14057172829792813</v>
          </cell>
          <cell r="AB540">
            <v>0.11275442963830722</v>
          </cell>
          <cell r="AC540">
            <v>0.10761154855643044</v>
          </cell>
          <cell r="AD540">
            <v>7.3067119796091762E-2</v>
          </cell>
          <cell r="AE540">
            <v>9.7903398261354649E-2</v>
          </cell>
          <cell r="AF540">
            <v>0.13641434262948207</v>
          </cell>
          <cell r="AG540">
            <v>8.8385063045586812E-2</v>
          </cell>
          <cell r="AH540">
            <v>7.8862660944206006E-2</v>
          </cell>
          <cell r="AI540">
            <v>9.4809763882340137E-2</v>
          </cell>
          <cell r="AJ540">
            <v>8.4484955405272955E-2</v>
          </cell>
          <cell r="AK540">
            <v>7.4143468950749469E-2</v>
          </cell>
          <cell r="AL540">
            <v>0.72310874704491723</v>
          </cell>
          <cell r="AM540">
            <v>0.14826299800091297</v>
          </cell>
          <cell r="AN540">
            <v>0.12043372165018185</v>
          </cell>
        </row>
        <row r="541">
          <cell r="D541" t="str">
            <v xml:space="preserve"> </v>
          </cell>
          <cell r="E541" t="str">
            <v xml:space="preserve"> </v>
          </cell>
          <cell r="F541" t="str">
            <v xml:space="preserve"> </v>
          </cell>
          <cell r="G541" t="str">
            <v xml:space="preserve"> </v>
          </cell>
          <cell r="H541" t="str">
            <v xml:space="preserve"> </v>
          </cell>
          <cell r="I541" t="str">
            <v xml:space="preserve"> </v>
          </cell>
          <cell r="J541" t="str">
            <v xml:space="preserve"> </v>
          </cell>
          <cell r="K541" t="str">
            <v xml:space="preserve"> </v>
          </cell>
          <cell r="L541" t="str">
            <v xml:space="preserve"> </v>
          </cell>
          <cell r="M541" t="str">
            <v xml:space="preserve"> </v>
          </cell>
          <cell r="N541" t="str">
            <v xml:space="preserve"> </v>
          </cell>
          <cell r="O541" t="str">
            <v xml:space="preserve"> </v>
          </cell>
          <cell r="P541" t="str">
            <v xml:space="preserve"> </v>
          </cell>
          <cell r="Q541" t="str">
            <v xml:space="preserve"> </v>
          </cell>
          <cell r="R541" t="str">
            <v xml:space="preserve"> </v>
          </cell>
          <cell r="S541" t="str">
            <v xml:space="preserve"> </v>
          </cell>
        </row>
        <row r="542">
          <cell r="C542" t="str">
            <v>EXPATRIATE SUPPORT COSTS</v>
          </cell>
          <cell r="D542">
            <v>0</v>
          </cell>
          <cell r="E542">
            <v>698</v>
          </cell>
          <cell r="F542">
            <v>19</v>
          </cell>
          <cell r="G542">
            <v>717</v>
          </cell>
          <cell r="H542">
            <v>2</v>
          </cell>
          <cell r="I542">
            <v>59</v>
          </cell>
          <cell r="J542">
            <v>0</v>
          </cell>
          <cell r="K542">
            <v>61</v>
          </cell>
          <cell r="L542">
            <v>26</v>
          </cell>
          <cell r="M542">
            <v>39</v>
          </cell>
          <cell r="N542">
            <v>11</v>
          </cell>
          <cell r="O542">
            <v>76</v>
          </cell>
          <cell r="P542">
            <v>-7</v>
          </cell>
          <cell r="Q542">
            <v>2</v>
          </cell>
          <cell r="R542">
            <v>8</v>
          </cell>
          <cell r="S542">
            <v>3</v>
          </cell>
          <cell r="T542">
            <v>857</v>
          </cell>
          <cell r="W542" t="str">
            <v>EXPATRIATE SUPPORT COSTS</v>
          </cell>
          <cell r="X542">
            <v>0</v>
          </cell>
          <cell r="Y542">
            <v>6.8498527968596665E-2</v>
          </cell>
          <cell r="Z542">
            <v>1.8304431599229288E-3</v>
          </cell>
          <cell r="AA542">
            <v>2.3505114083398899E-2</v>
          </cell>
          <cell r="AB542">
            <v>1.464343242055938E-4</v>
          </cell>
          <cell r="AC542">
            <v>3.8713910761154855E-3</v>
          </cell>
          <cell r="AD542">
            <v>0</v>
          </cell>
          <cell r="AE542">
            <v>1.4178792245827716E-3</v>
          </cell>
          <cell r="AF542">
            <v>2.0717131474103584E-3</v>
          </cell>
          <cell r="AG542">
            <v>2.3642095053346265E-3</v>
          </cell>
          <cell r="AH542">
            <v>4.2152053954629061E-4</v>
          </cell>
          <cell r="AI542">
            <v>1.3782597656958398E-3</v>
          </cell>
          <cell r="AJ542">
            <v>-2.2869090790290437E-4</v>
          </cell>
          <cell r="AK542">
            <v>7.6475986540226371E-5</v>
          </cell>
          <cell r="AL542">
            <v>1.1820330969267139E-3</v>
          </cell>
          <cell r="AM542">
            <v>4.7222528294164867E-5</v>
          </cell>
          <cell r="AN542">
            <v>4.4589665811641177E-3</v>
          </cell>
        </row>
        <row r="543">
          <cell r="C543" t="str">
            <v>RELOCATION ALLOWANCE</v>
          </cell>
          <cell r="D543">
            <v>1654</v>
          </cell>
          <cell r="E543">
            <v>540</v>
          </cell>
          <cell r="F543">
            <v>4443</v>
          </cell>
          <cell r="G543">
            <v>6637</v>
          </cell>
          <cell r="H543">
            <v>71</v>
          </cell>
          <cell r="I543">
            <v>131</v>
          </cell>
          <cell r="J543">
            <v>0</v>
          </cell>
          <cell r="K543">
            <v>202</v>
          </cell>
          <cell r="L543">
            <v>63</v>
          </cell>
          <cell r="M543">
            <v>172</v>
          </cell>
          <cell r="N543">
            <v>-3006</v>
          </cell>
          <cell r="O543">
            <v>-2771</v>
          </cell>
          <cell r="P543">
            <v>74</v>
          </cell>
          <cell r="Q543">
            <v>217</v>
          </cell>
          <cell r="R543">
            <v>74</v>
          </cell>
          <cell r="S543">
            <v>365</v>
          </cell>
          <cell r="T543">
            <v>4433</v>
          </cell>
          <cell r="W543" t="str">
            <v>RELOCATION ALLOWANCE</v>
          </cell>
          <cell r="X543">
            <v>0.16649889269176565</v>
          </cell>
          <cell r="Y543">
            <v>5.2993130520117761E-2</v>
          </cell>
          <cell r="Z543">
            <v>0.42803468208092488</v>
          </cell>
          <cell r="AA543">
            <v>0.2175780225544191</v>
          </cell>
          <cell r="AB543">
            <v>5.1984185092985797E-3</v>
          </cell>
          <cell r="AC543">
            <v>8.5958005249343831E-3</v>
          </cell>
          <cell r="AD543">
            <v>0</v>
          </cell>
          <cell r="AE543">
            <v>4.6952721863232766E-3</v>
          </cell>
          <cell r="AF543">
            <v>5.0199203187250999E-3</v>
          </cell>
          <cell r="AG543">
            <v>1.0426770126091174E-2</v>
          </cell>
          <cell r="AH543">
            <v>-0.11519006744328633</v>
          </cell>
          <cell r="AI543">
            <v>-5.0252076457147E-2</v>
          </cell>
          <cell r="AJ543">
            <v>2.4175895978307033E-3</v>
          </cell>
          <cell r="AK543">
            <v>8.2976445396145612E-3</v>
          </cell>
          <cell r="AL543">
            <v>1.0933806146572104E-2</v>
          </cell>
          <cell r="AM543">
            <v>5.7454076091233925E-3</v>
          </cell>
          <cell r="AN543">
            <v>2.3064876142707743E-2</v>
          </cell>
        </row>
        <row r="544">
          <cell r="C544" t="str">
            <v>CHANGES &amp; ALTERATIONS EXP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W544" t="str">
            <v>CHANGES &amp; ALTERATIONS EXP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</row>
        <row r="545">
          <cell r="C545" t="str">
            <v>MATERIALS IRON SPONGE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W545" t="str">
            <v>MATERIALS IRON SPONGE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</row>
        <row r="546">
          <cell r="C546" t="str">
            <v>DEGREASING PACKAGING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W546" t="str">
            <v>DEGREASING PACKAGING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</row>
        <row r="547">
          <cell r="C547" t="str">
            <v>BAR CODE EQUIP + SUPPLIES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W547" t="str">
            <v>BAR CODE EQUIP + SUPPLIES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</row>
        <row r="548">
          <cell r="C548" t="str">
            <v>UNIFORM RENTAL</v>
          </cell>
          <cell r="D548">
            <v>2628</v>
          </cell>
          <cell r="E548">
            <v>2564</v>
          </cell>
          <cell r="F548">
            <v>2691</v>
          </cell>
          <cell r="G548">
            <v>7883</v>
          </cell>
          <cell r="H548">
            <v>2870</v>
          </cell>
          <cell r="I548">
            <v>2449</v>
          </cell>
          <cell r="J548">
            <v>3102</v>
          </cell>
          <cell r="K548">
            <v>8421</v>
          </cell>
          <cell r="L548">
            <v>2553</v>
          </cell>
          <cell r="M548">
            <v>2642</v>
          </cell>
          <cell r="N548">
            <v>2978</v>
          </cell>
          <cell r="O548">
            <v>8173</v>
          </cell>
          <cell r="P548">
            <v>2927</v>
          </cell>
          <cell r="Q548">
            <v>2553</v>
          </cell>
          <cell r="R548">
            <v>3865</v>
          </cell>
          <cell r="S548">
            <v>9345</v>
          </cell>
          <cell r="T548">
            <v>33822</v>
          </cell>
          <cell r="W548" t="str">
            <v>UNIFORM RENTAL</v>
          </cell>
          <cell r="X548">
            <v>0.26454600362391784</v>
          </cell>
          <cell r="Y548">
            <v>0.25161923454367024</v>
          </cell>
          <cell r="Z548">
            <v>0.25924855491329479</v>
          </cell>
          <cell r="AA548">
            <v>0.25842512457382638</v>
          </cell>
          <cell r="AB548">
            <v>0.2101332552350271</v>
          </cell>
          <cell r="AC548">
            <v>0.16069553805774278</v>
          </cell>
          <cell r="AD548">
            <v>0.21962616822429906</v>
          </cell>
          <cell r="AE548">
            <v>0.19573706475756589</v>
          </cell>
          <cell r="AF548">
            <v>0.20342629482071714</v>
          </cell>
          <cell r="AG548">
            <v>0.16016003879728419</v>
          </cell>
          <cell r="AH548">
            <v>0.11411710606989577</v>
          </cell>
          <cell r="AI548">
            <v>0.14821732980305394</v>
          </cell>
          <cell r="AJ548">
            <v>9.562546963311444E-2</v>
          </cell>
          <cell r="AK548">
            <v>9.7621596818598957E-2</v>
          </cell>
          <cell r="AL548">
            <v>0.5710697399527187</v>
          </cell>
          <cell r="AM548">
            <v>0.14709817563632357</v>
          </cell>
          <cell r="AN548">
            <v>0.17597569160808962</v>
          </cell>
        </row>
        <row r="549">
          <cell r="C549" t="str">
            <v>AVALIABILITY BONUS PD TO APCI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W549" t="str">
            <v>AVALIABILITY BONUS PD TO APCI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</row>
        <row r="550">
          <cell r="C550" t="str">
            <v>LICENSES + PERMITS</v>
          </cell>
          <cell r="D550">
            <v>8</v>
          </cell>
          <cell r="E550">
            <v>0</v>
          </cell>
          <cell r="F550">
            <v>314</v>
          </cell>
          <cell r="G550">
            <v>322</v>
          </cell>
          <cell r="H550">
            <v>85</v>
          </cell>
          <cell r="I550">
            <v>771</v>
          </cell>
          <cell r="J550">
            <v>-1</v>
          </cell>
          <cell r="K550">
            <v>855</v>
          </cell>
          <cell r="L550">
            <v>70</v>
          </cell>
          <cell r="M550">
            <v>-4</v>
          </cell>
          <cell r="N550">
            <v>303</v>
          </cell>
          <cell r="O550">
            <v>369</v>
          </cell>
          <cell r="P550">
            <v>19</v>
          </cell>
          <cell r="Q550">
            <v>-7</v>
          </cell>
          <cell r="R550">
            <v>35</v>
          </cell>
          <cell r="S550">
            <v>47</v>
          </cell>
          <cell r="T550">
            <v>1593</v>
          </cell>
          <cell r="W550" t="str">
            <v>LICENSES + PERMITS</v>
          </cell>
          <cell r="X550">
            <v>8.0531507952486415E-4</v>
          </cell>
          <cell r="Y550">
            <v>0</v>
          </cell>
          <cell r="Z550">
            <v>3.0250481695568401E-2</v>
          </cell>
          <cell r="AA550">
            <v>1.055599265670076E-2</v>
          </cell>
          <cell r="AB550">
            <v>6.223458778737736E-3</v>
          </cell>
          <cell r="AC550">
            <v>5.059055118110236E-2</v>
          </cell>
          <cell r="AD550">
            <v>-7.0801472670631546E-5</v>
          </cell>
          <cell r="AE550">
            <v>1.9873553065873274E-2</v>
          </cell>
          <cell r="AF550">
            <v>5.5776892430278889E-3</v>
          </cell>
          <cell r="AG550">
            <v>-2.4248302618816683E-4</v>
          </cell>
          <cell r="AH550">
            <v>1.1610974862047823E-2</v>
          </cell>
          <cell r="AI550">
            <v>6.6918138623916438E-3</v>
          </cell>
          <cell r="AJ550">
            <v>6.207324643078833E-4</v>
          </cell>
          <cell r="AK550">
            <v>-2.6766595289079231E-4</v>
          </cell>
          <cell r="AL550">
            <v>5.1713947990543732E-3</v>
          </cell>
          <cell r="AM550">
            <v>7.3981960994191627E-4</v>
          </cell>
          <cell r="AN550">
            <v>8.2883707862245505E-3</v>
          </cell>
        </row>
        <row r="551">
          <cell r="C551" t="str">
            <v>SALES PROMOTION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W551" t="str">
            <v>SALES PROMOTION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</row>
        <row r="552">
          <cell r="C552" t="str">
            <v>CATALOG EXP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W552" t="str">
            <v>CATALOG EXP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</row>
        <row r="553">
          <cell r="C553" t="str">
            <v>DEMONSTRATION SAMPLES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W553" t="str">
            <v>DEMONSTRATION SAMPLES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</row>
        <row r="554">
          <cell r="C554" t="str">
            <v>BID &amp; PROPOSAL EXP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W554" t="str">
            <v>BID &amp; PROPOSAL EXP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</row>
        <row r="555">
          <cell r="C555" t="str">
            <v>SALES AGENT COMMISSIONS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75</v>
          </cell>
          <cell r="M555">
            <v>0</v>
          </cell>
          <cell r="N555">
            <v>0</v>
          </cell>
          <cell r="O555">
            <v>75</v>
          </cell>
          <cell r="P555">
            <v>1</v>
          </cell>
          <cell r="Q555">
            <v>0</v>
          </cell>
          <cell r="R555">
            <v>1</v>
          </cell>
          <cell r="S555">
            <v>2</v>
          </cell>
          <cell r="T555">
            <v>77</v>
          </cell>
          <cell r="W555" t="str">
            <v>SALES AGENT COMMISSIONS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5.9760956175298804E-3</v>
          </cell>
          <cell r="AG555">
            <v>0</v>
          </cell>
          <cell r="AH555">
            <v>0</v>
          </cell>
          <cell r="AI555">
            <v>1.3601247687787892E-3</v>
          </cell>
          <cell r="AJ555">
            <v>3.2670129700414909E-5</v>
          </cell>
          <cell r="AK555">
            <v>0</v>
          </cell>
          <cell r="AL555">
            <v>1.4775413711583924E-4</v>
          </cell>
          <cell r="AM555">
            <v>3.1481685529443249E-5</v>
          </cell>
          <cell r="AN555">
            <v>4.0063060297507245E-4</v>
          </cell>
        </row>
        <row r="556">
          <cell r="C556" t="str">
            <v>TRADE SHOWS AND CONVENTIONS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W556" t="str">
            <v>TRADE SHOWS AND CONVENTIONS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</row>
        <row r="557">
          <cell r="C557" t="str">
            <v>EMP + PUBLIC RELATIONS</v>
          </cell>
          <cell r="D557">
            <v>0</v>
          </cell>
          <cell r="E557">
            <v>0</v>
          </cell>
          <cell r="F557">
            <v>106</v>
          </cell>
          <cell r="G557">
            <v>106</v>
          </cell>
          <cell r="H557">
            <v>4</v>
          </cell>
          <cell r="I557">
            <v>0</v>
          </cell>
          <cell r="J557">
            <v>-1</v>
          </cell>
          <cell r="K557">
            <v>3</v>
          </cell>
          <cell r="L557">
            <v>1</v>
          </cell>
          <cell r="M557">
            <v>-1</v>
          </cell>
          <cell r="N557">
            <v>0</v>
          </cell>
          <cell r="O557">
            <v>0</v>
          </cell>
          <cell r="P557">
            <v>1</v>
          </cell>
          <cell r="Q557">
            <v>1</v>
          </cell>
          <cell r="R557">
            <v>2</v>
          </cell>
          <cell r="S557">
            <v>4</v>
          </cell>
          <cell r="T557">
            <v>113</v>
          </cell>
          <cell r="W557" t="str">
            <v>EMP + PUBLIC RELATIONS</v>
          </cell>
          <cell r="X557">
            <v>0</v>
          </cell>
          <cell r="Y557">
            <v>0</v>
          </cell>
          <cell r="Z557">
            <v>1.021194605009634E-2</v>
          </cell>
          <cell r="AA557">
            <v>3.4749541043797537E-3</v>
          </cell>
          <cell r="AB557">
            <v>2.9286864841118759E-4</v>
          </cell>
          <cell r="AC557">
            <v>0</v>
          </cell>
          <cell r="AD557">
            <v>-7.0801472670631546E-5</v>
          </cell>
          <cell r="AE557">
            <v>6.9731765143415004E-5</v>
          </cell>
          <cell r="AF557">
            <v>7.9681274900398409E-5</v>
          </cell>
          <cell r="AG557">
            <v>-6.0620756547041708E-5</v>
          </cell>
          <cell r="AH557">
            <v>0</v>
          </cell>
          <cell r="AI557">
            <v>0</v>
          </cell>
          <cell r="AJ557">
            <v>3.2670129700414909E-5</v>
          </cell>
          <cell r="AK557">
            <v>3.8237993270113186E-5</v>
          </cell>
          <cell r="AL557">
            <v>2.9550827423167848E-4</v>
          </cell>
          <cell r="AM557">
            <v>6.2963371058886498E-5</v>
          </cell>
          <cell r="AN557">
            <v>5.8793841735302842E-4</v>
          </cell>
        </row>
        <row r="558">
          <cell r="C558" t="str">
            <v>INV OBSOL + PHYSICAL LOSSES</v>
          </cell>
          <cell r="D558">
            <v>1091</v>
          </cell>
          <cell r="E558">
            <v>1129</v>
          </cell>
          <cell r="F558">
            <v>1110</v>
          </cell>
          <cell r="G558">
            <v>3330</v>
          </cell>
          <cell r="H558">
            <v>885</v>
          </cell>
          <cell r="I558">
            <v>475</v>
          </cell>
          <cell r="J558">
            <v>1205</v>
          </cell>
          <cell r="K558">
            <v>2565</v>
          </cell>
          <cell r="L558">
            <v>1044</v>
          </cell>
          <cell r="M558">
            <v>644</v>
          </cell>
          <cell r="N558">
            <v>926</v>
          </cell>
          <cell r="O558">
            <v>2614</v>
          </cell>
          <cell r="P558">
            <v>1037</v>
          </cell>
          <cell r="Q558">
            <v>1273</v>
          </cell>
          <cell r="R558">
            <v>467</v>
          </cell>
          <cell r="S558">
            <v>2777</v>
          </cell>
          <cell r="T558">
            <v>11286</v>
          </cell>
          <cell r="W558" t="str">
            <v>INV OBSOL + PHYSICAL LOSSES</v>
          </cell>
          <cell r="X558">
            <v>0.10982484397020334</v>
          </cell>
          <cell r="Y558">
            <v>0.11079489695780177</v>
          </cell>
          <cell r="Z558">
            <v>0.1069364161849711</v>
          </cell>
          <cell r="AA558">
            <v>0.10916601101494885</v>
          </cell>
          <cell r="AB558">
            <v>6.479718846097525E-2</v>
          </cell>
          <cell r="AC558">
            <v>3.1167979002624673E-2</v>
          </cell>
          <cell r="AD558">
            <v>8.5315774568111014E-2</v>
          </cell>
          <cell r="AE558">
            <v>5.9620659197619823E-2</v>
          </cell>
          <cell r="AF558">
            <v>8.3187250996015941E-2</v>
          </cell>
          <cell r="AG558">
            <v>3.903976721629486E-2</v>
          </cell>
          <cell r="AH558">
            <v>3.5484365419987736E-2</v>
          </cell>
          <cell r="AI558">
            <v>4.7404881941170068E-2</v>
          </cell>
          <cell r="AJ558">
            <v>3.3878924499330262E-2</v>
          </cell>
          <cell r="AK558">
            <v>4.8676965432854082E-2</v>
          </cell>
          <cell r="AL558">
            <v>6.9001182033096922E-2</v>
          </cell>
          <cell r="AM558">
            <v>4.3712320357631951E-2</v>
          </cell>
          <cell r="AN558">
            <v>5.872099980748919E-2</v>
          </cell>
        </row>
        <row r="559">
          <cell r="C559" t="str">
            <v>SALES AGENT COMM EUROPE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W559" t="str">
            <v>SALES AGENT COMM EUROPE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</row>
        <row r="560">
          <cell r="C560" t="str">
            <v>EMPL RELATIONS EXP</v>
          </cell>
          <cell r="D560">
            <v>35</v>
          </cell>
          <cell r="E560">
            <v>1541</v>
          </cell>
          <cell r="F560">
            <v>551</v>
          </cell>
          <cell r="G560">
            <v>2127</v>
          </cell>
          <cell r="H560">
            <v>202</v>
          </cell>
          <cell r="I560">
            <v>414</v>
          </cell>
          <cell r="J560">
            <v>212</v>
          </cell>
          <cell r="K560">
            <v>828</v>
          </cell>
          <cell r="L560">
            <v>345</v>
          </cell>
          <cell r="M560">
            <v>301</v>
          </cell>
          <cell r="N560">
            <v>-9</v>
          </cell>
          <cell r="O560">
            <v>637</v>
          </cell>
          <cell r="P560">
            <v>2454</v>
          </cell>
          <cell r="Q560">
            <v>58</v>
          </cell>
          <cell r="R560">
            <v>504</v>
          </cell>
          <cell r="S560">
            <v>3016</v>
          </cell>
          <cell r="T560">
            <v>6608</v>
          </cell>
          <cell r="W560" t="str">
            <v>EMPL RELATIONS EXP</v>
          </cell>
          <cell r="X560">
            <v>3.5232534729212803E-3</v>
          </cell>
          <cell r="Y560">
            <v>0.15122669283611384</v>
          </cell>
          <cell r="Z560">
            <v>5.3082851637764931E-2</v>
          </cell>
          <cell r="AA560">
            <v>6.9728560188827698E-2</v>
          </cell>
          <cell r="AB560">
            <v>1.4789866744764972E-2</v>
          </cell>
          <cell r="AC560">
            <v>2.7165354330708661E-2</v>
          </cell>
          <cell r="AD560">
            <v>1.5009912206173889E-2</v>
          </cell>
          <cell r="AE560">
            <v>1.9245967179582539E-2</v>
          </cell>
          <cell r="AF560">
            <v>2.7490039840637449E-2</v>
          </cell>
          <cell r="AG560">
            <v>1.8246847720659553E-2</v>
          </cell>
          <cell r="AH560">
            <v>-3.4488044144696507E-4</v>
          </cell>
          <cell r="AI560">
            <v>1.1551993036161183E-2</v>
          </cell>
          <cell r="AJ560">
            <v>8.0172498284818192E-2</v>
          </cell>
          <cell r="AK560">
            <v>2.2178036096665646E-3</v>
          </cell>
          <cell r="AL560">
            <v>7.4468085106382975E-2</v>
          </cell>
          <cell r="AM560">
            <v>4.7474381778400417E-2</v>
          </cell>
          <cell r="AN560">
            <v>3.4381389928042579E-2</v>
          </cell>
        </row>
        <row r="561">
          <cell r="C561" t="str">
            <v>SALES AGENT COMMISSION-FAR EAST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W561" t="str">
            <v>SALES AGENT COMMISSION-FAR EAST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</row>
        <row r="562">
          <cell r="C562" t="str">
            <v>SALES AGENT COMM LATIN AMERICA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W562" t="str">
            <v>SALES AGENT COMM LATIN AMERICA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</row>
        <row r="563">
          <cell r="C563" t="str">
            <v>CONSIGNED WAREHOUSE COMMISSIONS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W563" t="str">
            <v>CONSIGNED WAREHOUSE COMMISSIONS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</row>
        <row r="564">
          <cell r="C564" t="str">
            <v>RAILCAR VALVE REPAIRS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W564" t="str">
            <v>RAILCAR VALVE REPAIRS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</row>
        <row r="565">
          <cell r="C565" t="str">
            <v>WHSE GENERAL EXPENSE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2</v>
          </cell>
          <cell r="M565">
            <v>0</v>
          </cell>
          <cell r="N565">
            <v>0</v>
          </cell>
          <cell r="O565">
            <v>2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2</v>
          </cell>
          <cell r="W565" t="str">
            <v>WHSE GENERAL EXPENSE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1.5936254980079682E-4</v>
          </cell>
          <cell r="AG565">
            <v>0</v>
          </cell>
          <cell r="AH565">
            <v>0</v>
          </cell>
          <cell r="AI565">
            <v>3.6269993834101049E-5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1.040598968766422E-5</v>
          </cell>
        </row>
        <row r="566">
          <cell r="C566" t="str">
            <v>PAINTINGS + STENCILING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W566" t="str">
            <v>PAINTINGS + STENCILING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</row>
        <row r="567">
          <cell r="C567" t="str">
            <v>PROCUREMENT CARD EXP</v>
          </cell>
          <cell r="D567">
            <v>1591</v>
          </cell>
          <cell r="E567">
            <v>3530</v>
          </cell>
          <cell r="F567">
            <v>3367</v>
          </cell>
          <cell r="G567">
            <v>8488</v>
          </cell>
          <cell r="H567">
            <v>3712</v>
          </cell>
          <cell r="I567">
            <v>1816</v>
          </cell>
          <cell r="J567">
            <v>1718</v>
          </cell>
          <cell r="K567">
            <v>7246</v>
          </cell>
          <cell r="L567">
            <v>1808</v>
          </cell>
          <cell r="M567">
            <v>941</v>
          </cell>
          <cell r="N567">
            <v>1490</v>
          </cell>
          <cell r="O567">
            <v>4239</v>
          </cell>
          <cell r="P567">
            <v>2255</v>
          </cell>
          <cell r="Q567">
            <v>519</v>
          </cell>
          <cell r="R567">
            <v>1925</v>
          </cell>
          <cell r="S567">
            <v>4699</v>
          </cell>
          <cell r="T567">
            <v>24672</v>
          </cell>
          <cell r="W567" t="str">
            <v>PROCUREMENT CARD EXP</v>
          </cell>
          <cell r="X567">
            <v>0.16015703644050736</v>
          </cell>
          <cell r="Y567">
            <v>0.3464180569185476</v>
          </cell>
          <cell r="Z567">
            <v>0.324373795761079</v>
          </cell>
          <cell r="AA567">
            <v>0.27825858903750328</v>
          </cell>
          <cell r="AB567">
            <v>0.27178210572558209</v>
          </cell>
          <cell r="AC567">
            <v>0.11916010498687664</v>
          </cell>
          <cell r="AD567">
            <v>0.12163693004814501</v>
          </cell>
          <cell r="AE567">
            <v>0.1684254567430617</v>
          </cell>
          <cell r="AF567">
            <v>0.14406374501992031</v>
          </cell>
          <cell r="AG567">
            <v>5.7044131910766245E-2</v>
          </cell>
          <cell r="AH567">
            <v>5.7096873083997544E-2</v>
          </cell>
          <cell r="AI567">
            <v>7.6874251931377174E-2</v>
          </cell>
          <cell r="AJ567">
            <v>7.3671142474435625E-2</v>
          </cell>
          <cell r="AK567">
            <v>1.9845518507188742E-2</v>
          </cell>
          <cell r="AL567">
            <v>0.28442671394799052</v>
          </cell>
          <cell r="AM567">
            <v>7.3966220151426912E-2</v>
          </cell>
          <cell r="AN567">
            <v>0.1283682887870258</v>
          </cell>
        </row>
        <row r="568">
          <cell r="C568" t="str">
            <v>RAILCAR CLEANING IN-PLANT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W568" t="str">
            <v>RAILCAR CLEANING IN-PLANT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</row>
        <row r="569">
          <cell r="C569" t="str">
            <v>FREIGHT OUT-TO CUSTOMERS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596</v>
          </cell>
          <cell r="M569">
            <v>-2</v>
          </cell>
          <cell r="N569">
            <v>-3</v>
          </cell>
          <cell r="O569">
            <v>591</v>
          </cell>
          <cell r="P569">
            <v>10</v>
          </cell>
          <cell r="Q569">
            <v>-2</v>
          </cell>
          <cell r="R569">
            <v>14</v>
          </cell>
          <cell r="S569">
            <v>22</v>
          </cell>
          <cell r="T569">
            <v>613</v>
          </cell>
          <cell r="W569" t="str">
            <v>FREIGHT OUT-TO CUSTOMERS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4.7490039840637453E-2</v>
          </cell>
          <cell r="AG569">
            <v>-1.2124151309408342E-4</v>
          </cell>
          <cell r="AH569">
            <v>-1.1496014714898834E-4</v>
          </cell>
          <cell r="AI569">
            <v>1.0717783177976861E-2</v>
          </cell>
          <cell r="AJ569">
            <v>3.2670129700414913E-4</v>
          </cell>
          <cell r="AK569">
            <v>-7.6475986540226371E-5</v>
          </cell>
          <cell r="AL569">
            <v>2.0685579196217494E-3</v>
          </cell>
          <cell r="AM569">
            <v>3.4629854082387568E-4</v>
          </cell>
          <cell r="AN569">
            <v>3.1894358392690835E-3</v>
          </cell>
        </row>
        <row r="570">
          <cell r="C570" t="str">
            <v>LEGAL EXP.- PATENT SEARCH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W570" t="str">
            <v>LEGAL EXP.- PATENT SEARCH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</row>
        <row r="571">
          <cell r="C571" t="str">
            <v>MOVING EXP-COMPANY EQUIPMENT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W571" t="str">
            <v>MOVING EXP-COMPANY EQUIPMENT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</row>
        <row r="572">
          <cell r="C572" t="str">
            <v>BAD DEBTS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W572" t="str">
            <v>BAD DEBTS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</row>
        <row r="573">
          <cell r="C573" t="str">
            <v>SHAREHOLDERS COMM. EXPENSE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W573" t="str">
            <v>SHAREHOLDERS COMM. EXPENSE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</row>
        <row r="574">
          <cell r="C574" t="str">
            <v>DIRECTORS RETAINER &amp; MEETING FEES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W574" t="str">
            <v>DIRECTORS RETAINER &amp; MEETING FEES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</row>
        <row r="575">
          <cell r="C575" t="str">
            <v>DISCOUNTS LOST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W575" t="str">
            <v>DISCOUNTS LOST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</row>
        <row r="576">
          <cell r="C576" t="str">
            <v>FINES + PENALTIES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W576" t="str">
            <v>FINES + PENALTIES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</row>
        <row r="577">
          <cell r="C577" t="str">
            <v>SUMMER HELP PROGRAM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W577" t="str">
            <v>SUMMER HELP PROGRAM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</row>
        <row r="578">
          <cell r="C578" t="str">
            <v>TRAVEL EXP-FACILITY STUDIES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W578" t="str">
            <v>TRAVEL EXP-FACILITY STUDIES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</row>
        <row r="579">
          <cell r="C579" t="str">
            <v>DONATIONS-MATCH EMPLOYEE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W579" t="str">
            <v>DONATIONS-MATCH EMPLOYEE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</row>
        <row r="580">
          <cell r="C580" t="str">
            <v>FINANCIAL EXPENSES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W580" t="str">
            <v>FINANCIAL EXPENSES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</row>
        <row r="581">
          <cell r="C581" t="str">
            <v>SHAREHOLDERS COMM EXP. - BANKS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W581" t="str">
            <v>SHAREHOLDERS COMM EXP. - BANKS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</row>
        <row r="582">
          <cell r="C582" t="str">
            <v>SHAREHOLDERS MEETING EXPENSE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W582" t="str">
            <v>SHAREHOLDERS MEETING EXPENSE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</row>
        <row r="583">
          <cell r="C583" t="str">
            <v>INDENTURE TRUSTEES FEES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W583" t="str">
            <v>INDENTURE TRUSTEES FEES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</row>
        <row r="584">
          <cell r="C584" t="str">
            <v>DONATION EXPENSE</v>
          </cell>
          <cell r="D584">
            <v>334</v>
          </cell>
          <cell r="E584">
            <v>27</v>
          </cell>
          <cell r="F584">
            <v>505</v>
          </cell>
          <cell r="G584">
            <v>866</v>
          </cell>
          <cell r="H584">
            <v>121</v>
          </cell>
          <cell r="I584">
            <v>489</v>
          </cell>
          <cell r="J584">
            <v>171</v>
          </cell>
          <cell r="K584">
            <v>781</v>
          </cell>
          <cell r="L584">
            <v>2872</v>
          </cell>
          <cell r="M584">
            <v>715</v>
          </cell>
          <cell r="N584">
            <v>374</v>
          </cell>
          <cell r="O584">
            <v>3961</v>
          </cell>
          <cell r="P584">
            <v>129</v>
          </cell>
          <cell r="Q584">
            <v>82</v>
          </cell>
          <cell r="R584">
            <v>1758</v>
          </cell>
          <cell r="S584">
            <v>1969</v>
          </cell>
          <cell r="T584">
            <v>7577</v>
          </cell>
          <cell r="W584" t="str">
            <v>DONATION EXPENSE</v>
          </cell>
          <cell r="X584">
            <v>3.3621904570163078E-2</v>
          </cell>
          <cell r="Y584">
            <v>2.649656526005888E-3</v>
          </cell>
          <cell r="Z584">
            <v>4.8651252408477841E-2</v>
          </cell>
          <cell r="AA584">
            <v>2.8389719381064778E-2</v>
          </cell>
          <cell r="AB584">
            <v>8.8592766144384247E-3</v>
          </cell>
          <cell r="AC584">
            <v>3.2086614173228348E-2</v>
          </cell>
          <cell r="AD584">
            <v>1.2107051826677994E-2</v>
          </cell>
          <cell r="AE584">
            <v>1.8153502859002371E-2</v>
          </cell>
          <cell r="AF584">
            <v>0.22884462151394422</v>
          </cell>
          <cell r="AG584">
            <v>4.3343840931134824E-2</v>
          </cell>
          <cell r="AH584">
            <v>1.433169834457388E-2</v>
          </cell>
          <cell r="AI584">
            <v>7.1832722788437123E-2</v>
          </cell>
          <cell r="AJ584">
            <v>4.214446731353523E-3</v>
          </cell>
          <cell r="AK584">
            <v>3.1355154481492813E-3</v>
          </cell>
          <cell r="AL584">
            <v>0.25975177304964536</v>
          </cell>
          <cell r="AM584">
            <v>3.0993719403736877E-2</v>
          </cell>
          <cell r="AN584">
            <v>3.9423091931715892E-2</v>
          </cell>
        </row>
        <row r="585">
          <cell r="C585" t="str">
            <v>MOVING EXP-PROF EXPENSE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W585" t="str">
            <v>MOVING EXP-PROF EXPENSE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</row>
        <row r="586">
          <cell r="C586" t="str">
            <v>PROF EMPLOYMENT EXP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W586" t="str">
            <v>PROF EMPLOYMENT EXP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</row>
        <row r="587">
          <cell r="C587" t="str">
            <v>NONPROF EMPLOYMENT EXP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W587" t="str">
            <v>NONPROF EMPLOYMENT EXP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</row>
        <row r="588">
          <cell r="C588" t="str">
            <v>EXECUTIVE MEDICAL EXAMS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W588" t="str">
            <v>EXECUTIVE MEDICAL EXAMS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</row>
        <row r="589">
          <cell r="C589" t="str">
            <v>TRAINING EXPENSE INTERNAL</v>
          </cell>
          <cell r="D589">
            <v>-199</v>
          </cell>
          <cell r="E589">
            <v>12</v>
          </cell>
          <cell r="F589">
            <v>9</v>
          </cell>
          <cell r="G589">
            <v>-178</v>
          </cell>
          <cell r="H589">
            <v>42</v>
          </cell>
          <cell r="I589">
            <v>67</v>
          </cell>
          <cell r="J589">
            <v>28</v>
          </cell>
          <cell r="K589">
            <v>137</v>
          </cell>
          <cell r="L589">
            <v>55</v>
          </cell>
          <cell r="M589">
            <v>95</v>
          </cell>
          <cell r="N589">
            <v>47</v>
          </cell>
          <cell r="O589">
            <v>197</v>
          </cell>
          <cell r="P589">
            <v>24</v>
          </cell>
          <cell r="Q589">
            <v>230</v>
          </cell>
          <cell r="R589">
            <v>80</v>
          </cell>
          <cell r="S589">
            <v>334</v>
          </cell>
          <cell r="T589">
            <v>490</v>
          </cell>
          <cell r="W589" t="str">
            <v>TRAINING EXPENSE INTERNAL</v>
          </cell>
          <cell r="X589">
            <v>-2.0032212603180995E-2</v>
          </cell>
          <cell r="Y589">
            <v>1.1776251226692837E-3</v>
          </cell>
          <cell r="Z589">
            <v>8.6705202312138728E-4</v>
          </cell>
          <cell r="AA589">
            <v>-5.835300288486756E-3</v>
          </cell>
          <cell r="AB589">
            <v>3.0751208083174696E-3</v>
          </cell>
          <cell r="AC589">
            <v>4.3963254593175852E-3</v>
          </cell>
          <cell r="AD589">
            <v>1.9824412347776836E-3</v>
          </cell>
          <cell r="AE589">
            <v>3.1844172748826181E-3</v>
          </cell>
          <cell r="AF589">
            <v>4.3824701195219126E-3</v>
          </cell>
          <cell r="AG589">
            <v>5.7589718719689622E-3</v>
          </cell>
          <cell r="AH589">
            <v>1.8010423053341509E-3</v>
          </cell>
          <cell r="AI589">
            <v>3.5725943926589532E-3</v>
          </cell>
          <cell r="AJ589">
            <v>7.8408311280995786E-4</v>
          </cell>
          <cell r="AK589">
            <v>8.7947384521260327E-3</v>
          </cell>
          <cell r="AL589">
            <v>1.1820330969267139E-2</v>
          </cell>
          <cell r="AM589">
            <v>5.2574414834170224E-3</v>
          </cell>
          <cell r="AN589">
            <v>2.5494674734777337E-3</v>
          </cell>
        </row>
        <row r="590">
          <cell r="C590" t="str">
            <v>REFERENCE BOOKS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44</v>
          </cell>
          <cell r="N590">
            <v>-4</v>
          </cell>
          <cell r="O590">
            <v>40</v>
          </cell>
          <cell r="P590">
            <v>61</v>
          </cell>
          <cell r="Q590">
            <v>0</v>
          </cell>
          <cell r="R590">
            <v>10</v>
          </cell>
          <cell r="S590">
            <v>71</v>
          </cell>
          <cell r="T590">
            <v>111</v>
          </cell>
          <cell r="W590" t="str">
            <v>REFERENCE BOOKS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2.6673132880698351E-3</v>
          </cell>
          <cell r="AH590">
            <v>-1.5328019619865113E-4</v>
          </cell>
          <cell r="AI590">
            <v>7.2539987668202098E-4</v>
          </cell>
          <cell r="AJ590">
            <v>1.9928779117253095E-3</v>
          </cell>
          <cell r="AK590">
            <v>0</v>
          </cell>
          <cell r="AL590">
            <v>1.4775413711583924E-3</v>
          </cell>
          <cell r="AM590">
            <v>1.1175998362952353E-3</v>
          </cell>
          <cell r="AN590">
            <v>5.7753242766536424E-4</v>
          </cell>
        </row>
        <row r="591">
          <cell r="C591" t="str">
            <v>EE MATL COSTS-EXCL MAINT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W591" t="str">
            <v>EE MATL COSTS-EXCL MAINT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</row>
        <row r="592">
          <cell r="C592" t="str">
            <v>CE DEMOLITION/REMOVAL EXP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W592" t="str">
            <v>CE DEMOLITION/REMOVAL EXP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</row>
        <row r="593">
          <cell r="C593" t="str">
            <v>SUBSCRIPTIONS</v>
          </cell>
          <cell r="D593">
            <v>87</v>
          </cell>
          <cell r="E593">
            <v>-1</v>
          </cell>
          <cell r="F593">
            <v>36</v>
          </cell>
          <cell r="G593">
            <v>122</v>
          </cell>
          <cell r="H593">
            <v>28</v>
          </cell>
          <cell r="I593">
            <v>140</v>
          </cell>
          <cell r="J593">
            <v>1</v>
          </cell>
          <cell r="K593">
            <v>169</v>
          </cell>
          <cell r="L593">
            <v>2</v>
          </cell>
          <cell r="M593">
            <v>0</v>
          </cell>
          <cell r="N593">
            <v>0</v>
          </cell>
          <cell r="O593">
            <v>2</v>
          </cell>
          <cell r="P593">
            <v>5</v>
          </cell>
          <cell r="Q593">
            <v>4</v>
          </cell>
          <cell r="R593">
            <v>127</v>
          </cell>
          <cell r="S593">
            <v>136</v>
          </cell>
          <cell r="T593">
            <v>429</v>
          </cell>
          <cell r="W593" t="str">
            <v>SUBSCRIPTIONS</v>
          </cell>
          <cell r="X593">
            <v>8.7578014898328973E-3</v>
          </cell>
          <cell r="Y593">
            <v>-9.8135426889106971E-5</v>
          </cell>
          <cell r="Z593">
            <v>3.4682080924855491E-3</v>
          </cell>
          <cell r="AA593">
            <v>3.9994754786257542E-3</v>
          </cell>
          <cell r="AB593">
            <v>2.0500805388783132E-3</v>
          </cell>
          <cell r="AC593">
            <v>9.1863517060367453E-3</v>
          </cell>
          <cell r="AD593">
            <v>7.0801472670631546E-5</v>
          </cell>
          <cell r="AE593">
            <v>3.9282227697457119E-3</v>
          </cell>
          <cell r="AF593">
            <v>1.5936254980079682E-4</v>
          </cell>
          <cell r="AG593">
            <v>0</v>
          </cell>
          <cell r="AH593">
            <v>0</v>
          </cell>
          <cell r="AI593">
            <v>3.6269993834101049E-5</v>
          </cell>
          <cell r="AJ593">
            <v>1.6335064850207456E-4</v>
          </cell>
          <cell r="AK593">
            <v>1.5295197308045274E-4</v>
          </cell>
          <cell r="AL593">
            <v>1.8764775413711583E-2</v>
          </cell>
          <cell r="AM593">
            <v>2.1407546160021407E-3</v>
          </cell>
          <cell r="AN593">
            <v>2.2320847880039751E-3</v>
          </cell>
        </row>
        <row r="594">
          <cell r="C594" t="str">
            <v>COMPANY PUBLICATIONS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W594" t="str">
            <v>COMPANY PUBLICATIONS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</row>
        <row r="595">
          <cell r="C595" t="str">
            <v>DEVELOPMENT EXP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W595" t="str">
            <v>DEVELOPMENT EXP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</row>
        <row r="596">
          <cell r="C596" t="str">
            <v>PLANT START-UP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W596" t="str">
            <v>PLANT START-UP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</row>
        <row r="597">
          <cell r="C597" t="str">
            <v>SAFETY EXP - ROUTINE</v>
          </cell>
          <cell r="D597">
            <v>84</v>
          </cell>
          <cell r="E597">
            <v>0</v>
          </cell>
          <cell r="F597">
            <v>0</v>
          </cell>
          <cell r="G597">
            <v>84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84</v>
          </cell>
          <cell r="W597" t="str">
            <v>SAFETY EXP - ROUTINE</v>
          </cell>
          <cell r="X597">
            <v>8.4558083350110731E-3</v>
          </cell>
          <cell r="Y597">
            <v>0</v>
          </cell>
          <cell r="Z597">
            <v>0</v>
          </cell>
          <cell r="AA597">
            <v>2.7537372147915028E-3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4.370515668818972E-4</v>
          </cell>
        </row>
        <row r="598">
          <cell r="C598" t="str">
            <v>SAFETY EXP - OSHA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W598" t="str">
            <v>SAFETY EXP - OSHA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</row>
        <row r="599">
          <cell r="C599" t="str">
            <v>PERSONAL MEMBERSHIP DUES</v>
          </cell>
          <cell r="D599">
            <v>11</v>
          </cell>
          <cell r="E599">
            <v>38</v>
          </cell>
          <cell r="F599">
            <v>22</v>
          </cell>
          <cell r="G599">
            <v>71</v>
          </cell>
          <cell r="H599">
            <v>45</v>
          </cell>
          <cell r="I599">
            <v>-1</v>
          </cell>
          <cell r="J599">
            <v>-2</v>
          </cell>
          <cell r="K599">
            <v>42</v>
          </cell>
          <cell r="L599">
            <v>10</v>
          </cell>
          <cell r="M599">
            <v>1</v>
          </cell>
          <cell r="N599">
            <v>1</v>
          </cell>
          <cell r="O599">
            <v>12</v>
          </cell>
          <cell r="P599">
            <v>0</v>
          </cell>
          <cell r="Q599">
            <v>12</v>
          </cell>
          <cell r="R599">
            <v>43</v>
          </cell>
          <cell r="S599">
            <v>55</v>
          </cell>
          <cell r="T599">
            <v>180</v>
          </cell>
          <cell r="W599" t="str">
            <v>PERSONAL MEMBERSHIP DUES</v>
          </cell>
          <cell r="X599">
            <v>1.1073082343466881E-3</v>
          </cell>
          <cell r="Y599">
            <v>3.7291462217860648E-3</v>
          </cell>
          <cell r="Z599">
            <v>2.1194605009633911E-3</v>
          </cell>
          <cell r="AA599">
            <v>2.3275635982166272E-3</v>
          </cell>
          <cell r="AB599">
            <v>3.2947722946258602E-3</v>
          </cell>
          <cell r="AC599">
            <v>-6.5616797900262466E-5</v>
          </cell>
          <cell r="AD599">
            <v>-1.4160294534126309E-4</v>
          </cell>
          <cell r="AE599">
            <v>9.7624471200780994E-4</v>
          </cell>
          <cell r="AF599">
            <v>7.9681274900398409E-4</v>
          </cell>
          <cell r="AG599">
            <v>6.0620756547041708E-5</v>
          </cell>
          <cell r="AH599">
            <v>3.8320049049662781E-5</v>
          </cell>
          <cell r="AI599">
            <v>2.1761996300460629E-4</v>
          </cell>
          <cell r="AJ599">
            <v>0</v>
          </cell>
          <cell r="AK599">
            <v>4.588559192413582E-4</v>
          </cell>
          <cell r="AL599">
            <v>6.3534278959810871E-3</v>
          </cell>
          <cell r="AM599">
            <v>8.6574635205968926E-4</v>
          </cell>
          <cell r="AN599">
            <v>9.3653907188977973E-4</v>
          </cell>
        </row>
        <row r="600">
          <cell r="C600" t="str">
            <v>QUALITY PROCESS AWARDS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W600" t="str">
            <v>QUALITY PROCESS AWARDS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</row>
        <row r="601">
          <cell r="C601" t="str">
            <v>QUALITY PROC REG FEE-3M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W601" t="str">
            <v>QUALITY PROC REG FEE-3M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</row>
        <row r="602">
          <cell r="C602" t="str">
            <v>AUTO OPERATING EXP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W602" t="str">
            <v>AUTO OPERATING EXP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</row>
        <row r="603">
          <cell r="C603" t="str">
            <v>LIBRARY-BOOKS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26</v>
          </cell>
          <cell r="S603">
            <v>26</v>
          </cell>
          <cell r="T603">
            <v>26</v>
          </cell>
          <cell r="W603" t="str">
            <v>LIBRARY-BOOKS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3.8416075650118202E-3</v>
          </cell>
          <cell r="AM603">
            <v>4.0926191188276218E-4</v>
          </cell>
          <cell r="AN603">
            <v>1.3527786593963486E-4</v>
          </cell>
        </row>
        <row r="604">
          <cell r="C604" t="str">
            <v>TRADE + BUS ASSOC DUES</v>
          </cell>
          <cell r="D604">
            <v>156</v>
          </cell>
          <cell r="E604">
            <v>13</v>
          </cell>
          <cell r="F604">
            <v>-2</v>
          </cell>
          <cell r="G604">
            <v>167</v>
          </cell>
          <cell r="H604">
            <v>1</v>
          </cell>
          <cell r="I604">
            <v>1</v>
          </cell>
          <cell r="J604">
            <v>94</v>
          </cell>
          <cell r="K604">
            <v>96</v>
          </cell>
          <cell r="L604">
            <v>25</v>
          </cell>
          <cell r="M604">
            <v>-1</v>
          </cell>
          <cell r="N604">
            <v>-1</v>
          </cell>
          <cell r="O604">
            <v>23</v>
          </cell>
          <cell r="P604">
            <v>1</v>
          </cell>
          <cell r="Q604">
            <v>-2</v>
          </cell>
          <cell r="R604">
            <v>2</v>
          </cell>
          <cell r="S604">
            <v>1</v>
          </cell>
          <cell r="T604">
            <v>287</v>
          </cell>
          <cell r="W604" t="str">
            <v>TRADE + BUS ASSOC DUES</v>
          </cell>
          <cell r="X604">
            <v>1.570364405073485E-2</v>
          </cell>
          <cell r="Y604">
            <v>1.2757605495583907E-3</v>
          </cell>
          <cell r="Z604">
            <v>-1.9267822736030829E-4</v>
          </cell>
          <cell r="AA604">
            <v>5.4746918436926308E-3</v>
          </cell>
          <cell r="AB604">
            <v>7.3217162102796898E-5</v>
          </cell>
          <cell r="AC604">
            <v>6.5616797900262466E-5</v>
          </cell>
          <cell r="AD604">
            <v>6.6553384310393659E-3</v>
          </cell>
          <cell r="AE604">
            <v>2.2314164845892801E-3</v>
          </cell>
          <cell r="AF604">
            <v>1.9920318725099601E-3</v>
          </cell>
          <cell r="AG604">
            <v>-6.0620756547041708E-5</v>
          </cell>
          <cell r="AH604">
            <v>-3.8320049049662781E-5</v>
          </cell>
          <cell r="AI604">
            <v>4.1710492909216205E-4</v>
          </cell>
          <cell r="AJ604">
            <v>3.2670129700414909E-5</v>
          </cell>
          <cell r="AK604">
            <v>-7.6475986540226371E-5</v>
          </cell>
          <cell r="AL604">
            <v>2.9550827423167848E-4</v>
          </cell>
          <cell r="AM604">
            <v>1.5740842764721624E-5</v>
          </cell>
          <cell r="AN604">
            <v>1.4932595201798155E-3</v>
          </cell>
        </row>
        <row r="605">
          <cell r="C605" t="str">
            <v>DISMANTLING COSTS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W605" t="str">
            <v>DISMANTLING COSTS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</row>
        <row r="606">
          <cell r="C606" t="str">
            <v>ISO 9000 CERT PROG COSTS</v>
          </cell>
          <cell r="D606">
            <v>0</v>
          </cell>
          <cell r="E606">
            <v>33</v>
          </cell>
          <cell r="F606">
            <v>0</v>
          </cell>
          <cell r="G606">
            <v>33</v>
          </cell>
          <cell r="H606">
            <v>0</v>
          </cell>
          <cell r="I606">
            <v>0</v>
          </cell>
          <cell r="J606">
            <v>-1</v>
          </cell>
          <cell r="K606">
            <v>-1</v>
          </cell>
          <cell r="L606">
            <v>1</v>
          </cell>
          <cell r="M606">
            <v>0</v>
          </cell>
          <cell r="N606">
            <v>0</v>
          </cell>
          <cell r="O606">
            <v>1</v>
          </cell>
          <cell r="P606">
            <v>-1</v>
          </cell>
          <cell r="Q606">
            <v>0</v>
          </cell>
          <cell r="R606">
            <v>0</v>
          </cell>
          <cell r="S606">
            <v>-1</v>
          </cell>
          <cell r="T606">
            <v>32</v>
          </cell>
          <cell r="W606" t="str">
            <v>ISO 9000 CERT PROG COSTS</v>
          </cell>
          <cell r="X606">
            <v>0</v>
          </cell>
          <cell r="Y606">
            <v>3.2384690873405301E-3</v>
          </cell>
          <cell r="Z606">
            <v>0</v>
          </cell>
          <cell r="AA606">
            <v>1.0818253343823762E-3</v>
          </cell>
          <cell r="AB606">
            <v>0</v>
          </cell>
          <cell r="AC606">
            <v>0</v>
          </cell>
          <cell r="AD606">
            <v>-7.0801472670631546E-5</v>
          </cell>
          <cell r="AE606">
            <v>-2.3243921714471664E-5</v>
          </cell>
          <cell r="AF606">
            <v>7.9681274900398409E-5</v>
          </cell>
          <cell r="AG606">
            <v>0</v>
          </cell>
          <cell r="AH606">
            <v>0</v>
          </cell>
          <cell r="AI606">
            <v>1.8134996917050524E-5</v>
          </cell>
          <cell r="AJ606">
            <v>-3.2670129700414909E-5</v>
          </cell>
          <cell r="AK606">
            <v>0</v>
          </cell>
          <cell r="AL606">
            <v>0</v>
          </cell>
          <cell r="AM606">
            <v>-1.5740842764721624E-5</v>
          </cell>
          <cell r="AN606">
            <v>1.6649583500262752E-4</v>
          </cell>
        </row>
        <row r="607">
          <cell r="C607" t="str">
            <v>CASH DISC ON PURCHASES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W607" t="str">
            <v>CASH DISC ON PURCHASES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</row>
        <row r="608">
          <cell r="C608" t="str">
            <v>SPOILAGE</v>
          </cell>
          <cell r="D608">
            <v>27</v>
          </cell>
          <cell r="E608">
            <v>2</v>
          </cell>
          <cell r="F608">
            <v>38</v>
          </cell>
          <cell r="G608">
            <v>67</v>
          </cell>
          <cell r="H608">
            <v>30</v>
          </cell>
          <cell r="I608">
            <v>79</v>
          </cell>
          <cell r="J608">
            <v>152</v>
          </cell>
          <cell r="K608">
            <v>261</v>
          </cell>
          <cell r="L608">
            <v>35</v>
          </cell>
          <cell r="M608">
            <v>3370</v>
          </cell>
          <cell r="N608">
            <v>7</v>
          </cell>
          <cell r="O608">
            <v>3412</v>
          </cell>
          <cell r="P608">
            <v>4</v>
          </cell>
          <cell r="Q608">
            <v>1</v>
          </cell>
          <cell r="R608">
            <v>3</v>
          </cell>
          <cell r="S608">
            <v>8</v>
          </cell>
          <cell r="T608">
            <v>3748</v>
          </cell>
          <cell r="W608" t="str">
            <v>SPOILAGE</v>
          </cell>
          <cell r="X608">
            <v>2.7179383933964162E-3</v>
          </cell>
          <cell r="Y608">
            <v>1.9627085377821394E-4</v>
          </cell>
          <cell r="Z608">
            <v>3.6608863198458576E-3</v>
          </cell>
          <cell r="AA608">
            <v>2.1964332546551271E-3</v>
          </cell>
          <cell r="AB608">
            <v>2.196514863083907E-3</v>
          </cell>
          <cell r="AC608">
            <v>5.1837270341207348E-3</v>
          </cell>
          <cell r="AD608">
            <v>1.0761823845935995E-2</v>
          </cell>
          <cell r="AE608">
            <v>6.0666635674771052E-3</v>
          </cell>
          <cell r="AF608">
            <v>2.7888446215139444E-3</v>
          </cell>
          <cell r="AG608">
            <v>0.20429194956353056</v>
          </cell>
          <cell r="AH608">
            <v>2.6824034334763948E-4</v>
          </cell>
          <cell r="AI608">
            <v>6.187660948097639E-2</v>
          </cell>
          <cell r="AJ608">
            <v>1.3068051880165963E-4</v>
          </cell>
          <cell r="AK608">
            <v>3.8237993270113186E-5</v>
          </cell>
          <cell r="AL608">
            <v>4.4326241134751772E-4</v>
          </cell>
          <cell r="AM608">
            <v>1.25926742117773E-4</v>
          </cell>
          <cell r="AN608">
            <v>1.9500824674682747E-2</v>
          </cell>
        </row>
        <row r="609">
          <cell r="C609" t="str">
            <v>CLASS 3 ESTIMATES ASSET REALIZA.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W609" t="str">
            <v>CLASS 3 ESTIMATES ASSET REALIZA.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</row>
        <row r="610">
          <cell r="C610" t="str">
            <v>INVENTORY ADJUST-MATERIAL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W610" t="str">
            <v>INVENTORY ADJUST-MATERIAL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</row>
        <row r="611">
          <cell r="C611" t="str">
            <v>OUTSIDE MEDICAL LAB EXP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W611" t="str">
            <v>OUTSIDE MEDICAL LAB EXP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</row>
        <row r="612">
          <cell r="C612" t="str">
            <v>X-RAY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W612" t="str">
            <v>X-RAY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</row>
        <row r="613">
          <cell r="C613" t="str">
            <v>AMORT OF M + S STORES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W613" t="str">
            <v>AMORT OF M + S STORES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</row>
        <row r="614">
          <cell r="C614" t="str">
            <v>HEARING CONSERV EXP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W614" t="str">
            <v>HEARING CONSERV EXP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</row>
        <row r="615">
          <cell r="C615" t="str">
            <v>BILLINGS TO WEST LAKE (PVC)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W615" t="str">
            <v>BILLINGS TO WEST LAKE (PVC)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</row>
        <row r="616">
          <cell r="C616" t="str">
            <v>RECOVERY-GEN + ADMIN EXPS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W616" t="str">
            <v>RECOVERY-GEN + ADMIN EXPS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</row>
        <row r="617">
          <cell r="C617" t="str">
            <v>SALES - SCRAP</v>
          </cell>
          <cell r="D617">
            <v>0</v>
          </cell>
          <cell r="E617">
            <v>-193</v>
          </cell>
          <cell r="F617">
            <v>22</v>
          </cell>
          <cell r="G617">
            <v>-171</v>
          </cell>
          <cell r="H617">
            <v>-50</v>
          </cell>
          <cell r="I617">
            <v>19</v>
          </cell>
          <cell r="J617">
            <v>-7</v>
          </cell>
          <cell r="K617">
            <v>-38</v>
          </cell>
          <cell r="L617">
            <v>-11</v>
          </cell>
          <cell r="M617">
            <v>12</v>
          </cell>
          <cell r="N617">
            <v>-414</v>
          </cell>
          <cell r="O617">
            <v>-413</v>
          </cell>
          <cell r="P617">
            <v>-50</v>
          </cell>
          <cell r="Q617">
            <v>-27</v>
          </cell>
          <cell r="R617">
            <v>-31</v>
          </cell>
          <cell r="S617">
            <v>-108</v>
          </cell>
          <cell r="T617">
            <v>-730</v>
          </cell>
          <cell r="W617" t="str">
            <v>SALES - SCRAP</v>
          </cell>
          <cell r="X617">
            <v>0</v>
          </cell>
          <cell r="Y617">
            <v>-1.8940137389597645E-2</v>
          </cell>
          <cell r="Z617">
            <v>2.1194605009633911E-3</v>
          </cell>
          <cell r="AA617">
            <v>-5.6058221872541305E-3</v>
          </cell>
          <cell r="AB617">
            <v>-3.6608581051398447E-3</v>
          </cell>
          <cell r="AC617">
            <v>1.2467191601049869E-3</v>
          </cell>
          <cell r="AD617">
            <v>-4.9561030869442089E-4</v>
          </cell>
          <cell r="AE617">
            <v>-8.8326902514992327E-4</v>
          </cell>
          <cell r="AF617">
            <v>-8.764940239043825E-4</v>
          </cell>
          <cell r="AG617">
            <v>7.2744907856450052E-4</v>
          </cell>
          <cell r="AH617">
            <v>-1.5864500306560392E-2</v>
          </cell>
          <cell r="AI617">
            <v>-7.4897537267418664E-3</v>
          </cell>
          <cell r="AJ617">
            <v>-1.6335064850207456E-3</v>
          </cell>
          <cell r="AK617">
            <v>-1.0324258182930559E-3</v>
          </cell>
          <cell r="AL617">
            <v>-4.5803782505910162E-3</v>
          </cell>
          <cell r="AM617">
            <v>-1.7000110185899353E-3</v>
          </cell>
          <cell r="AN617">
            <v>-3.7981862359974402E-3</v>
          </cell>
        </row>
        <row r="618">
          <cell r="C618" t="str">
            <v>WARRANTY RECOVERIES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W618" t="str">
            <v>WARRANTY RECOVERIES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</row>
        <row r="619">
          <cell r="C619" t="str">
            <v>MAINT OUTAGE ACCRUAL/DEFERRAL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W619" t="str">
            <v>MAINT OUTAGE ACCRUAL/DEFERRAL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</row>
        <row r="620">
          <cell r="C620" t="str">
            <v>BANK OPERATIONAL SERVICE FEE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W620" t="str">
            <v>BANK OPERATIONAL SERVICE FEE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</row>
        <row r="621">
          <cell r="C621" t="str">
            <v>MISC EXP - FACILITATING PAYMENTS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W621" t="str">
            <v>MISC EXP - FACILITATING PAYMENTS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</row>
        <row r="622">
          <cell r="C622" t="str">
            <v>MISCELLANOUS EXP</v>
          </cell>
          <cell r="D622">
            <v>42</v>
          </cell>
          <cell r="E622">
            <v>104</v>
          </cell>
          <cell r="F622">
            <v>1242</v>
          </cell>
          <cell r="G622">
            <v>1388</v>
          </cell>
          <cell r="H622">
            <v>2020</v>
          </cell>
          <cell r="I622">
            <v>167</v>
          </cell>
          <cell r="J622">
            <v>968</v>
          </cell>
          <cell r="K622">
            <v>3155</v>
          </cell>
          <cell r="L622">
            <v>176</v>
          </cell>
          <cell r="M622">
            <v>218</v>
          </cell>
          <cell r="N622">
            <v>266</v>
          </cell>
          <cell r="O622">
            <v>660</v>
          </cell>
          <cell r="P622">
            <v>-32</v>
          </cell>
          <cell r="Q622">
            <v>-2</v>
          </cell>
          <cell r="R622">
            <v>143</v>
          </cell>
          <cell r="S622">
            <v>109</v>
          </cell>
          <cell r="T622">
            <v>5312</v>
          </cell>
          <cell r="W622" t="str">
            <v>MISCELLANOUS EXP</v>
          </cell>
          <cell r="X622">
            <v>4.2279041675055366E-3</v>
          </cell>
          <cell r="Y622">
            <v>1.0206084396467125E-2</v>
          </cell>
          <cell r="Z622">
            <v>0.11965317919075144</v>
          </cell>
          <cell r="AA622">
            <v>4.5502229215840545E-2</v>
          </cell>
          <cell r="AB622">
            <v>0.14789866744764973</v>
          </cell>
          <cell r="AC622">
            <v>1.0958005249343832E-2</v>
          </cell>
          <cell r="AD622">
            <v>6.8535825545171333E-2</v>
          </cell>
          <cell r="AE622">
            <v>7.3334573009158105E-2</v>
          </cell>
          <cell r="AF622">
            <v>1.402390438247012E-2</v>
          </cell>
          <cell r="AG622">
            <v>1.3215324927255093E-2</v>
          </cell>
          <cell r="AH622">
            <v>1.01931330472103E-2</v>
          </cell>
          <cell r="AI622">
            <v>1.1969097965253346E-2</v>
          </cell>
          <cell r="AJ622">
            <v>-1.0454441504132771E-3</v>
          </cell>
          <cell r="AK622">
            <v>-7.6475986540226371E-5</v>
          </cell>
          <cell r="AL622">
            <v>2.1128841607565011E-2</v>
          </cell>
          <cell r="AM622">
            <v>1.7157518613546568E-3</v>
          </cell>
          <cell r="AN622">
            <v>2.7638308610436167E-2</v>
          </cell>
        </row>
        <row r="623">
          <cell r="C623" t="str">
            <v>CAPITAL LEASES MISC COST</v>
          </cell>
          <cell r="D623">
            <v>9</v>
          </cell>
          <cell r="E623">
            <v>7</v>
          </cell>
          <cell r="F623">
            <v>-3</v>
          </cell>
          <cell r="G623">
            <v>13</v>
          </cell>
          <cell r="H623">
            <v>1</v>
          </cell>
          <cell r="I623">
            <v>-2</v>
          </cell>
          <cell r="J623">
            <v>0</v>
          </cell>
          <cell r="K623">
            <v>-1</v>
          </cell>
          <cell r="L623">
            <v>0</v>
          </cell>
          <cell r="M623">
            <v>-1</v>
          </cell>
          <cell r="N623">
            <v>9</v>
          </cell>
          <cell r="O623">
            <v>8</v>
          </cell>
          <cell r="P623">
            <v>13</v>
          </cell>
          <cell r="Q623">
            <v>29</v>
          </cell>
          <cell r="R623">
            <v>14</v>
          </cell>
          <cell r="S623">
            <v>56</v>
          </cell>
          <cell r="T623">
            <v>76</v>
          </cell>
          <cell r="W623" t="str">
            <v>CAPITAL LEASES MISC COST</v>
          </cell>
          <cell r="X623">
            <v>9.0597946446547217E-4</v>
          </cell>
          <cell r="Y623">
            <v>6.8694798822374874E-4</v>
          </cell>
          <cell r="Z623">
            <v>-2.8901734104046245E-4</v>
          </cell>
          <cell r="AA623">
            <v>4.2617361657487543E-4</v>
          </cell>
          <cell r="AB623">
            <v>7.3217162102796898E-5</v>
          </cell>
          <cell r="AC623">
            <v>-1.3123359580052493E-4</v>
          </cell>
          <cell r="AD623">
            <v>0</v>
          </cell>
          <cell r="AE623">
            <v>-2.3243921714471664E-5</v>
          </cell>
          <cell r="AF623">
            <v>0</v>
          </cell>
          <cell r="AG623">
            <v>-6.0620756547041708E-5</v>
          </cell>
          <cell r="AH623">
            <v>3.4488044144696507E-4</v>
          </cell>
          <cell r="AI623">
            <v>1.450799753364042E-4</v>
          </cell>
          <cell r="AJ623">
            <v>4.2471168610539383E-4</v>
          </cell>
          <cell r="AK623">
            <v>1.1089018048332823E-3</v>
          </cell>
          <cell r="AL623">
            <v>2.0685579196217494E-3</v>
          </cell>
          <cell r="AM623">
            <v>8.8148719482441086E-4</v>
          </cell>
          <cell r="AN623">
            <v>3.9542760813124036E-4</v>
          </cell>
        </row>
        <row r="624">
          <cell r="C624" t="str">
            <v>OTHER DEPT COSTS TRF OUT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W624" t="str">
            <v>OTHER DEPT COSTS TRF OUT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</row>
        <row r="625">
          <cell r="C625" t="str">
            <v>OPERATING CHEM TRF OUT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W625" t="str">
            <v>OPERATING CHEM TRF OUT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</row>
        <row r="626">
          <cell r="C626" t="str">
            <v>MISC COST TRF OUT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W626" t="str">
            <v>MISC COST TRF OUT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</row>
        <row r="627">
          <cell r="C627" t="str">
            <v>PRICE VARS TRF OUT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W627" t="str">
            <v>PRICE VARS TRF OUT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</row>
        <row r="628">
          <cell r="C628" t="str">
            <v>RATE VARS TRF OUT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W628" t="str">
            <v>RATE VARS TRF OUT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</row>
        <row r="629">
          <cell r="C629" t="str">
            <v>LIQ/GAS COST TRF OUT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W629" t="str">
            <v>LIQ/GAS COST TRF OUT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</row>
        <row r="630">
          <cell r="C630" t="str">
            <v>MFG COSTS TRF OUT</v>
          </cell>
          <cell r="D630">
            <v>-3515</v>
          </cell>
          <cell r="E630">
            <v>-3791</v>
          </cell>
          <cell r="F630">
            <v>-3659</v>
          </cell>
          <cell r="G630">
            <v>-10965</v>
          </cell>
          <cell r="H630">
            <v>-4095</v>
          </cell>
          <cell r="I630">
            <v>-3765</v>
          </cell>
          <cell r="J630">
            <v>-3738</v>
          </cell>
          <cell r="K630">
            <v>-11598</v>
          </cell>
          <cell r="L630">
            <v>-3810</v>
          </cell>
          <cell r="M630">
            <v>-3657</v>
          </cell>
          <cell r="N630">
            <v>-3622</v>
          </cell>
          <cell r="O630">
            <v>-11089</v>
          </cell>
          <cell r="P630">
            <v>-4346</v>
          </cell>
          <cell r="Q630">
            <v>-3622</v>
          </cell>
          <cell r="R630">
            <v>-4846</v>
          </cell>
          <cell r="S630">
            <v>-12814</v>
          </cell>
          <cell r="T630">
            <v>-46466</v>
          </cell>
          <cell r="W630" t="str">
            <v>MFG COSTS TRF OUT</v>
          </cell>
          <cell r="X630">
            <v>-0.35383531306623717</v>
          </cell>
          <cell r="Y630">
            <v>-0.3720314033366045</v>
          </cell>
          <cell r="Z630">
            <v>-0.35250481695568403</v>
          </cell>
          <cell r="AA630">
            <v>-0.35946105428796221</v>
          </cell>
          <cell r="AB630">
            <v>-0.2998242788109533</v>
          </cell>
          <cell r="AC630">
            <v>-0.24704724409448819</v>
          </cell>
          <cell r="AD630">
            <v>-0.26465590484282076</v>
          </cell>
          <cell r="AE630">
            <v>-0.26958300404444235</v>
          </cell>
          <cell r="AF630">
            <v>-0.3035856573705179</v>
          </cell>
          <cell r="AG630">
            <v>-0.22169010669253153</v>
          </cell>
          <cell r="AH630">
            <v>-0.13879521765787861</v>
          </cell>
          <cell r="AI630">
            <v>-0.20109898081317326</v>
          </cell>
          <cell r="AJ630">
            <v>-0.1419843836780032</v>
          </cell>
          <cell r="AK630">
            <v>-0.13849801162434996</v>
          </cell>
          <cell r="AL630">
            <v>-0.71601654846335694</v>
          </cell>
          <cell r="AM630">
            <v>-0.20170315918714288</v>
          </cell>
          <cell r="AN630">
            <v>-0.24176235841350283</v>
          </cell>
        </row>
        <row r="631">
          <cell r="C631" t="str">
            <v>OTHER INTERCO CHG-TRF OUT</v>
          </cell>
          <cell r="D631">
            <v>4</v>
          </cell>
          <cell r="E631">
            <v>-307</v>
          </cell>
          <cell r="F631">
            <v>10</v>
          </cell>
          <cell r="G631">
            <v>-293</v>
          </cell>
          <cell r="H631">
            <v>-10</v>
          </cell>
          <cell r="I631">
            <v>-64</v>
          </cell>
          <cell r="J631">
            <v>-13</v>
          </cell>
          <cell r="K631">
            <v>-87</v>
          </cell>
          <cell r="L631">
            <v>-4</v>
          </cell>
          <cell r="M631">
            <v>-290</v>
          </cell>
          <cell r="N631">
            <v>-62</v>
          </cell>
          <cell r="O631">
            <v>-356</v>
          </cell>
          <cell r="P631">
            <v>0</v>
          </cell>
          <cell r="Q631">
            <v>-22</v>
          </cell>
          <cell r="R631">
            <v>12</v>
          </cell>
          <cell r="S631">
            <v>-10</v>
          </cell>
          <cell r="T631">
            <v>-746</v>
          </cell>
          <cell r="W631" t="str">
            <v>OTHER INTERCO CHG-TRF OUT</v>
          </cell>
          <cell r="X631">
            <v>4.0265753976243207E-4</v>
          </cell>
          <cell r="Y631">
            <v>-3.0127576054955838E-2</v>
          </cell>
          <cell r="Z631">
            <v>9.6339113680154141E-4</v>
          </cell>
          <cell r="AA631">
            <v>-9.6052976658798847E-3</v>
          </cell>
          <cell r="AB631">
            <v>-7.3217162102796895E-4</v>
          </cell>
          <cell r="AC631">
            <v>-4.1994750656167978E-3</v>
          </cell>
          <cell r="AD631">
            <v>-9.2041914471821019E-4</v>
          </cell>
          <cell r="AE631">
            <v>-2.0222211891590351E-3</v>
          </cell>
          <cell r="AF631">
            <v>-3.1872509960159364E-4</v>
          </cell>
          <cell r="AG631">
            <v>-1.7580019398642094E-2</v>
          </cell>
          <cell r="AH631">
            <v>-2.3758430410790927E-3</v>
          </cell>
          <cell r="AI631">
            <v>-6.4560589024699865E-3</v>
          </cell>
          <cell r="AJ631">
            <v>0</v>
          </cell>
          <cell r="AK631">
            <v>-8.4123585194249004E-4</v>
          </cell>
          <cell r="AL631">
            <v>1.7730496453900709E-3</v>
          </cell>
          <cell r="AM631">
            <v>-1.5740842764721624E-4</v>
          </cell>
          <cell r="AN631">
            <v>-3.8814341534987541E-3</v>
          </cell>
        </row>
        <row r="632">
          <cell r="C632" t="str">
            <v>SALES EST-LABOR TRF OUT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W632" t="str">
            <v>SALES EST-LABOR TRF OUT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</row>
        <row r="633">
          <cell r="C633" t="str">
            <v>OTHER DEPT COSTS TRF IN</v>
          </cell>
          <cell r="D633">
            <v>0</v>
          </cell>
          <cell r="E633">
            <v>5</v>
          </cell>
          <cell r="F633">
            <v>0</v>
          </cell>
          <cell r="G633">
            <v>5</v>
          </cell>
          <cell r="H633">
            <v>0</v>
          </cell>
          <cell r="I633">
            <v>-1</v>
          </cell>
          <cell r="J633">
            <v>1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5</v>
          </cell>
          <cell r="W633" t="str">
            <v>OTHER DEPT COSTS TRF IN</v>
          </cell>
          <cell r="X633">
            <v>0</v>
          </cell>
          <cell r="Y633">
            <v>4.906771344455348E-4</v>
          </cell>
          <cell r="Z633">
            <v>0</v>
          </cell>
          <cell r="AA633">
            <v>1.6391292945187516E-4</v>
          </cell>
          <cell r="AB633">
            <v>0</v>
          </cell>
          <cell r="AC633">
            <v>-6.5616797900262466E-5</v>
          </cell>
          <cell r="AD633">
            <v>7.0801472670631546E-5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2.6014974219160549E-5</v>
          </cell>
        </row>
        <row r="634">
          <cell r="C634" t="str">
            <v>OPERATING CHEM TRF IN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W634" t="str">
            <v>OPERATING CHEM TRF IN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</row>
        <row r="635">
          <cell r="C635" t="str">
            <v>MISC COST TRF IN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W635" t="str">
            <v>MISC COST TRF IN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</row>
        <row r="636">
          <cell r="C636" t="str">
            <v>PRICE VARS TRF IN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W636" t="str">
            <v>PRICE VARS TRF IN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</row>
        <row r="637">
          <cell r="C637" t="str">
            <v>RATE VARS TRF IN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59</v>
          </cell>
          <cell r="J637">
            <v>1</v>
          </cell>
          <cell r="K637">
            <v>60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2</v>
          </cell>
          <cell r="S637">
            <v>2</v>
          </cell>
          <cell r="T637">
            <v>62</v>
          </cell>
          <cell r="W637" t="str">
            <v>RATE VARS TRF IN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3.8713910761154855E-3</v>
          </cell>
          <cell r="AD637">
            <v>7.0801472670631546E-5</v>
          </cell>
          <cell r="AE637">
            <v>1.3946353028682999E-3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2.9550827423167848E-4</v>
          </cell>
          <cell r="AM637">
            <v>3.1481685529443249E-5</v>
          </cell>
          <cell r="AN637">
            <v>3.225856803175908E-4</v>
          </cell>
        </row>
        <row r="638">
          <cell r="C638" t="str">
            <v>LIQ/GAS COST TRF IN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W638" t="str">
            <v>LIQ/GAS COST TRF IN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</row>
        <row r="639">
          <cell r="C639" t="str">
            <v>TRF IN MFG COSTS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W639" t="str">
            <v>TRF IN MFG COSTS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</row>
        <row r="640">
          <cell r="C640" t="str">
            <v>IWO CHGS TRF IN - CHANGES / ALTERS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W640" t="str">
            <v>IWO CHGS TRF IN - CHANGES / ALTERS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</row>
        <row r="641">
          <cell r="C641" t="str">
            <v>IWO CHG TR-IN ENGR SERV</v>
          </cell>
          <cell r="D641">
            <v>168</v>
          </cell>
          <cell r="E641">
            <v>6</v>
          </cell>
          <cell r="F641">
            <v>0</v>
          </cell>
          <cell r="G641">
            <v>174</v>
          </cell>
          <cell r="H641">
            <v>6</v>
          </cell>
          <cell r="I641">
            <v>0</v>
          </cell>
          <cell r="J641">
            <v>-1</v>
          </cell>
          <cell r="K641">
            <v>5</v>
          </cell>
          <cell r="L641">
            <v>1</v>
          </cell>
          <cell r="M641">
            <v>-1</v>
          </cell>
          <cell r="N641">
            <v>-1</v>
          </cell>
          <cell r="O641">
            <v>-1</v>
          </cell>
          <cell r="P641">
            <v>3</v>
          </cell>
          <cell r="Q641">
            <v>-1</v>
          </cell>
          <cell r="R641">
            <v>4</v>
          </cell>
          <cell r="S641">
            <v>6</v>
          </cell>
          <cell r="T641">
            <v>184</v>
          </cell>
          <cell r="W641" t="str">
            <v>IWO CHG TR-IN ENGR SERV</v>
          </cell>
          <cell r="X641">
            <v>1.6911616670022146E-2</v>
          </cell>
          <cell r="Y641">
            <v>5.8881256133464183E-4</v>
          </cell>
          <cell r="Z641">
            <v>0</v>
          </cell>
          <cell r="AA641">
            <v>5.7041699449252555E-3</v>
          </cell>
          <cell r="AB641">
            <v>4.3930297261678136E-4</v>
          </cell>
          <cell r="AC641">
            <v>0</v>
          </cell>
          <cell r="AD641">
            <v>-7.0801472670631546E-5</v>
          </cell>
          <cell r="AE641">
            <v>1.1621960857235833E-4</v>
          </cell>
          <cell r="AF641">
            <v>7.9681274900398409E-5</v>
          </cell>
          <cell r="AG641">
            <v>-6.0620756547041708E-5</v>
          </cell>
          <cell r="AH641">
            <v>-3.8320049049662781E-5</v>
          </cell>
          <cell r="AI641">
            <v>-1.8134996917050524E-5</v>
          </cell>
          <cell r="AJ641">
            <v>9.8010389101244733E-5</v>
          </cell>
          <cell r="AK641">
            <v>-3.8237993270113186E-5</v>
          </cell>
          <cell r="AL641">
            <v>5.9101654846335696E-4</v>
          </cell>
          <cell r="AM641">
            <v>9.4445056588329733E-5</v>
          </cell>
          <cell r="AN641">
            <v>9.5735105126510821E-4</v>
          </cell>
        </row>
        <row r="642">
          <cell r="C642" t="str">
            <v>IWO CHG TRF IN</v>
          </cell>
          <cell r="D642">
            <v>9899</v>
          </cell>
          <cell r="E642">
            <v>13829</v>
          </cell>
          <cell r="F642">
            <v>13962</v>
          </cell>
          <cell r="G642">
            <v>37690</v>
          </cell>
          <cell r="H642">
            <v>3768</v>
          </cell>
          <cell r="I642">
            <v>8018</v>
          </cell>
          <cell r="J642">
            <v>6296</v>
          </cell>
          <cell r="K642">
            <v>18082</v>
          </cell>
          <cell r="L642">
            <v>11480</v>
          </cell>
          <cell r="M642">
            <v>5215</v>
          </cell>
          <cell r="N642">
            <v>8903</v>
          </cell>
          <cell r="O642">
            <v>25598</v>
          </cell>
          <cell r="P642">
            <v>3354</v>
          </cell>
          <cell r="Q642">
            <v>2770</v>
          </cell>
          <cell r="R642">
            <v>5287</v>
          </cell>
          <cell r="S642">
            <v>11411</v>
          </cell>
          <cell r="T642">
            <v>92781</v>
          </cell>
          <cell r="W642" t="str">
            <v>IWO CHG TRF IN</v>
          </cell>
          <cell r="X642">
            <v>0.99647674652707874</v>
          </cell>
          <cell r="Y642">
            <v>1.3571148184494604</v>
          </cell>
          <cell r="Z642">
            <v>1.3450867052023121</v>
          </cell>
          <cell r="AA642">
            <v>1.235575662208235</v>
          </cell>
          <cell r="AB642">
            <v>0.27588226680333872</v>
          </cell>
          <cell r="AC642">
            <v>0.52611548556430443</v>
          </cell>
          <cell r="AD642">
            <v>0.44576607193429624</v>
          </cell>
          <cell r="AE642">
            <v>0.42029659244107664</v>
          </cell>
          <cell r="AF642">
            <v>0.91474103585657374</v>
          </cell>
          <cell r="AG642">
            <v>0.31613724539282251</v>
          </cell>
          <cell r="AH642">
            <v>0.34116339668914775</v>
          </cell>
          <cell r="AI642">
            <v>0.46421965108265933</v>
          </cell>
          <cell r="AJ642">
            <v>0.10957561501519161</v>
          </cell>
          <cell r="AK642">
            <v>0.10591924135821353</v>
          </cell>
          <cell r="AL642">
            <v>0.78117612293144212</v>
          </cell>
          <cell r="AM642">
            <v>0.17961875678823844</v>
          </cell>
          <cell r="AN642">
            <v>0.48273906460558696</v>
          </cell>
        </row>
        <row r="643">
          <cell r="C643" t="str">
            <v>OTHER INTERCO CHRG TRF IN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23</v>
          </cell>
          <cell r="I643">
            <v>-2</v>
          </cell>
          <cell r="J643">
            <v>0</v>
          </cell>
          <cell r="K643">
            <v>21</v>
          </cell>
          <cell r="L643">
            <v>1</v>
          </cell>
          <cell r="M643">
            <v>-1</v>
          </cell>
          <cell r="N643">
            <v>0</v>
          </cell>
          <cell r="O643">
            <v>0</v>
          </cell>
          <cell r="P643">
            <v>0</v>
          </cell>
          <cell r="Q643">
            <v>1</v>
          </cell>
          <cell r="R643">
            <v>-1</v>
          </cell>
          <cell r="S643">
            <v>0</v>
          </cell>
          <cell r="T643">
            <v>21</v>
          </cell>
          <cell r="W643" t="str">
            <v>OTHER INTERCO CHRG TRF IN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1.6839947283643286E-3</v>
          </cell>
          <cell r="AC643">
            <v>-1.3123359580052493E-4</v>
          </cell>
          <cell r="AD643">
            <v>0</v>
          </cell>
          <cell r="AE643">
            <v>4.8812235600390497E-4</v>
          </cell>
          <cell r="AF643">
            <v>7.9681274900398409E-5</v>
          </cell>
          <cell r="AG643">
            <v>-6.0620756547041708E-5</v>
          </cell>
          <cell r="AH643">
            <v>0</v>
          </cell>
          <cell r="AI643">
            <v>0</v>
          </cell>
          <cell r="AJ643">
            <v>0</v>
          </cell>
          <cell r="AK643">
            <v>3.8237993270113186E-5</v>
          </cell>
          <cell r="AL643">
            <v>-1.4775413711583924E-4</v>
          </cell>
          <cell r="AM643">
            <v>0</v>
          </cell>
          <cell r="AN643">
            <v>1.092628917204743E-4</v>
          </cell>
        </row>
        <row r="644">
          <cell r="C644" t="str">
            <v>ALLOC RENTAL AND DEPRECIATION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W644" t="str">
            <v>ALLOC RENTAL AND DEPRECIATION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</row>
        <row r="645">
          <cell r="C645" t="str">
            <v>ALLOC SPEC GAS CYLINDER EXP TRF IN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W645" t="str">
            <v>ALLOC SPEC GAS CYLINDER EXP TRF IN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</row>
        <row r="646">
          <cell r="C646" t="str">
            <v>WHSE EXP TRF IN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W646" t="str">
            <v>WHSE EXP TRF IN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</row>
        <row r="647">
          <cell r="C647" t="str">
            <v>TOTAL OTHER</v>
          </cell>
          <cell r="D647">
            <v>14114</v>
          </cell>
          <cell r="E647">
            <v>19786</v>
          </cell>
          <cell r="F647">
            <v>24783</v>
          </cell>
          <cell r="G647">
            <v>58683</v>
          </cell>
          <cell r="H647">
            <v>9761</v>
          </cell>
          <cell r="I647">
            <v>11319</v>
          </cell>
          <cell r="J647">
            <v>10185</v>
          </cell>
          <cell r="K647">
            <v>31265</v>
          </cell>
          <cell r="L647">
            <v>17416</v>
          </cell>
          <cell r="M647">
            <v>10451</v>
          </cell>
          <cell r="N647">
            <v>8193</v>
          </cell>
          <cell r="O647">
            <v>36060</v>
          </cell>
          <cell r="P647">
            <v>7936</v>
          </cell>
          <cell r="Q647">
            <v>4067</v>
          </cell>
          <cell r="R647">
            <v>9528</v>
          </cell>
          <cell r="S647">
            <v>21531</v>
          </cell>
          <cell r="T647">
            <v>147539</v>
          </cell>
          <cell r="W647" t="str">
            <v>TOTAL OTHER</v>
          </cell>
          <cell r="X647">
            <v>1.4207771290517415</v>
          </cell>
          <cell r="Y647">
            <v>1.9417075564278705</v>
          </cell>
          <cell r="Z647">
            <v>2.38757225433526</v>
          </cell>
          <cell r="AA647">
            <v>1.9237804878048781</v>
          </cell>
          <cell r="AB647">
            <v>0.71467271928540055</v>
          </cell>
          <cell r="AC647">
            <v>0.74271653543307081</v>
          </cell>
          <cell r="AD647">
            <v>0.72111299915038229</v>
          </cell>
          <cell r="AE647">
            <v>0.72672121240295662</v>
          </cell>
          <cell r="AF647">
            <v>1.3877290836653386</v>
          </cell>
          <cell r="AG647">
            <v>0.63354752667313285</v>
          </cell>
          <cell r="AH647">
            <v>0.3139561618638872</v>
          </cell>
          <cell r="AI647">
            <v>0.65394798882884186</v>
          </cell>
          <cell r="AJ647">
            <v>0.25927014930249276</v>
          </cell>
          <cell r="AK647">
            <v>0.15551391862955033</v>
          </cell>
          <cell r="AL647">
            <v>1.4078014184397163</v>
          </cell>
          <cell r="AM647">
            <v>0.33891608556722125</v>
          </cell>
          <cell r="AN647">
            <v>0.76764465626414569</v>
          </cell>
        </row>
        <row r="649">
          <cell r="C649" t="str">
            <v>SPENDING X RAW MAT'L &amp; CONTAINERS</v>
          </cell>
          <cell r="D649">
            <v>413825</v>
          </cell>
          <cell r="E649">
            <v>447951</v>
          </cell>
          <cell r="F649">
            <v>405752</v>
          </cell>
          <cell r="G649">
            <v>1267528</v>
          </cell>
          <cell r="H649">
            <v>488527</v>
          </cell>
          <cell r="I649">
            <v>437015</v>
          </cell>
          <cell r="J649">
            <v>450944</v>
          </cell>
          <cell r="K649">
            <v>1376486</v>
          </cell>
          <cell r="L649">
            <v>482504</v>
          </cell>
          <cell r="M649">
            <v>444154</v>
          </cell>
          <cell r="N649">
            <v>464066</v>
          </cell>
          <cell r="O649">
            <v>1390724</v>
          </cell>
          <cell r="P649">
            <v>558748</v>
          </cell>
          <cell r="Q649">
            <v>480295</v>
          </cell>
          <cell r="R649">
            <v>587798</v>
          </cell>
          <cell r="S649">
            <v>1626841</v>
          </cell>
          <cell r="T649">
            <v>5661579</v>
          </cell>
          <cell r="W649" t="str">
            <v>SPENDING X RAW MAT'L &amp; CONTAINERS</v>
          </cell>
          <cell r="X649">
            <v>41.657439098047114</v>
          </cell>
          <cell r="Y649">
            <v>43.959862610402354</v>
          </cell>
          <cell r="Z649">
            <v>39.089788053949903</v>
          </cell>
          <cell r="AA649">
            <v>41.552845528455286</v>
          </cell>
          <cell r="AB649">
            <v>35.768560550593058</v>
          </cell>
          <cell r="AC649">
            <v>28.675524934383201</v>
          </cell>
          <cell r="AD649">
            <v>31.927499291985274</v>
          </cell>
          <cell r="AE649">
            <v>31.994932825066247</v>
          </cell>
          <cell r="AF649">
            <v>38.446533864541834</v>
          </cell>
          <cell r="AG649">
            <v>26.924951503394762</v>
          </cell>
          <cell r="AH649">
            <v>17.78303188228081</v>
          </cell>
          <cell r="AI649">
            <v>25.220775452468175</v>
          </cell>
          <cell r="AJ649">
            <v>18.254369629847432</v>
          </cell>
          <cell r="AK649">
            <v>18.365516977669014</v>
          </cell>
          <cell r="AL649">
            <v>86.849586288416077</v>
          </cell>
          <cell r="AM649">
            <v>25.607848384202491</v>
          </cell>
          <cell r="AN649">
            <v>29.457166344948153</v>
          </cell>
        </row>
        <row r="650">
          <cell r="C650" t="str">
            <v xml:space="preserve">   (Total Fixed Costs)</v>
          </cell>
          <cell r="D650" t="str">
            <v xml:space="preserve"> </v>
          </cell>
          <cell r="E650" t="str">
            <v xml:space="preserve"> </v>
          </cell>
          <cell r="F650" t="str">
            <v xml:space="preserve"> </v>
          </cell>
          <cell r="G650" t="str">
            <v xml:space="preserve"> </v>
          </cell>
          <cell r="H650" t="str">
            <v xml:space="preserve"> </v>
          </cell>
          <cell r="I650" t="str">
            <v xml:space="preserve"> </v>
          </cell>
          <cell r="J650" t="str">
            <v xml:space="preserve"> </v>
          </cell>
          <cell r="K650" t="str">
            <v xml:space="preserve"> </v>
          </cell>
          <cell r="L650" t="str">
            <v xml:space="preserve"> </v>
          </cell>
          <cell r="M650" t="str">
            <v xml:space="preserve"> 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W650" t="str">
            <v xml:space="preserve">   (Total Fixed Costs)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  <cell r="AB650" t="str">
            <v xml:space="preserve"> </v>
          </cell>
          <cell r="AC650" t="str">
            <v xml:space="preserve"> </v>
          </cell>
          <cell r="AD650" t="str">
            <v xml:space="preserve"> </v>
          </cell>
          <cell r="AE650" t="str">
            <v xml:space="preserve"> </v>
          </cell>
          <cell r="AF650" t="str">
            <v xml:space="preserve"> </v>
          </cell>
          <cell r="AG650" t="str">
            <v xml:space="preserve"> </v>
          </cell>
          <cell r="AH650" t="str">
            <v xml:space="preserve"> </v>
          </cell>
          <cell r="AI650" t="str">
            <v xml:space="preserve"> </v>
          </cell>
          <cell r="AJ650" t="str">
            <v xml:space="preserve"> </v>
          </cell>
          <cell r="AK650" t="str">
            <v xml:space="preserve"> </v>
          </cell>
          <cell r="AL650" t="str">
            <v xml:space="preserve"> </v>
          </cell>
          <cell r="AM650" t="str">
            <v xml:space="preserve"> </v>
          </cell>
        </row>
        <row r="652">
          <cell r="C652" t="str">
            <v>Total Variable Costs</v>
          </cell>
          <cell r="D652">
            <v>100635</v>
          </cell>
          <cell r="E652">
            <v>94165</v>
          </cell>
          <cell r="F652">
            <v>104206</v>
          </cell>
          <cell r="G652">
            <v>299006</v>
          </cell>
          <cell r="H652">
            <v>131081</v>
          </cell>
          <cell r="I652">
            <v>132460</v>
          </cell>
          <cell r="J652">
            <v>132128</v>
          </cell>
          <cell r="K652">
            <v>395669</v>
          </cell>
          <cell r="L652">
            <v>65398</v>
          </cell>
          <cell r="M652">
            <v>179271</v>
          </cell>
          <cell r="N652">
            <v>212120</v>
          </cell>
          <cell r="O652">
            <v>456789</v>
          </cell>
          <cell r="P652">
            <v>230972</v>
          </cell>
          <cell r="Q652">
            <v>225253</v>
          </cell>
          <cell r="R652">
            <v>105661</v>
          </cell>
          <cell r="S652">
            <v>561886</v>
          </cell>
          <cell r="T652">
            <v>1713350</v>
          </cell>
          <cell r="W652" t="str">
            <v>Total Variable Costs</v>
          </cell>
          <cell r="X652">
            <v>10.130360378498088</v>
          </cell>
          <cell r="Y652">
            <v>9.2409224730127573</v>
          </cell>
          <cell r="Z652">
            <v>10.039113680154143</v>
          </cell>
          <cell r="AA652">
            <v>9.8021898767374775</v>
          </cell>
          <cell r="AB652">
            <v>9.5973788255967207</v>
          </cell>
          <cell r="AC652">
            <v>8.6916010498687672</v>
          </cell>
          <cell r="AD652">
            <v>9.3548569810252058</v>
          </cell>
          <cell r="AE652">
            <v>9.1968992608432902</v>
          </cell>
          <cell r="AF652">
            <v>5.2109960159362547</v>
          </cell>
          <cell r="AG652">
            <v>10.867543646944714</v>
          </cell>
          <cell r="AH652">
            <v>8.1284488044144698</v>
          </cell>
          <cell r="AI652">
            <v>8.2838671067425924</v>
          </cell>
          <cell r="AJ652">
            <v>7.5458851971642327</v>
          </cell>
          <cell r="AK652">
            <v>8.6132226980728053</v>
          </cell>
          <cell r="AL652">
            <v>15.61184988179669</v>
          </cell>
          <cell r="AM652">
            <v>8.8445591776983736</v>
          </cell>
          <cell r="AN652">
            <v>8.9145512156797455</v>
          </cell>
        </row>
        <row r="655">
          <cell r="C655" t="str">
            <v>TOTAL PLANT SPENDING</v>
          </cell>
          <cell r="D655">
            <v>514460</v>
          </cell>
          <cell r="E655">
            <v>542116</v>
          </cell>
          <cell r="F655">
            <v>509958</v>
          </cell>
          <cell r="G655">
            <v>1566534</v>
          </cell>
          <cell r="H655">
            <v>619608</v>
          </cell>
          <cell r="I655">
            <v>569475</v>
          </cell>
          <cell r="J655">
            <v>583072</v>
          </cell>
          <cell r="K655">
            <v>1772155</v>
          </cell>
          <cell r="L655">
            <v>547902</v>
          </cell>
          <cell r="M655">
            <v>623425</v>
          </cell>
          <cell r="N655">
            <v>676186</v>
          </cell>
          <cell r="O655">
            <v>1847513</v>
          </cell>
          <cell r="P655">
            <v>789720</v>
          </cell>
          <cell r="Q655">
            <v>705548</v>
          </cell>
          <cell r="R655">
            <v>693459</v>
          </cell>
          <cell r="S655">
            <v>2188727</v>
          </cell>
          <cell r="T655">
            <v>7374929</v>
          </cell>
          <cell r="W655" t="str">
            <v>TOTAL PLANT SPENDING</v>
          </cell>
          <cell r="X655">
            <v>51.787799476545196</v>
          </cell>
          <cell r="Y655">
            <v>53.200785083415113</v>
          </cell>
          <cell r="Z655">
            <v>49.128901734104048</v>
          </cell>
          <cell r="AA655">
            <v>51.355035405192758</v>
          </cell>
          <cell r="AB655">
            <v>45.365939376189779</v>
          </cell>
          <cell r="AC655">
            <v>37.36712598425197</v>
          </cell>
          <cell r="AD655">
            <v>41.282356273010478</v>
          </cell>
          <cell r="AE655">
            <v>41.191832085909532</v>
          </cell>
          <cell r="AF655">
            <v>43.657529880478087</v>
          </cell>
          <cell r="AG655">
            <v>37.792495150339477</v>
          </cell>
          <cell r="AH655">
            <v>25.911480686695278</v>
          </cell>
          <cell r="AI655">
            <v>33.504642559210765</v>
          </cell>
          <cell r="AJ655">
            <v>25.800254827011663</v>
          </cell>
          <cell r="AK655">
            <v>26.978739675741817</v>
          </cell>
          <cell r="AL655">
            <v>102.46143617021276</v>
          </cell>
          <cell r="AM655">
            <v>34.452407561900863</v>
          </cell>
          <cell r="AN655">
            <v>38.3717175606279</v>
          </cell>
        </row>
        <row r="657">
          <cell r="C657" t="str">
            <v>VARIABLE COST DETAILS</v>
          </cell>
          <cell r="W657" t="str">
            <v>VARIABLE COST DETAILS</v>
          </cell>
        </row>
        <row r="658">
          <cell r="C658" t="str">
            <v>DIRECT MATERIAL</v>
          </cell>
          <cell r="D658">
            <v>6677</v>
          </cell>
          <cell r="E658">
            <v>0</v>
          </cell>
          <cell r="F658">
            <v>0</v>
          </cell>
          <cell r="G658">
            <v>6677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5817</v>
          </cell>
          <cell r="R658">
            <v>0</v>
          </cell>
          <cell r="S658">
            <v>5817</v>
          </cell>
          <cell r="T658">
            <v>12494</v>
          </cell>
          <cell r="W658" t="str">
            <v>DIRECT MATERIAL</v>
          </cell>
          <cell r="X658">
            <v>0.67213609824843967</v>
          </cell>
          <cell r="Y658">
            <v>0</v>
          </cell>
          <cell r="Z658">
            <v>0</v>
          </cell>
          <cell r="AA658">
            <v>0.21888932599003411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0.22243040685224838</v>
          </cell>
          <cell r="AL658">
            <v>0</v>
          </cell>
          <cell r="AM658">
            <v>9.156448236238568E-2</v>
          </cell>
          <cell r="AN658">
            <v>6.5006217578838385E-2</v>
          </cell>
        </row>
        <row r="659">
          <cell r="C659" t="str">
            <v>BY-PRODUCT CREDIT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W659" t="str">
            <v>BY-PRODUCT CREDIT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</row>
        <row r="660">
          <cell r="C660" t="str">
            <v>RAW MATERIAL-OUTSIDE PURCHASES</v>
          </cell>
          <cell r="D660">
            <v>63411</v>
          </cell>
          <cell r="E660">
            <v>71198</v>
          </cell>
          <cell r="F660">
            <v>94552</v>
          </cell>
          <cell r="G660">
            <v>229161</v>
          </cell>
          <cell r="H660">
            <v>93448</v>
          </cell>
          <cell r="I660">
            <v>101235</v>
          </cell>
          <cell r="J660">
            <v>92335</v>
          </cell>
          <cell r="K660">
            <v>287018</v>
          </cell>
          <cell r="L660">
            <v>50061</v>
          </cell>
          <cell r="M660">
            <v>122372</v>
          </cell>
          <cell r="N660">
            <v>167983</v>
          </cell>
          <cell r="O660">
            <v>340416</v>
          </cell>
          <cell r="P660">
            <v>173546</v>
          </cell>
          <cell r="Q660">
            <v>145733</v>
          </cell>
          <cell r="R660">
            <v>73424</v>
          </cell>
          <cell r="S660">
            <v>392703</v>
          </cell>
          <cell r="T660">
            <v>1249298</v>
          </cell>
          <cell r="W660" t="str">
            <v>RAW MATERIAL-OUTSIDE PURCHASES</v>
          </cell>
          <cell r="X660">
            <v>6.3832293134688944</v>
          </cell>
          <cell r="Y660">
            <v>6.9870461236506376</v>
          </cell>
          <cell r="Z660">
            <v>9.1090558766859342</v>
          </cell>
          <cell r="AA660">
            <v>7.5124901652242331</v>
          </cell>
          <cell r="AB660">
            <v>6.8419973641821645</v>
          </cell>
          <cell r="AC660">
            <v>6.6427165354330713</v>
          </cell>
          <cell r="AD660">
            <v>6.5374539790427644</v>
          </cell>
          <cell r="AE660">
            <v>6.6714239226442285</v>
          </cell>
          <cell r="AF660">
            <v>3.9889243027888446</v>
          </cell>
          <cell r="AG660">
            <v>7.4182832201745876</v>
          </cell>
          <cell r="AH660">
            <v>6.4371167995095036</v>
          </cell>
          <cell r="AI660">
            <v>6.173443110514671</v>
          </cell>
          <cell r="AJ660">
            <v>5.6697703289882062</v>
          </cell>
          <cell r="AK660">
            <v>5.572537473233405</v>
          </cell>
          <cell r="AL660">
            <v>10.84869976359338</v>
          </cell>
          <cell r="AM660">
            <v>6.1814761762344759</v>
          </cell>
          <cell r="AN660">
            <v>6.5000910524097675</v>
          </cell>
        </row>
        <row r="661">
          <cell r="C661" t="str">
            <v>RAW MATERIAL-APCI OWN IN PLANT</v>
          </cell>
          <cell r="D661">
            <v>16601</v>
          </cell>
          <cell r="E661">
            <v>18259</v>
          </cell>
          <cell r="F661">
            <v>23873</v>
          </cell>
          <cell r="G661">
            <v>58733</v>
          </cell>
          <cell r="H661">
            <v>23898</v>
          </cell>
          <cell r="I661">
            <v>25422</v>
          </cell>
          <cell r="J661">
            <v>23328</v>
          </cell>
          <cell r="K661">
            <v>72648</v>
          </cell>
          <cell r="L661">
            <v>12518</v>
          </cell>
          <cell r="M661">
            <v>31402</v>
          </cell>
          <cell r="N661">
            <v>42252</v>
          </cell>
          <cell r="O661">
            <v>86172</v>
          </cell>
          <cell r="P661">
            <v>45093</v>
          </cell>
          <cell r="Q661">
            <v>40234</v>
          </cell>
          <cell r="R661">
            <v>18068</v>
          </cell>
          <cell r="S661">
            <v>103395</v>
          </cell>
          <cell r="T661">
            <v>320948</v>
          </cell>
          <cell r="W661" t="str">
            <v>RAW MATERIAL-APCI OWN IN PLANT</v>
          </cell>
          <cell r="X661">
            <v>1.6711294543990336</v>
          </cell>
          <cell r="Y661">
            <v>1.7918547595682042</v>
          </cell>
          <cell r="Z661">
            <v>2.2999036608863199</v>
          </cell>
          <cell r="AA661">
            <v>1.9254196170993969</v>
          </cell>
          <cell r="AB661">
            <v>1.7497437399326403</v>
          </cell>
          <cell r="AC661">
            <v>1.6681102362204725</v>
          </cell>
          <cell r="AD661">
            <v>1.6516567544604928</v>
          </cell>
          <cell r="AE661">
            <v>1.6886244247129376</v>
          </cell>
          <cell r="AF661">
            <v>0.99745019920318723</v>
          </cell>
          <cell r="AG661">
            <v>1.9036129970902036</v>
          </cell>
          <cell r="AH661">
            <v>1.6190987124463518</v>
          </cell>
          <cell r="AI661">
            <v>1.5627289543360778</v>
          </cell>
          <cell r="AJ661">
            <v>1.4731941585808095</v>
          </cell>
          <cell r="AK661">
            <v>1.5384674212297338</v>
          </cell>
          <cell r="AL661">
            <v>2.6696217494089836</v>
          </cell>
          <cell r="AM661">
            <v>1.6275244376583922</v>
          </cell>
          <cell r="AN661">
            <v>1.669890789138228</v>
          </cell>
        </row>
        <row r="662">
          <cell r="C662" t="str">
            <v>RAW MATERIAL-CHEM ADDITIVE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W662" t="str">
            <v>RAW MATERIAL-CHEM ADDITIVE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</row>
        <row r="663">
          <cell r="C663" t="str">
            <v>CUSTOMER SUPPLIED-RAW MATERIAL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W663" t="str">
            <v>CUSTOMER SUPPLIED-RAW MATERIAL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</row>
        <row r="664">
          <cell r="C664" t="str">
            <v>RAW MATERIAL-APCI OWN-OTHER PLANT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W664" t="str">
            <v>RAW MATERIAL-APCI OWN-OTHER PLANT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</row>
        <row r="665">
          <cell r="C665" t="str">
            <v>LIQ/GAS COST TRF IN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W665" t="str">
            <v>LIQ/GAS COST TRF IN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</row>
        <row r="666">
          <cell r="C666" t="str">
            <v>TOTAL RAW MATERIAL CONVERSION</v>
          </cell>
          <cell r="D666">
            <v>86689</v>
          </cell>
          <cell r="E666">
            <v>89457</v>
          </cell>
          <cell r="F666">
            <v>118425</v>
          </cell>
          <cell r="G666">
            <v>294571</v>
          </cell>
          <cell r="H666">
            <v>117346</v>
          </cell>
          <cell r="I666">
            <v>126657</v>
          </cell>
          <cell r="J666">
            <v>115663</v>
          </cell>
          <cell r="K666">
            <v>359666</v>
          </cell>
          <cell r="L666">
            <v>62579</v>
          </cell>
          <cell r="M666">
            <v>153774</v>
          </cell>
          <cell r="N666">
            <v>210235</v>
          </cell>
          <cell r="O666">
            <v>426588</v>
          </cell>
          <cell r="P666">
            <v>218639</v>
          </cell>
          <cell r="Q666">
            <v>191784</v>
          </cell>
          <cell r="R666">
            <v>91492</v>
          </cell>
          <cell r="S666">
            <v>501915</v>
          </cell>
          <cell r="T666">
            <v>1582740</v>
          </cell>
          <cell r="W666" t="str">
            <v>TOTAL RAW MATERIAL CONVERSION</v>
          </cell>
          <cell r="X666">
            <v>8.7264948661163686</v>
          </cell>
          <cell r="Y666">
            <v>8.7789008832188422</v>
          </cell>
          <cell r="Z666">
            <v>11.408959537572255</v>
          </cell>
          <cell r="AA666">
            <v>9.6567991083136633</v>
          </cell>
          <cell r="AB666">
            <v>8.5917411041148046</v>
          </cell>
          <cell r="AC666">
            <v>8.3108267716535433</v>
          </cell>
          <cell r="AD666">
            <v>8.1891107335032576</v>
          </cell>
          <cell r="AE666">
            <v>8.3600483473571661</v>
          </cell>
          <cell r="AF666">
            <v>4.9863745019920316</v>
          </cell>
          <cell r="AG666">
            <v>9.3218962172647917</v>
          </cell>
          <cell r="AH666">
            <v>8.0562155119558554</v>
          </cell>
          <cell r="AI666">
            <v>7.7361720648507486</v>
          </cell>
          <cell r="AJ666">
            <v>7.1429644875690155</v>
          </cell>
          <cell r="AK666">
            <v>7.3334353013153866</v>
          </cell>
          <cell r="AL666">
            <v>13.518321513002364</v>
          </cell>
          <cell r="AM666">
            <v>7.9005650962552538</v>
          </cell>
          <cell r="AN666">
            <v>8.2349880591268327</v>
          </cell>
        </row>
        <row r="668">
          <cell r="C668" t="str">
            <v>SPEC GAS ELECTRONIC CYLINDER VALVES</v>
          </cell>
          <cell r="D668">
            <v>20183</v>
          </cell>
          <cell r="E668">
            <v>9712</v>
          </cell>
          <cell r="F668">
            <v>-9761</v>
          </cell>
          <cell r="G668">
            <v>20134</v>
          </cell>
          <cell r="H668">
            <v>22227</v>
          </cell>
          <cell r="I668">
            <v>17442</v>
          </cell>
          <cell r="J668">
            <v>25292</v>
          </cell>
          <cell r="K668">
            <v>64961</v>
          </cell>
          <cell r="L668">
            <v>15448</v>
          </cell>
          <cell r="M668">
            <v>31814</v>
          </cell>
          <cell r="N668">
            <v>27173</v>
          </cell>
          <cell r="O668">
            <v>74435</v>
          </cell>
          <cell r="P668">
            <v>32527</v>
          </cell>
          <cell r="Q668">
            <v>43582</v>
          </cell>
          <cell r="R668">
            <v>18152</v>
          </cell>
          <cell r="S668">
            <v>94261</v>
          </cell>
          <cell r="T668">
            <v>253791</v>
          </cell>
          <cell r="W668" t="str">
            <v>SPEC GAS ELECTRONIC CYLINDER VALVES</v>
          </cell>
          <cell r="X668">
            <v>2.0317092812562914</v>
          </cell>
          <cell r="Y668">
            <v>0.95309126594700688</v>
          </cell>
          <cell r="Z668">
            <v>-0.94036608863198456</v>
          </cell>
          <cell r="AA668">
            <v>0.6600445843168109</v>
          </cell>
          <cell r="AB668">
            <v>1.6273978620588665</v>
          </cell>
          <cell r="AC668">
            <v>1.1444881889763781</v>
          </cell>
          <cell r="AD668">
            <v>1.7907108467856132</v>
          </cell>
          <cell r="AE668">
            <v>1.5099483984937938</v>
          </cell>
          <cell r="AF668">
            <v>1.2309163346613545</v>
          </cell>
          <cell r="AG668">
            <v>1.9285887487875848</v>
          </cell>
          <cell r="AH668">
            <v>1.0412706928264868</v>
          </cell>
          <cell r="AI668">
            <v>1.3498784955206558</v>
          </cell>
          <cell r="AJ668">
            <v>1.0626613087653958</v>
          </cell>
          <cell r="AK668">
            <v>1.6664882226980728</v>
          </cell>
          <cell r="AL668">
            <v>2.6820330969267139</v>
          </cell>
          <cell r="AM668">
            <v>1.4837475798454249</v>
          </cell>
          <cell r="AN668">
            <v>1.3204732644109949</v>
          </cell>
        </row>
        <row r="669">
          <cell r="C669" t="str">
            <v>SPEC GAS REGULAR CYLINDER VALVES</v>
          </cell>
          <cell r="D669">
            <v>63</v>
          </cell>
          <cell r="E669">
            <v>-504</v>
          </cell>
          <cell r="F669">
            <v>42</v>
          </cell>
          <cell r="G669">
            <v>-399</v>
          </cell>
          <cell r="H669">
            <v>508</v>
          </cell>
          <cell r="I669">
            <v>84</v>
          </cell>
          <cell r="J669">
            <v>24</v>
          </cell>
          <cell r="K669">
            <v>616</v>
          </cell>
          <cell r="L669">
            <v>4</v>
          </cell>
          <cell r="M669">
            <v>2</v>
          </cell>
          <cell r="N669">
            <v>1</v>
          </cell>
          <cell r="O669">
            <v>7</v>
          </cell>
          <cell r="P669">
            <v>38</v>
          </cell>
          <cell r="Q669">
            <v>3</v>
          </cell>
          <cell r="R669">
            <v>22051</v>
          </cell>
          <cell r="S669">
            <v>22092</v>
          </cell>
          <cell r="T669">
            <v>22316</v>
          </cell>
          <cell r="W669" t="str">
            <v>SPEC GAS REGULAR CYLINDER VALVES</v>
          </cell>
          <cell r="X669">
            <v>6.3418562512583048E-3</v>
          </cell>
          <cell r="Y669">
            <v>-4.946025515210991E-2</v>
          </cell>
          <cell r="Z669">
            <v>4.0462427745664737E-3</v>
          </cell>
          <cell r="AA669">
            <v>-1.3080251770259638E-2</v>
          </cell>
          <cell r="AB669">
            <v>3.7194318348220824E-2</v>
          </cell>
          <cell r="AC669">
            <v>5.5118110236220472E-3</v>
          </cell>
          <cell r="AD669">
            <v>1.6992353440951572E-3</v>
          </cell>
          <cell r="AE669">
            <v>1.4318255776114546E-2</v>
          </cell>
          <cell r="AF669">
            <v>3.1872509960159364E-4</v>
          </cell>
          <cell r="AG669">
            <v>1.2124151309408342E-4</v>
          </cell>
          <cell r="AH669">
            <v>3.8320049049662781E-5</v>
          </cell>
          <cell r="AI669">
            <v>1.2694497841935366E-4</v>
          </cell>
          <cell r="AJ669">
            <v>1.2414649286157666E-3</v>
          </cell>
          <cell r="AK669">
            <v>1.1471397981033955E-4</v>
          </cell>
          <cell r="AL669">
            <v>3.2581264775413712</v>
          </cell>
          <cell r="AM669">
            <v>0.34774669835823008</v>
          </cell>
          <cell r="AN669">
            <v>0.11611003293495736</v>
          </cell>
        </row>
        <row r="670">
          <cell r="C670" t="str">
            <v>TOTAL VALVES</v>
          </cell>
          <cell r="D670">
            <v>20246</v>
          </cell>
          <cell r="E670">
            <v>9208</v>
          </cell>
          <cell r="F670">
            <v>-9719</v>
          </cell>
          <cell r="G670">
            <v>19735</v>
          </cell>
          <cell r="H670">
            <v>22735</v>
          </cell>
          <cell r="I670">
            <v>17526</v>
          </cell>
          <cell r="J670">
            <v>25316</v>
          </cell>
          <cell r="K670">
            <v>65577</v>
          </cell>
          <cell r="L670">
            <v>15452</v>
          </cell>
          <cell r="M670">
            <v>31816</v>
          </cell>
          <cell r="N670">
            <v>27174</v>
          </cell>
          <cell r="O670">
            <v>74442</v>
          </cell>
          <cell r="P670">
            <v>32565</v>
          </cell>
          <cell r="Q670">
            <v>43585</v>
          </cell>
          <cell r="R670">
            <v>40203</v>
          </cell>
          <cell r="S670">
            <v>116353</v>
          </cell>
          <cell r="T670">
            <v>276107</v>
          </cell>
          <cell r="W670" t="str">
            <v>TOTAL VALVES</v>
          </cell>
          <cell r="X670">
            <v>2.0380511375075496</v>
          </cell>
          <cell r="Y670">
            <v>0.90363101079489694</v>
          </cell>
          <cell r="Z670">
            <v>-0.93631984585741812</v>
          </cell>
          <cell r="AA670">
            <v>0.64696433254655128</v>
          </cell>
          <cell r="AB670">
            <v>1.6645921804070873</v>
          </cell>
          <cell r="AC670">
            <v>1.1499999999999999</v>
          </cell>
          <cell r="AD670">
            <v>1.7924100821297082</v>
          </cell>
          <cell r="AE670">
            <v>1.5242666542699084</v>
          </cell>
          <cell r="AF670">
            <v>1.2312350597609563</v>
          </cell>
          <cell r="AG670">
            <v>1.928709990300679</v>
          </cell>
          <cell r="AH670">
            <v>1.0413090128755365</v>
          </cell>
          <cell r="AI670">
            <v>1.3500054404990751</v>
          </cell>
          <cell r="AJ670">
            <v>1.0639027736940116</v>
          </cell>
          <cell r="AK670">
            <v>1.6666029366778832</v>
          </cell>
          <cell r="AL670">
            <v>5.9401595744680851</v>
          </cell>
          <cell r="AM670">
            <v>1.831494278203655</v>
          </cell>
          <cell r="AN670">
            <v>1.4365832973459522</v>
          </cell>
        </row>
        <row r="672">
          <cell r="C672" t="str">
            <v>PRICE VARIANCE-R M-OUTSIDE</v>
          </cell>
          <cell r="D672">
            <v>-6300</v>
          </cell>
          <cell r="E672">
            <v>-4500</v>
          </cell>
          <cell r="F672">
            <v>-4500</v>
          </cell>
          <cell r="G672">
            <v>-15300</v>
          </cell>
          <cell r="H672">
            <v>-9000</v>
          </cell>
          <cell r="I672">
            <v>-11723</v>
          </cell>
          <cell r="J672">
            <v>-8851</v>
          </cell>
          <cell r="K672">
            <v>-29574</v>
          </cell>
          <cell r="L672">
            <v>-12645</v>
          </cell>
          <cell r="M672">
            <v>-6323</v>
          </cell>
          <cell r="N672">
            <v>-25290</v>
          </cell>
          <cell r="O672">
            <v>-44258</v>
          </cell>
          <cell r="P672">
            <v>-20232</v>
          </cell>
          <cell r="Q672">
            <v>-10116</v>
          </cell>
          <cell r="R672">
            <v>-26034</v>
          </cell>
          <cell r="S672">
            <v>-56382</v>
          </cell>
          <cell r="T672">
            <v>-145514</v>
          </cell>
          <cell r="W672" t="str">
            <v>PRICE VARIANCE-R M-OUTSIDE</v>
          </cell>
          <cell r="X672">
            <v>-0.63418562512583043</v>
          </cell>
          <cell r="Y672">
            <v>-0.44160942100098133</v>
          </cell>
          <cell r="Z672">
            <v>-0.43352601156069365</v>
          </cell>
          <cell r="AA672">
            <v>-0.50157356412273801</v>
          </cell>
          <cell r="AB672">
            <v>-0.65895445892517202</v>
          </cell>
          <cell r="AC672">
            <v>-0.76922572178477688</v>
          </cell>
          <cell r="AD672">
            <v>-0.62666383460775987</v>
          </cell>
          <cell r="AE672">
            <v>-0.68741574078378509</v>
          </cell>
          <cell r="AF672">
            <v>-1.0075697211155379</v>
          </cell>
          <cell r="AG672">
            <v>-0.38330504364694473</v>
          </cell>
          <cell r="AH672">
            <v>-0.96911404046597183</v>
          </cell>
          <cell r="AI672">
            <v>-0.80261869355482207</v>
          </cell>
          <cell r="AJ672">
            <v>-0.66098206409879445</v>
          </cell>
          <cell r="AK672">
            <v>-0.38681553992046497</v>
          </cell>
          <cell r="AL672">
            <v>-3.8466312056737588</v>
          </cell>
          <cell r="AM672">
            <v>-0.8875001967605346</v>
          </cell>
          <cell r="AN672">
            <v>-0.75710859170538558</v>
          </cell>
        </row>
        <row r="673">
          <cell r="C673" t="str">
            <v>PRICE VARIANCE-R M-APCI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W673" t="str">
            <v>PRICE VARIANCE-R M-APCI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</row>
        <row r="674">
          <cell r="C674" t="str">
            <v>PRICE VARIANCE-R M-CHEM ADD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W674" t="str">
            <v>PRICE VARIANCE-R M-CHEM ADD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</row>
        <row r="675">
          <cell r="C675" t="str">
            <v>PRICE VARIANCE-R M-CUSTOMER SUPPLY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W675" t="str">
            <v>PRICE VARIANCE-R M-CUSTOMER SUPPLY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</row>
        <row r="676">
          <cell r="C676" t="str">
            <v>PRICE VARIANCE-R M-OTHER PLANTS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W676" t="str">
            <v>PRICE VARIANCE-R M-OTHER PLANTS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</row>
        <row r="677">
          <cell r="C677" t="str">
            <v>PRICE VARIANCE-R M-SYSTEM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W677" t="str">
            <v>PRICE VARIANCE-R M-SYSTEM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</row>
        <row r="678">
          <cell r="C678" t="str">
            <v>TOTAL PRICE VAR RAW MATERIAL</v>
          </cell>
          <cell r="D678">
            <v>-6300</v>
          </cell>
          <cell r="E678">
            <v>-4500</v>
          </cell>
          <cell r="F678">
            <v>-4500</v>
          </cell>
          <cell r="G678">
            <v>-15300</v>
          </cell>
          <cell r="H678">
            <v>-9000</v>
          </cell>
          <cell r="I678">
            <v>-11723</v>
          </cell>
          <cell r="J678">
            <v>-8851</v>
          </cell>
          <cell r="K678">
            <v>-29574</v>
          </cell>
          <cell r="L678">
            <v>-12645</v>
          </cell>
          <cell r="M678">
            <v>-6323</v>
          </cell>
          <cell r="N678">
            <v>-25290</v>
          </cell>
          <cell r="O678">
            <v>-44258</v>
          </cell>
          <cell r="P678">
            <v>-20232</v>
          </cell>
          <cell r="Q678">
            <v>-10116</v>
          </cell>
          <cell r="R678">
            <v>-26034</v>
          </cell>
          <cell r="S678">
            <v>-56382</v>
          </cell>
          <cell r="T678">
            <v>-145514</v>
          </cell>
          <cell r="W678" t="str">
            <v>TOTAL PRICE VAR RAW MATERIAL</v>
          </cell>
          <cell r="X678">
            <v>-0.63418562512583043</v>
          </cell>
          <cell r="Y678">
            <v>-0.44160942100098133</v>
          </cell>
          <cell r="Z678">
            <v>-0.43352601156069365</v>
          </cell>
          <cell r="AA678">
            <v>-0.50157356412273801</v>
          </cell>
          <cell r="AB678">
            <v>-0.65895445892517202</v>
          </cell>
          <cell r="AC678">
            <v>-0.76922572178477688</v>
          </cell>
          <cell r="AD678">
            <v>-0.62666383460775987</v>
          </cell>
          <cell r="AE678">
            <v>-0.68741574078378509</v>
          </cell>
          <cell r="AF678">
            <v>-1.0075697211155379</v>
          </cell>
          <cell r="AG678">
            <v>-0.38330504364694473</v>
          </cell>
          <cell r="AH678">
            <v>-0.96911404046597183</v>
          </cell>
          <cell r="AI678">
            <v>-0.80261869355482207</v>
          </cell>
          <cell r="AJ678">
            <v>-0.66098206409879445</v>
          </cell>
          <cell r="AK678">
            <v>-0.38681553992046497</v>
          </cell>
          <cell r="AL678">
            <v>-3.8466312056737588</v>
          </cell>
          <cell r="AM678">
            <v>-0.8875001967605346</v>
          </cell>
          <cell r="AN678">
            <v>-0.75710859170538558</v>
          </cell>
        </row>
        <row r="685">
          <cell r="C685" t="str">
            <v>Center Names</v>
          </cell>
          <cell r="D685" t="str">
            <v>Centers</v>
          </cell>
        </row>
        <row r="687">
          <cell r="C687">
            <v>4</v>
          </cell>
        </row>
        <row r="688">
          <cell r="B688">
            <v>1</v>
          </cell>
          <cell r="C688" t="str">
            <v>HOMETOWN - NF3 FLUORINE</v>
          </cell>
          <cell r="D688">
            <v>3117405</v>
          </cell>
        </row>
        <row r="689">
          <cell r="B689">
            <v>2</v>
          </cell>
          <cell r="C689" t="str">
            <v>HOMETOWN - NF3 WEST FLUORINE</v>
          </cell>
          <cell r="D689">
            <v>3117407</v>
          </cell>
        </row>
        <row r="690">
          <cell r="B690">
            <v>3</v>
          </cell>
          <cell r="C690" t="str">
            <v>HOMETOWN - ALL HOMETOWN NF3</v>
          </cell>
          <cell r="D690" t="str">
            <v>311NF3</v>
          </cell>
        </row>
        <row r="691">
          <cell r="B691">
            <v>4</v>
          </cell>
          <cell r="C691" t="str">
            <v>HOMETOWN - WF6 FLUORINE TECH / CP</v>
          </cell>
          <cell r="D691">
            <v>3117746</v>
          </cell>
        </row>
        <row r="692">
          <cell r="B692">
            <v>5</v>
          </cell>
          <cell r="C692" t="str">
            <v>HOMETOWN - LIQUID FILL</v>
          </cell>
          <cell r="D692">
            <v>3117200</v>
          </cell>
        </row>
        <row r="693">
          <cell r="B693">
            <v>6</v>
          </cell>
          <cell r="C693" t="str">
            <v>HOMETOWN - ELEC. LIQUID FILL</v>
          </cell>
          <cell r="D693">
            <v>3117255</v>
          </cell>
        </row>
        <row r="694">
          <cell r="B694">
            <v>7</v>
          </cell>
          <cell r="C694" t="str">
            <v>HOMETOWN - C2F6 FLUORINE TRANSFILL</v>
          </cell>
          <cell r="D694">
            <v>3117256</v>
          </cell>
        </row>
        <row r="695">
          <cell r="B695">
            <v>8</v>
          </cell>
          <cell r="C695" t="str">
            <v>HOMETOWN - TOTAL PRODUCTION UNITS</v>
          </cell>
          <cell r="D695" t="str">
            <v>311PROD</v>
          </cell>
        </row>
        <row r="696">
          <cell r="B696">
            <v>9</v>
          </cell>
          <cell r="C696" t="str">
            <v>HOMETOWN - CRD FLUORINE</v>
          </cell>
          <cell r="D696" t="str">
            <v>3117400</v>
          </cell>
        </row>
        <row r="697">
          <cell r="B697">
            <v>10</v>
          </cell>
          <cell r="C697" t="str">
            <v>HOMETOWN - F2 CYLINDER FLUORINE</v>
          </cell>
          <cell r="D697">
            <v>3117430</v>
          </cell>
        </row>
        <row r="698">
          <cell r="B698">
            <v>11</v>
          </cell>
          <cell r="C698" t="str">
            <v>HOMETOWN - AIROPAK FLUORINE</v>
          </cell>
          <cell r="D698">
            <v>3117440</v>
          </cell>
        </row>
        <row r="699">
          <cell r="B699">
            <v>12</v>
          </cell>
          <cell r="C699" t="str">
            <v>HOMETOWN - SF6 FLUORINE</v>
          </cell>
          <cell r="D699">
            <v>3117480</v>
          </cell>
        </row>
        <row r="700">
          <cell r="B700">
            <v>13</v>
          </cell>
          <cell r="C700" t="str">
            <v>HOMETOWN - CLF3 FLUORINE</v>
          </cell>
          <cell r="D700">
            <v>3117740</v>
          </cell>
        </row>
        <row r="701">
          <cell r="B701">
            <v>14</v>
          </cell>
          <cell r="C701" t="str">
            <v>HOMETOWN - GAS FILL</v>
          </cell>
          <cell r="D701">
            <v>3117100</v>
          </cell>
        </row>
        <row r="702">
          <cell r="B702">
            <v>15</v>
          </cell>
          <cell r="C702" t="str">
            <v>HOMETOWN - GAS MIX</v>
          </cell>
          <cell r="D702">
            <v>3117600</v>
          </cell>
        </row>
        <row r="703">
          <cell r="B703">
            <v>16</v>
          </cell>
          <cell r="C703" t="str">
            <v>HOMETOWN - RARE GAS</v>
          </cell>
          <cell r="D703">
            <v>3117500</v>
          </cell>
        </row>
        <row r="704">
          <cell r="B704">
            <v>17</v>
          </cell>
          <cell r="C704" t="str">
            <v>HOMETOWN - BRF3 FLUORINE</v>
          </cell>
          <cell r="D704">
            <v>3117737</v>
          </cell>
        </row>
        <row r="705">
          <cell r="B705">
            <v>18</v>
          </cell>
          <cell r="C705" t="str">
            <v>HOMETOWN - HCL TECH</v>
          </cell>
          <cell r="D705">
            <v>3117243</v>
          </cell>
        </row>
        <row r="706">
          <cell r="B706">
            <v>19</v>
          </cell>
          <cell r="C706" t="str">
            <v>HOMETOWN - HCL ELECTRIC</v>
          </cell>
          <cell r="D706">
            <v>3117244</v>
          </cell>
        </row>
        <row r="707">
          <cell r="B707">
            <v>20</v>
          </cell>
          <cell r="C707" t="str">
            <v>HOMETOWN - SF4 FLUORINE</v>
          </cell>
          <cell r="D707">
            <v>3117745</v>
          </cell>
        </row>
        <row r="708">
          <cell r="B708">
            <v>21</v>
          </cell>
          <cell r="C708" t="str">
            <v>HOMETOWN - CF4 FLUORINE</v>
          </cell>
          <cell r="D708">
            <v>3117747</v>
          </cell>
        </row>
        <row r="709">
          <cell r="B709">
            <v>22</v>
          </cell>
          <cell r="C709" t="str">
            <v>HOMETOWN - SELECTFLUOR FLUORINE</v>
          </cell>
          <cell r="D709" t="str">
            <v>311782A</v>
          </cell>
        </row>
        <row r="710">
          <cell r="B710">
            <v>23</v>
          </cell>
          <cell r="C710" t="str">
            <v>HOMETOWN - BULK DELIVERY</v>
          </cell>
          <cell r="D710">
            <v>3117818</v>
          </cell>
        </row>
        <row r="711">
          <cell r="B711">
            <v>24</v>
          </cell>
          <cell r="C711" t="str">
            <v>HOMETOWN - CYLINDER PREPARATION</v>
          </cell>
          <cell r="D711">
            <v>3117808</v>
          </cell>
        </row>
        <row r="712">
          <cell r="B712">
            <v>25</v>
          </cell>
          <cell r="C712" t="str">
            <v>HOMETOWN - CYLINDER DISPOSAL</v>
          </cell>
          <cell r="D712">
            <v>3117809</v>
          </cell>
        </row>
        <row r="713">
          <cell r="B713">
            <v>26</v>
          </cell>
          <cell r="C713" t="str">
            <v>HOMETOWN - SHIPPING</v>
          </cell>
          <cell r="D713">
            <v>3117810</v>
          </cell>
        </row>
        <row r="714">
          <cell r="B714">
            <v>27</v>
          </cell>
          <cell r="C714" t="str">
            <v>HOMETOWN - CYLINDER MAINTENANCE</v>
          </cell>
          <cell r="D714">
            <v>3117811</v>
          </cell>
        </row>
        <row r="715">
          <cell r="B715">
            <v>28</v>
          </cell>
          <cell r="C715" t="str">
            <v>HOMETOWN - ELECT CYLINDER CLEAN ROOM</v>
          </cell>
          <cell r="D715">
            <v>3117829</v>
          </cell>
        </row>
        <row r="716">
          <cell r="B716">
            <v>29</v>
          </cell>
          <cell r="C716" t="str">
            <v>HOMETOWN - GENERAL MAINTENANCE</v>
          </cell>
          <cell r="D716">
            <v>3117800</v>
          </cell>
        </row>
        <row r="717">
          <cell r="B717">
            <v>30</v>
          </cell>
          <cell r="C717" t="str">
            <v>HOMETOWN - LABORATORY</v>
          </cell>
          <cell r="D717">
            <v>3117816</v>
          </cell>
        </row>
        <row r="718">
          <cell r="B718">
            <v>31</v>
          </cell>
          <cell r="C718" t="str">
            <v>HOMETOWN - GENERAL FACILITY</v>
          </cell>
          <cell r="D718">
            <v>3117830</v>
          </cell>
        </row>
        <row r="719">
          <cell r="B719">
            <v>32</v>
          </cell>
          <cell r="C719" t="str">
            <v>HOMETOWN - BUILDINGS</v>
          </cell>
          <cell r="D719">
            <v>3117852</v>
          </cell>
        </row>
        <row r="720">
          <cell r="B720">
            <v>33</v>
          </cell>
          <cell r="C720" t="str">
            <v>HOMETOWN - ENGINEERING</v>
          </cell>
          <cell r="D720">
            <v>3117806</v>
          </cell>
        </row>
        <row r="721">
          <cell r="B721">
            <v>34</v>
          </cell>
          <cell r="C721" t="str">
            <v>HOMETOWN - ENVIRONMENTAL,HEALTH &amp; SAFETY</v>
          </cell>
          <cell r="D721">
            <v>3117824</v>
          </cell>
        </row>
        <row r="722">
          <cell r="B722">
            <v>35</v>
          </cell>
          <cell r="C722" t="str">
            <v>HOMETOWN - ANALYTICAL DEVELOPMENT</v>
          </cell>
          <cell r="D722">
            <v>3117883</v>
          </cell>
        </row>
        <row r="723">
          <cell r="B723">
            <v>36</v>
          </cell>
          <cell r="C723" t="str">
            <v>HOMETOWN - TRACE METALS ANALYSIS</v>
          </cell>
          <cell r="D723">
            <v>3117884</v>
          </cell>
        </row>
        <row r="724">
          <cell r="B724">
            <v>37</v>
          </cell>
          <cell r="C724" t="str">
            <v>HOMETOWN - QUALITY</v>
          </cell>
          <cell r="D724">
            <v>3117890</v>
          </cell>
        </row>
        <row r="725">
          <cell r="B725">
            <v>38</v>
          </cell>
          <cell r="C725" t="str">
            <v>HOMETOWN - DEOXIFLUOR FLUORINE</v>
          </cell>
          <cell r="D725" t="str">
            <v>311782B</v>
          </cell>
        </row>
        <row r="726">
          <cell r="B726">
            <v>39</v>
          </cell>
          <cell r="C726" t="str">
            <v>HOMETOWN</v>
          </cell>
          <cell r="D726" t="str">
            <v>HTM</v>
          </cell>
        </row>
        <row r="727">
          <cell r="B727">
            <v>40</v>
          </cell>
          <cell r="C727" t="str">
            <v>HOMETOWN DISTRIBUTION</v>
          </cell>
          <cell r="D727" t="str">
            <v>311DIST</v>
          </cell>
        </row>
        <row r="728">
          <cell r="B728">
            <v>41</v>
          </cell>
          <cell r="C728" t="str">
            <v>HOMETOWN - TOTAL NON PRODUCTION</v>
          </cell>
          <cell r="D728" t="str">
            <v>311NON</v>
          </cell>
        </row>
        <row r="729">
          <cell r="B729">
            <v>42</v>
          </cell>
          <cell r="C729" t="str">
            <v>HOMETOWN OVERHEADS</v>
          </cell>
          <cell r="D729" t="str">
            <v>311OVHD</v>
          </cell>
        </row>
        <row r="730">
          <cell r="B730">
            <v>43</v>
          </cell>
          <cell r="C730" t="str">
            <v>HOMETOWN FACILITY SERVICES</v>
          </cell>
          <cell r="D730" t="str">
            <v>311SERV</v>
          </cell>
        </row>
        <row r="731">
          <cell r="B731">
            <v>44</v>
          </cell>
        </row>
        <row r="732">
          <cell r="B732">
            <v>45</v>
          </cell>
        </row>
        <row r="733">
          <cell r="B733">
            <v>46</v>
          </cell>
        </row>
        <row r="734">
          <cell r="B734">
            <v>47</v>
          </cell>
        </row>
        <row r="736">
          <cell r="C736" t="str">
            <v>Fiscal Year Select</v>
          </cell>
        </row>
        <row r="737">
          <cell r="C737">
            <v>2</v>
          </cell>
        </row>
        <row r="738">
          <cell r="B738">
            <v>1</v>
          </cell>
          <cell r="C738" t="str">
            <v>PRIOR FISCAL YEAR</v>
          </cell>
          <cell r="D738">
            <v>1</v>
          </cell>
        </row>
        <row r="739">
          <cell r="B739">
            <v>2</v>
          </cell>
          <cell r="C739" t="str">
            <v>CURRENT FISCAL YEAR</v>
          </cell>
          <cell r="D739">
            <v>2</v>
          </cell>
        </row>
      </sheetData>
      <sheetData sheetId="4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Datos central"/>
      <sheetName val="Hoja3"/>
      <sheetName val="FX rates"/>
      <sheetName val="Assets"/>
      <sheetName val="Allocated Costs"/>
      <sheetName val="Datos controlable"/>
      <sheetName val="Cylinders"/>
      <sheetName val="Welding"/>
      <sheetName val="Gasin Cyl"/>
      <sheetName val="PG adjust"/>
      <sheetName val="PG Consolidation"/>
      <sheetName val="Bulk"/>
      <sheetName val="Bulk Gasin"/>
      <sheetName val="GI Metals"/>
      <sheetName val="Bulk Adjustments"/>
      <sheetName val="Bulk Consolidation"/>
      <sheetName val="Homecare"/>
      <sheetName val="Homecare Gasin"/>
      <sheetName val="TMD"/>
      <sheetName val="Homecare Consolidation"/>
      <sheetName val="Hospitals"/>
      <sheetName val="Hospitals Gasin"/>
      <sheetName val="Hospitals Consolidation"/>
      <sheetName val="Total Medical"/>
      <sheetName val="Non Div"/>
      <sheetName val="Total CM"/>
      <sheetName val="Operations"/>
      <sheetName val="FY00 Monthly"/>
      <sheetName val="Carburos"/>
      <sheetName val="Central Europe"/>
      <sheetName val="Equipment"/>
      <sheetName val="Merchant"/>
      <sheetName val="Tonnage"/>
      <sheetName val="Nat Spending Drilldown"/>
      <sheetName val="Major Factors"/>
      <sheetName val="Submitted"/>
      <sheetName val="Regional Trading Summary"/>
    </sheetNames>
    <sheetDataSet>
      <sheetData sheetId="0"/>
      <sheetData sheetId="1" refreshError="1">
        <row r="1">
          <cell r="A1" t="str">
            <v>CODEMP</v>
          </cell>
          <cell r="B1" t="str">
            <v>CODEST</v>
          </cell>
          <cell r="C1" t="str">
            <v>CODCEN</v>
          </cell>
          <cell r="D1" t="str">
            <v>NOMCEN</v>
          </cell>
          <cell r="E1" t="str">
            <v>CATAP</v>
          </cell>
          <cell r="F1" t="str">
            <v>DESCRIPCION</v>
          </cell>
          <cell r="G1" t="str">
            <v>OCT</v>
          </cell>
          <cell r="H1" t="str">
            <v>NOV</v>
          </cell>
          <cell r="I1" t="str">
            <v>DIC</v>
          </cell>
          <cell r="J1" t="str">
            <v>GEN</v>
          </cell>
          <cell r="K1" t="str">
            <v>FEB</v>
          </cell>
          <cell r="L1" t="str">
            <v>MAR</v>
          </cell>
          <cell r="M1" t="str">
            <v>ABR</v>
          </cell>
          <cell r="N1" t="str">
            <v>MAIG</v>
          </cell>
          <cell r="O1" t="str">
            <v>JUNY</v>
          </cell>
          <cell r="P1" t="str">
            <v>JUL</v>
          </cell>
          <cell r="Q1" t="str">
            <v>AGO</v>
          </cell>
          <cell r="R1" t="str">
            <v>SET</v>
          </cell>
        </row>
        <row r="2">
          <cell r="A2">
            <v>1</v>
          </cell>
          <cell r="B2">
            <v>0</v>
          </cell>
          <cell r="C2">
            <v>27010</v>
          </cell>
          <cell r="D2" t="str">
            <v xml:space="preserve">DIRECCION GENERAL                       </v>
          </cell>
          <cell r="E2" t="str">
            <v xml:space="preserve">AGAA53    </v>
          </cell>
          <cell r="F2" t="str">
            <v xml:space="preserve">GENERAL &amp; ADMIN                                   </v>
          </cell>
          <cell r="G2">
            <v>24.060309</v>
          </cell>
          <cell r="H2">
            <v>19.281614000000001</v>
          </cell>
          <cell r="I2">
            <v>26.670703</v>
          </cell>
          <cell r="J2">
            <v>36.120887000000003</v>
          </cell>
          <cell r="K2">
            <v>31.505305</v>
          </cell>
          <cell r="L2">
            <v>19.544796000000002</v>
          </cell>
          <cell r="M2">
            <v>21.055581</v>
          </cell>
          <cell r="N2">
            <v>21.235734000000001</v>
          </cell>
          <cell r="O2">
            <v>-4.2945380000000002</v>
          </cell>
          <cell r="P2">
            <v>24.034246</v>
          </cell>
          <cell r="Q2">
            <v>20.135594000000001</v>
          </cell>
          <cell r="R2">
            <v>10.096155</v>
          </cell>
        </row>
        <row r="3">
          <cell r="A3">
            <v>17</v>
          </cell>
          <cell r="B3">
            <v>0</v>
          </cell>
          <cell r="C3">
            <v>27010</v>
          </cell>
          <cell r="D3" t="str">
            <v xml:space="preserve">DIRECCION GENERAL                       </v>
          </cell>
          <cell r="E3" t="str">
            <v xml:space="preserve">AGAA53    </v>
          </cell>
          <cell r="F3" t="str">
            <v xml:space="preserve">GENERAL &amp; ADMIN                                   </v>
          </cell>
          <cell r="G3">
            <v>8.4914349999999992</v>
          </cell>
          <cell r="H3">
            <v>2.6925690000000002</v>
          </cell>
          <cell r="I3">
            <v>2.7533690000000002</v>
          </cell>
          <cell r="J3">
            <v>2.91513</v>
          </cell>
          <cell r="K3">
            <v>2.8045580000000001</v>
          </cell>
          <cell r="L3">
            <v>2.732586</v>
          </cell>
          <cell r="M3">
            <v>3.14507</v>
          </cell>
          <cell r="N3">
            <v>2.5790769999999998</v>
          </cell>
          <cell r="O3">
            <v>2.6713770000000001</v>
          </cell>
          <cell r="P3">
            <v>2.7168999999999999</v>
          </cell>
          <cell r="Q3">
            <v>2.83724</v>
          </cell>
          <cell r="R3">
            <v>2.8703099999999999</v>
          </cell>
        </row>
        <row r="4">
          <cell r="A4">
            <v>76</v>
          </cell>
          <cell r="B4">
            <v>0</v>
          </cell>
          <cell r="C4">
            <v>27010</v>
          </cell>
          <cell r="D4" t="str">
            <v xml:space="preserve">DIRECCION GENERAL                       </v>
          </cell>
          <cell r="E4" t="str">
            <v xml:space="preserve">AGAA53    </v>
          </cell>
          <cell r="F4" t="str">
            <v xml:space="preserve">GENERAL &amp; ADMIN                                   </v>
          </cell>
          <cell r="G4">
            <v>-9.17075</v>
          </cell>
          <cell r="H4">
            <v>-2.907975</v>
          </cell>
          <cell r="I4">
            <v>-2.9200279999999998</v>
          </cell>
          <cell r="J4">
            <v>-3.1483400000000001</v>
          </cell>
          <cell r="K4">
            <v>-3.0289229999999998</v>
          </cell>
          <cell r="L4">
            <v>-2.951193</v>
          </cell>
          <cell r="M4">
            <v>-3.3966759999999998</v>
          </cell>
          <cell r="N4">
            <v>-2.7854040000000002</v>
          </cell>
          <cell r="O4">
            <v>-2.885087</v>
          </cell>
          <cell r="P4">
            <v>-2.9342519999999999</v>
          </cell>
          <cell r="Q4">
            <v>-3.064219</v>
          </cell>
          <cell r="R4">
            <v>-3.0999349999999999</v>
          </cell>
        </row>
        <row r="5">
          <cell r="A5">
            <v>1</v>
          </cell>
          <cell r="B5">
            <v>0</v>
          </cell>
          <cell r="C5">
            <v>27011</v>
          </cell>
          <cell r="D5" t="str">
            <v xml:space="preserve">CENTRO INTERNAC.ACTIVIDADES MEDICAS     </v>
          </cell>
          <cell r="E5" t="str">
            <v xml:space="preserve">AGAA53    </v>
          </cell>
          <cell r="F5" t="str">
            <v xml:space="preserve">GENERAL &amp; ADMIN                                   </v>
          </cell>
          <cell r="G5">
            <v>21.450123999999999</v>
          </cell>
          <cell r="H5">
            <v>20.441611999999999</v>
          </cell>
          <cell r="I5">
            <v>13.858555000000001</v>
          </cell>
          <cell r="J5">
            <v>16.389067000000001</v>
          </cell>
          <cell r="K5">
            <v>19.402293</v>
          </cell>
          <cell r="L5">
            <v>13.286375</v>
          </cell>
          <cell r="M5">
            <v>5.2455590000000001</v>
          </cell>
          <cell r="N5">
            <v>23.421866000000001</v>
          </cell>
          <cell r="O5">
            <v>17.164912000000001</v>
          </cell>
          <cell r="P5">
            <v>15.949719999999999</v>
          </cell>
          <cell r="Q5">
            <v>28.069565000000001</v>
          </cell>
          <cell r="R5">
            <v>17.239270000000001</v>
          </cell>
        </row>
        <row r="6">
          <cell r="A6">
            <v>1</v>
          </cell>
          <cell r="B6">
            <v>0</v>
          </cell>
          <cell r="C6">
            <v>27012</v>
          </cell>
          <cell r="D6" t="str">
            <v xml:space="preserve">MKTING.Y PLANIF.ESTRATEGICA ACT.MEDICAS </v>
          </cell>
          <cell r="E6" t="str">
            <v xml:space="preserve">AGAA53    </v>
          </cell>
          <cell r="F6" t="str">
            <v xml:space="preserve">GENERAL &amp; ADMIN                                   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>
            <v>1</v>
          </cell>
          <cell r="B7">
            <v>0</v>
          </cell>
          <cell r="C7">
            <v>27020</v>
          </cell>
          <cell r="D7" t="str">
            <v xml:space="preserve">ORGANIZACION                            </v>
          </cell>
          <cell r="E7" t="str">
            <v xml:space="preserve">AGAA53    </v>
          </cell>
          <cell r="F7" t="str">
            <v xml:space="preserve">GENERAL &amp; ADMIN                                   </v>
          </cell>
          <cell r="G7">
            <v>3.7897789999999998</v>
          </cell>
          <cell r="H7">
            <v>4.1026959999999999</v>
          </cell>
          <cell r="I7">
            <v>3.8712949999999999</v>
          </cell>
          <cell r="J7">
            <v>4.5120319999999996</v>
          </cell>
          <cell r="K7">
            <v>4.1701119999999996</v>
          </cell>
          <cell r="L7">
            <v>2.8020939999999999</v>
          </cell>
          <cell r="M7">
            <v>3.8567390000000001</v>
          </cell>
          <cell r="N7">
            <v>3.8958659999999998</v>
          </cell>
          <cell r="O7">
            <v>4.1181010000000002</v>
          </cell>
          <cell r="P7">
            <v>4.0004030000000004</v>
          </cell>
          <cell r="Q7">
            <v>4.0328879999999998</v>
          </cell>
          <cell r="R7">
            <v>1.996904</v>
          </cell>
        </row>
        <row r="8">
          <cell r="A8">
            <v>1</v>
          </cell>
          <cell r="B8">
            <v>0</v>
          </cell>
          <cell r="C8">
            <v>27030</v>
          </cell>
          <cell r="D8" t="str">
            <v xml:space="preserve">CALIDAD                                 </v>
          </cell>
          <cell r="E8" t="str">
            <v xml:space="preserve">AGAA53    </v>
          </cell>
          <cell r="F8" t="str">
            <v xml:space="preserve">GENERAL &amp; ADMIN                                   </v>
          </cell>
          <cell r="G8">
            <v>2.5398990000000001</v>
          </cell>
          <cell r="H8">
            <v>3.525271</v>
          </cell>
          <cell r="I8">
            <v>1.9351050000000001</v>
          </cell>
          <cell r="J8">
            <v>5.4775960000000001</v>
          </cell>
          <cell r="K8">
            <v>4.2014579999999997</v>
          </cell>
          <cell r="L8">
            <v>9.1965339999999998</v>
          </cell>
          <cell r="M8">
            <v>3.0775769999999998</v>
          </cell>
          <cell r="N8">
            <v>6.317984</v>
          </cell>
          <cell r="O8">
            <v>5.6879920000000004</v>
          </cell>
          <cell r="P8">
            <v>3.4384950000000001</v>
          </cell>
          <cell r="Q8">
            <v>1.598325</v>
          </cell>
          <cell r="R8">
            <v>4.9076769999999996</v>
          </cell>
        </row>
        <row r="9">
          <cell r="A9">
            <v>1</v>
          </cell>
          <cell r="B9">
            <v>0</v>
          </cell>
          <cell r="C9">
            <v>27050</v>
          </cell>
          <cell r="D9" t="str">
            <v xml:space="preserve">SECRETARIA GENERAL                      </v>
          </cell>
          <cell r="E9" t="str">
            <v xml:space="preserve">AGAA53    </v>
          </cell>
          <cell r="F9" t="str">
            <v xml:space="preserve">GENERAL &amp; ADMIN                                   </v>
          </cell>
          <cell r="G9">
            <v>14.20097</v>
          </cell>
          <cell r="H9">
            <v>15.87114</v>
          </cell>
          <cell r="I9">
            <v>13.238382</v>
          </cell>
          <cell r="J9">
            <v>16.779911999999999</v>
          </cell>
          <cell r="K9">
            <v>18.901211</v>
          </cell>
          <cell r="L9">
            <v>15.25858</v>
          </cell>
          <cell r="M9">
            <v>16.172726000000001</v>
          </cell>
          <cell r="N9">
            <v>19.243791999999999</v>
          </cell>
          <cell r="O9">
            <v>-4.4928619999999997</v>
          </cell>
          <cell r="P9">
            <v>8.7864249999999995</v>
          </cell>
          <cell r="Q9">
            <v>14.777771</v>
          </cell>
          <cell r="R9">
            <v>24.503164000000002</v>
          </cell>
        </row>
        <row r="10">
          <cell r="A10">
            <v>1</v>
          </cell>
          <cell r="B10">
            <v>0</v>
          </cell>
          <cell r="C10">
            <v>27051</v>
          </cell>
          <cell r="D10" t="str">
            <v xml:space="preserve">FORMACION                               </v>
          </cell>
          <cell r="E10" t="str">
            <v xml:space="preserve">AGAA53    </v>
          </cell>
          <cell r="F10" t="str">
            <v xml:space="preserve">GENERAL &amp; ADMIN                                   </v>
          </cell>
          <cell r="G10">
            <v>4.4094230000000003</v>
          </cell>
          <cell r="H10">
            <v>22.705860000000001</v>
          </cell>
          <cell r="I10">
            <v>6.7612389999999998</v>
          </cell>
          <cell r="J10">
            <v>9.8003859999999996</v>
          </cell>
          <cell r="K10">
            <v>10.010230999999999</v>
          </cell>
          <cell r="L10">
            <v>9.0694060000000007</v>
          </cell>
          <cell r="M10">
            <v>12.334476</v>
          </cell>
          <cell r="N10">
            <v>10.864888000000001</v>
          </cell>
          <cell r="O10">
            <v>12.668843000000001</v>
          </cell>
          <cell r="P10">
            <v>11.692776</v>
          </cell>
          <cell r="Q10">
            <v>-11.841753000000001</v>
          </cell>
          <cell r="R10">
            <v>31.166685999999999</v>
          </cell>
        </row>
        <row r="11">
          <cell r="A11">
            <v>1</v>
          </cell>
          <cell r="B11">
            <v>0</v>
          </cell>
          <cell r="C11">
            <v>27052</v>
          </cell>
          <cell r="D11" t="str">
            <v xml:space="preserve">IMAGEN                                  </v>
          </cell>
          <cell r="E11" t="str">
            <v xml:space="preserve">AGAA53    </v>
          </cell>
          <cell r="F11" t="str">
            <v xml:space="preserve">GENERAL &amp; ADMIN                                   </v>
          </cell>
          <cell r="G11">
            <v>0.52500000000000002</v>
          </cell>
          <cell r="H11">
            <v>0.34025</v>
          </cell>
          <cell r="I11">
            <v>0.375</v>
          </cell>
          <cell r="J11">
            <v>0.375</v>
          </cell>
          <cell r="K11">
            <v>0.37338500000000002</v>
          </cell>
          <cell r="L11">
            <v>0.375</v>
          </cell>
          <cell r="M11">
            <v>0.389372</v>
          </cell>
          <cell r="N11">
            <v>-2.7530070000000002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>
            <v>1</v>
          </cell>
          <cell r="B12">
            <v>0</v>
          </cell>
          <cell r="C12">
            <v>27095</v>
          </cell>
          <cell r="D12" t="str">
            <v xml:space="preserve">GTOS AÑO 2000 CENTRAL                   </v>
          </cell>
          <cell r="E12" t="str">
            <v xml:space="preserve">AGAA53    </v>
          </cell>
          <cell r="F12" t="str">
            <v xml:space="preserve">GENERAL &amp; ADMIN                                   </v>
          </cell>
          <cell r="G12">
            <v>0.18628</v>
          </cell>
          <cell r="H12">
            <v>3.7720030000000002</v>
          </cell>
          <cell r="I12">
            <v>3.2042419999999998</v>
          </cell>
          <cell r="J12">
            <v>1.7545649999999999</v>
          </cell>
          <cell r="K12">
            <v>0.173013</v>
          </cell>
          <cell r="L12">
            <v>2E-3</v>
          </cell>
          <cell r="M12">
            <v>0</v>
          </cell>
          <cell r="N12">
            <v>7.7539999999999996E-3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>
            <v>1</v>
          </cell>
          <cell r="B13">
            <v>0</v>
          </cell>
          <cell r="C13">
            <v>27109</v>
          </cell>
          <cell r="D13" t="str">
            <v xml:space="preserve">RESULTADO CENTRAL                       </v>
          </cell>
          <cell r="E13" t="str">
            <v xml:space="preserve">AGAA53    </v>
          </cell>
          <cell r="F13" t="str">
            <v xml:space="preserve">GENERAL &amp; ADMIN                                   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-3.498561</v>
          </cell>
          <cell r="P13">
            <v>-0.87884600000000002</v>
          </cell>
          <cell r="Q13">
            <v>-1.4728110000000001</v>
          </cell>
          <cell r="R13">
            <v>-6.7578560000000003</v>
          </cell>
        </row>
        <row r="14">
          <cell r="A14">
            <v>75</v>
          </cell>
          <cell r="B14">
            <v>9</v>
          </cell>
          <cell r="C14">
            <v>27199</v>
          </cell>
          <cell r="D14" t="str">
            <v xml:space="preserve">AJUSTES RESULTADO USGAAP                </v>
          </cell>
          <cell r="E14" t="str">
            <v xml:space="preserve">AFAA53    </v>
          </cell>
          <cell r="F14" t="str">
            <v xml:space="preserve">SELLING EXPENSES                                  </v>
          </cell>
          <cell r="G14">
            <v>1.254</v>
          </cell>
          <cell r="H14">
            <v>1.254</v>
          </cell>
          <cell r="I14">
            <v>1.254</v>
          </cell>
          <cell r="J14">
            <v>1.254</v>
          </cell>
          <cell r="K14">
            <v>1.254</v>
          </cell>
          <cell r="L14">
            <v>1.254</v>
          </cell>
          <cell r="M14">
            <v>1.254</v>
          </cell>
          <cell r="N14">
            <v>1.254</v>
          </cell>
          <cell r="O14">
            <v>1.254</v>
          </cell>
          <cell r="P14">
            <v>1.254</v>
          </cell>
          <cell r="Q14">
            <v>1.254</v>
          </cell>
          <cell r="R14">
            <v>1.254</v>
          </cell>
        </row>
        <row r="15">
          <cell r="A15">
            <v>1</v>
          </cell>
          <cell r="B15">
            <v>0</v>
          </cell>
          <cell r="C15">
            <v>27300</v>
          </cell>
          <cell r="D15" t="str">
            <v xml:space="preserve">SERVICIOS GENERALES COMPAÑIA            </v>
          </cell>
          <cell r="E15" t="str">
            <v xml:space="preserve">AGAA53    </v>
          </cell>
          <cell r="F15" t="str">
            <v xml:space="preserve">GENERAL &amp; ADMIN                                   </v>
          </cell>
          <cell r="G15">
            <v>56.154780000000002</v>
          </cell>
          <cell r="H15">
            <v>53.017459000000002</v>
          </cell>
          <cell r="I15">
            <v>35.836891999999999</v>
          </cell>
          <cell r="J15">
            <v>-97.110838000000001</v>
          </cell>
          <cell r="K15">
            <v>20.602464999999999</v>
          </cell>
          <cell r="L15">
            <v>15.638434</v>
          </cell>
          <cell r="M15">
            <v>-25.888826999999999</v>
          </cell>
          <cell r="N15">
            <v>-23.356515999999999</v>
          </cell>
          <cell r="O15">
            <v>213.82235499999999</v>
          </cell>
          <cell r="P15">
            <v>5.0821670000000001</v>
          </cell>
          <cell r="Q15">
            <v>9.4481479999999998</v>
          </cell>
          <cell r="R15">
            <v>-9.0208689999999994</v>
          </cell>
        </row>
        <row r="16">
          <cell r="A16">
            <v>2</v>
          </cell>
          <cell r="B16">
            <v>0</v>
          </cell>
          <cell r="C16">
            <v>27300</v>
          </cell>
          <cell r="D16" t="str">
            <v xml:space="preserve">SERVICIOS GENERALES COMPAÑIA            </v>
          </cell>
          <cell r="E16" t="str">
            <v xml:space="preserve">AGAA53    </v>
          </cell>
          <cell r="F16" t="str">
            <v xml:space="preserve">GENERAL &amp; ADMIN                                   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>
            <v>3</v>
          </cell>
          <cell r="B17">
            <v>0</v>
          </cell>
          <cell r="C17">
            <v>27300</v>
          </cell>
          <cell r="D17" t="str">
            <v xml:space="preserve">SERVICIOS GENERALES COMPAÑIA            </v>
          </cell>
          <cell r="E17" t="str">
            <v xml:space="preserve">AGAA53    </v>
          </cell>
          <cell r="F17" t="str">
            <v xml:space="preserve">GENERAL &amp; ADMIN                                   </v>
          </cell>
          <cell r="G17">
            <v>-12.97322</v>
          </cell>
          <cell r="H17">
            <v>0</v>
          </cell>
          <cell r="I17">
            <v>-1.2407429999999999</v>
          </cell>
          <cell r="J17">
            <v>-2.4282210000000002</v>
          </cell>
          <cell r="K17">
            <v>2.7335999999999999E-2</v>
          </cell>
          <cell r="L17">
            <v>0.53006399999999998</v>
          </cell>
          <cell r="M17">
            <v>0.16622600000000001</v>
          </cell>
          <cell r="N17">
            <v>5.8455389999999996</v>
          </cell>
          <cell r="O17">
            <v>-0.107517</v>
          </cell>
          <cell r="P17">
            <v>-1.0027600000000001</v>
          </cell>
          <cell r="Q17">
            <v>-8.2799999999999996E-4</v>
          </cell>
          <cell r="R17">
            <v>-12.068875</v>
          </cell>
        </row>
        <row r="18">
          <cell r="A18">
            <v>4</v>
          </cell>
          <cell r="B18">
            <v>0</v>
          </cell>
          <cell r="C18">
            <v>27300</v>
          </cell>
          <cell r="D18" t="str">
            <v xml:space="preserve">SERVICIOS GENERALES COMPAñIA            </v>
          </cell>
          <cell r="E18" t="str">
            <v xml:space="preserve">AGAA53    </v>
          </cell>
          <cell r="F18" t="str">
            <v xml:space="preserve">GENERAL &amp; ADMIN                                   </v>
          </cell>
          <cell r="G18">
            <v>0</v>
          </cell>
          <cell r="H18">
            <v>0</v>
          </cell>
          <cell r="I18">
            <v>0</v>
          </cell>
          <cell r="J18">
            <v>3.5500000000000002E-3</v>
          </cell>
          <cell r="K18">
            <v>-0.49959999999999999</v>
          </cell>
          <cell r="L18">
            <v>-3.9500000000000004E-3</v>
          </cell>
          <cell r="M18">
            <v>0</v>
          </cell>
          <cell r="N18">
            <v>0</v>
          </cell>
          <cell r="O18">
            <v>-0.11874999999999999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5</v>
          </cell>
          <cell r="B19">
            <v>0</v>
          </cell>
          <cell r="C19">
            <v>27300</v>
          </cell>
          <cell r="D19" t="str">
            <v xml:space="preserve">SERVICIOS GENERALES COMPAÑIA            </v>
          </cell>
          <cell r="E19" t="str">
            <v xml:space="preserve">AGAA53    </v>
          </cell>
          <cell r="F19" t="str">
            <v xml:space="preserve">GENERAL &amp; ADMIN                                   </v>
          </cell>
          <cell r="G19">
            <v>-3.5000999999999997E-2</v>
          </cell>
          <cell r="H19">
            <v>0</v>
          </cell>
          <cell r="I19">
            <v>0</v>
          </cell>
          <cell r="J19">
            <v>8.5620000000000002E-3</v>
          </cell>
          <cell r="K19">
            <v>0</v>
          </cell>
          <cell r="L19">
            <v>3.5000999999999997E-2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>
            <v>6</v>
          </cell>
          <cell r="B20">
            <v>0</v>
          </cell>
          <cell r="C20">
            <v>27300</v>
          </cell>
          <cell r="D20" t="str">
            <v xml:space="preserve">SERVICIOS GENERALES COMPAÑIA            </v>
          </cell>
          <cell r="E20" t="str">
            <v xml:space="preserve">AGAA53    </v>
          </cell>
          <cell r="F20" t="str">
            <v xml:space="preserve">GENERAL &amp; ADMIN                                   </v>
          </cell>
          <cell r="G20">
            <v>0.21</v>
          </cell>
          <cell r="H20">
            <v>0.21</v>
          </cell>
          <cell r="I20">
            <v>0.21</v>
          </cell>
          <cell r="J20">
            <v>0.21354999999999999</v>
          </cell>
          <cell r="K20">
            <v>0.21</v>
          </cell>
          <cell r="L20">
            <v>0.20644999999999999</v>
          </cell>
          <cell r="M20">
            <v>0.21</v>
          </cell>
          <cell r="N20">
            <v>0.21</v>
          </cell>
          <cell r="O20">
            <v>-1.68</v>
          </cell>
          <cell r="P20">
            <v>0</v>
          </cell>
          <cell r="Q20">
            <v>0</v>
          </cell>
          <cell r="R20">
            <v>0</v>
          </cell>
        </row>
        <row r="21">
          <cell r="A21">
            <v>7</v>
          </cell>
          <cell r="B21">
            <v>0</v>
          </cell>
          <cell r="C21">
            <v>27300</v>
          </cell>
          <cell r="D21" t="str">
            <v xml:space="preserve">SERVICIOS GENERALES COMPAÑIA            </v>
          </cell>
          <cell r="E21" t="str">
            <v xml:space="preserve">AGAA53    </v>
          </cell>
          <cell r="F21" t="str">
            <v xml:space="preserve">GENERAL &amp; ADMIN                                   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>
            <v>8</v>
          </cell>
          <cell r="B22">
            <v>0</v>
          </cell>
          <cell r="C22">
            <v>27300</v>
          </cell>
          <cell r="D22" t="str">
            <v xml:space="preserve">SERVICIOS GENERALES COMPAÑIA            </v>
          </cell>
          <cell r="E22" t="str">
            <v xml:space="preserve">AGAA53    </v>
          </cell>
          <cell r="F22" t="str">
            <v xml:space="preserve">GENERAL &amp; ADMIN                                   </v>
          </cell>
          <cell r="G22">
            <v>0</v>
          </cell>
          <cell r="H22">
            <v>-4.4989000000000001E-2</v>
          </cell>
          <cell r="I22">
            <v>0</v>
          </cell>
          <cell r="J22">
            <v>-1.158E-2</v>
          </cell>
          <cell r="K22">
            <v>0</v>
          </cell>
          <cell r="L22">
            <v>5.6569000000000001E-2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>
            <v>10</v>
          </cell>
          <cell r="B23">
            <v>0</v>
          </cell>
          <cell r="C23">
            <v>27300</v>
          </cell>
          <cell r="D23" t="str">
            <v xml:space="preserve">SERVICIOS GENERALES COMPAÑIA            </v>
          </cell>
          <cell r="E23" t="str">
            <v xml:space="preserve">AGAA53    </v>
          </cell>
          <cell r="F23" t="str">
            <v xml:space="preserve">GENERAL &amp; ADMIN                                   </v>
          </cell>
          <cell r="G23">
            <v>0</v>
          </cell>
          <cell r="H23">
            <v>0</v>
          </cell>
          <cell r="I23">
            <v>0</v>
          </cell>
          <cell r="J23">
            <v>3.5500000000000002E-3</v>
          </cell>
          <cell r="K23">
            <v>0</v>
          </cell>
          <cell r="L23">
            <v>-6.3549999999999995E-2</v>
          </cell>
          <cell r="M23">
            <v>0</v>
          </cell>
          <cell r="N23">
            <v>1.419737</v>
          </cell>
          <cell r="O23">
            <v>-1.419737</v>
          </cell>
          <cell r="P23">
            <v>0</v>
          </cell>
          <cell r="Q23">
            <v>0</v>
          </cell>
          <cell r="R23">
            <v>0</v>
          </cell>
        </row>
        <row r="24">
          <cell r="A24">
            <v>14</v>
          </cell>
          <cell r="B24">
            <v>0</v>
          </cell>
          <cell r="C24">
            <v>27300</v>
          </cell>
          <cell r="D24" t="str">
            <v xml:space="preserve">SERVICIOS GENERALES COMPAÑIA            </v>
          </cell>
          <cell r="E24" t="str">
            <v xml:space="preserve">AGAA53    </v>
          </cell>
          <cell r="F24" t="str">
            <v xml:space="preserve">GENERAL &amp; ADMIN                                   </v>
          </cell>
          <cell r="G24">
            <v>0</v>
          </cell>
          <cell r="H24">
            <v>0</v>
          </cell>
          <cell r="I24">
            <v>0</v>
          </cell>
          <cell r="J24">
            <v>0.182841</v>
          </cell>
          <cell r="K24">
            <v>1.762E-2</v>
          </cell>
          <cell r="L24">
            <v>0.12636600000000001</v>
          </cell>
          <cell r="M24">
            <v>0</v>
          </cell>
          <cell r="N24">
            <v>3.6570999999999999E-2</v>
          </cell>
          <cell r="O24">
            <v>0</v>
          </cell>
          <cell r="P24">
            <v>3.4983E-2</v>
          </cell>
          <cell r="Q24">
            <v>4.0132000000000001E-2</v>
          </cell>
          <cell r="R24">
            <v>0</v>
          </cell>
        </row>
        <row r="25">
          <cell r="A25">
            <v>17</v>
          </cell>
          <cell r="B25">
            <v>0</v>
          </cell>
          <cell r="C25">
            <v>27300</v>
          </cell>
          <cell r="D25" t="str">
            <v xml:space="preserve">SERVICIOS GENERALES COMPAñIA            </v>
          </cell>
          <cell r="E25" t="str">
            <v xml:space="preserve">AGAA53    </v>
          </cell>
          <cell r="F25" t="str">
            <v xml:space="preserve">GENERAL &amp; ADMIN                                   </v>
          </cell>
          <cell r="G25">
            <v>-15.630228000000001</v>
          </cell>
          <cell r="H25">
            <v>-5.8769210000000003</v>
          </cell>
          <cell r="I25">
            <v>-9.7542059999999999</v>
          </cell>
          <cell r="J25">
            <v>-7.3130610000000003</v>
          </cell>
          <cell r="K25">
            <v>-3.0113020000000001</v>
          </cell>
          <cell r="L25">
            <v>-13.748467</v>
          </cell>
          <cell r="M25">
            <v>-6.4260960000000003</v>
          </cell>
          <cell r="N25">
            <v>-7.3242560000000001</v>
          </cell>
          <cell r="O25">
            <v>-7.6998939999999996</v>
          </cell>
          <cell r="P25">
            <v>-6.1138680000000001</v>
          </cell>
          <cell r="Q25">
            <v>-2.6489590000000001</v>
          </cell>
          <cell r="R25">
            <v>-6.905456</v>
          </cell>
        </row>
        <row r="26">
          <cell r="A26">
            <v>20</v>
          </cell>
          <cell r="B26">
            <v>0</v>
          </cell>
          <cell r="C26">
            <v>27300</v>
          </cell>
          <cell r="D26" t="str">
            <v xml:space="preserve">SERVICIOS GENERALES COMPAÑIA            </v>
          </cell>
          <cell r="E26" t="str">
            <v xml:space="preserve">AGAA53    </v>
          </cell>
          <cell r="F26" t="str">
            <v xml:space="preserve">GENERAL &amp; ADMIN                                   </v>
          </cell>
          <cell r="G26">
            <v>6.9120000000000001E-2</v>
          </cell>
          <cell r="H26">
            <v>6.9195000000000007E-2</v>
          </cell>
          <cell r="I26">
            <v>7.0530999999999996E-2</v>
          </cell>
          <cell r="J26">
            <v>6.7104999999999998E-2</v>
          </cell>
          <cell r="K26">
            <v>1.432037</v>
          </cell>
          <cell r="L26">
            <v>0</v>
          </cell>
          <cell r="M26">
            <v>-1.6670999999999998E-2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-7.1040000000000006E-2</v>
          </cell>
        </row>
        <row r="27">
          <cell r="A27">
            <v>77</v>
          </cell>
          <cell r="B27">
            <v>0</v>
          </cell>
          <cell r="C27">
            <v>27300</v>
          </cell>
          <cell r="D27" t="str">
            <v xml:space="preserve">SERVICIOS GENERALES COMPAÑIA            </v>
          </cell>
          <cell r="E27" t="str">
            <v xml:space="preserve">AGAA53    </v>
          </cell>
          <cell r="F27" t="str">
            <v xml:space="preserve">GENERAL &amp; ADMIN                                   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1.9999999999999999E-6</v>
          </cell>
          <cell r="O27">
            <v>9.9999999999999995E-7</v>
          </cell>
          <cell r="P27">
            <v>0</v>
          </cell>
          <cell r="Q27">
            <v>0</v>
          </cell>
          <cell r="R27">
            <v>-0.29002899999999998</v>
          </cell>
        </row>
        <row r="28">
          <cell r="A28">
            <v>79</v>
          </cell>
          <cell r="B28">
            <v>0</v>
          </cell>
          <cell r="C28">
            <v>27300</v>
          </cell>
          <cell r="D28" t="str">
            <v xml:space="preserve">SERVICIOS GENERALES COMPAÑIA            </v>
          </cell>
          <cell r="E28" t="str">
            <v xml:space="preserve">AGAA53    </v>
          </cell>
          <cell r="F28" t="str">
            <v xml:space="preserve">GENERAL &amp; ADMIN                                   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2.0000000000000002E-5</v>
          </cell>
        </row>
        <row r="29">
          <cell r="A29">
            <v>75</v>
          </cell>
          <cell r="B29">
            <v>0</v>
          </cell>
          <cell r="C29">
            <v>27300</v>
          </cell>
          <cell r="D29" t="str">
            <v xml:space="preserve">SERVICIOS GENERALES COMPAÑIA            </v>
          </cell>
          <cell r="E29" t="str">
            <v xml:space="preserve">AGAA53    </v>
          </cell>
          <cell r="F29" t="str">
            <v xml:space="preserve">GENERAL &amp; ADMIN                                   </v>
          </cell>
          <cell r="G29">
            <v>2.7480000000000002</v>
          </cell>
          <cell r="H29">
            <v>2.6289549999999999</v>
          </cell>
          <cell r="I29">
            <v>2.7480000000000002</v>
          </cell>
          <cell r="J29">
            <v>-2.7519999999999998</v>
          </cell>
          <cell r="K29">
            <v>-2.7519999999999998</v>
          </cell>
          <cell r="L29">
            <v>-2.7519999999999998</v>
          </cell>
          <cell r="M29">
            <v>2.7480000000000002</v>
          </cell>
          <cell r="N29">
            <v>19.248000000000001</v>
          </cell>
          <cell r="O29">
            <v>-207.25200000000001</v>
          </cell>
          <cell r="P29">
            <v>2.7480000000000002</v>
          </cell>
          <cell r="Q29">
            <v>2.7480000000000002</v>
          </cell>
          <cell r="R29">
            <v>22.933150999999999</v>
          </cell>
        </row>
        <row r="30">
          <cell r="A30">
            <v>76</v>
          </cell>
          <cell r="B30">
            <v>0</v>
          </cell>
          <cell r="C30">
            <v>27300</v>
          </cell>
          <cell r="D30" t="str">
            <v xml:space="preserve">SERVICIOS GENERALES COMPAÑIA            </v>
          </cell>
          <cell r="E30" t="str">
            <v xml:space="preserve">AGAA53    </v>
          </cell>
          <cell r="F30" t="str">
            <v xml:space="preserve">GENERAL &amp; ADMIN                                   </v>
          </cell>
          <cell r="G30">
            <v>15.647848</v>
          </cell>
          <cell r="H30">
            <v>6.3493979999999999</v>
          </cell>
          <cell r="I30">
            <v>9.771827</v>
          </cell>
          <cell r="J30">
            <v>8.1774900000000006</v>
          </cell>
          <cell r="K30">
            <v>3.0113020000000001</v>
          </cell>
          <cell r="L30">
            <v>12.429186</v>
          </cell>
          <cell r="M30">
            <v>6.4437160000000002</v>
          </cell>
          <cell r="N30">
            <v>7.3066360000000001</v>
          </cell>
          <cell r="O30">
            <v>7.8186439999999999</v>
          </cell>
          <cell r="P30">
            <v>6.1138680000000001</v>
          </cell>
          <cell r="Q30">
            <v>2.6489590000000001</v>
          </cell>
          <cell r="R30">
            <v>10.154968</v>
          </cell>
        </row>
        <row r="31">
          <cell r="A31">
            <v>1</v>
          </cell>
          <cell r="B31">
            <v>0</v>
          </cell>
          <cell r="C31">
            <v>27301</v>
          </cell>
          <cell r="D31" t="str">
            <v xml:space="preserve">EDIFICIO CENTRAL                        </v>
          </cell>
          <cell r="E31" t="str">
            <v xml:space="preserve">AGAA53    </v>
          </cell>
          <cell r="F31" t="str">
            <v xml:space="preserve">GENERAL &amp; ADMIN                                   </v>
          </cell>
          <cell r="G31">
            <v>36.169592999999999</v>
          </cell>
          <cell r="H31">
            <v>34.892569000000002</v>
          </cell>
          <cell r="I31">
            <v>36.412851000000003</v>
          </cell>
          <cell r="J31">
            <v>36.935259000000002</v>
          </cell>
          <cell r="K31">
            <v>34.866126999999999</v>
          </cell>
          <cell r="L31">
            <v>36.739463999999998</v>
          </cell>
          <cell r="M31">
            <v>41.210718999999997</v>
          </cell>
          <cell r="N31">
            <v>37.363931000000001</v>
          </cell>
          <cell r="O31">
            <v>36.139906000000003</v>
          </cell>
          <cell r="P31">
            <v>38.882116000000003</v>
          </cell>
          <cell r="Q31">
            <v>37.066025000000003</v>
          </cell>
          <cell r="R31">
            <v>45.845165000000001</v>
          </cell>
        </row>
        <row r="32">
          <cell r="A32">
            <v>76</v>
          </cell>
          <cell r="B32">
            <v>0</v>
          </cell>
          <cell r="C32">
            <v>27301</v>
          </cell>
          <cell r="D32" t="str">
            <v xml:space="preserve">EDIFICIO CENTRAL                        </v>
          </cell>
          <cell r="E32" t="str">
            <v xml:space="preserve">AGAA53    </v>
          </cell>
          <cell r="F32" t="str">
            <v xml:space="preserve">GENERAL &amp; ADMIN                                   </v>
          </cell>
          <cell r="G32">
            <v>0</v>
          </cell>
          <cell r="H32">
            <v>0</v>
          </cell>
          <cell r="I32">
            <v>0</v>
          </cell>
          <cell r="J32">
            <v>1.7621000000000001E-2</v>
          </cell>
          <cell r="K32">
            <v>1.7621000000000001E-2</v>
          </cell>
          <cell r="L32">
            <v>1.7621000000000001E-2</v>
          </cell>
          <cell r="M32">
            <v>0</v>
          </cell>
          <cell r="N32">
            <v>3.5242000000000002E-2</v>
          </cell>
          <cell r="O32">
            <v>1.7621000000000001E-2</v>
          </cell>
          <cell r="P32">
            <v>1.7621000000000001E-2</v>
          </cell>
          <cell r="Q32">
            <v>1.7621000000000001E-2</v>
          </cell>
          <cell r="R32">
            <v>1.7621000000000001E-2</v>
          </cell>
        </row>
        <row r="33">
          <cell r="A33">
            <v>1</v>
          </cell>
          <cell r="B33">
            <v>0</v>
          </cell>
          <cell r="C33">
            <v>27303</v>
          </cell>
          <cell r="D33" t="str">
            <v xml:space="preserve">GASTOS COMITE INTERCENTROS              </v>
          </cell>
          <cell r="E33" t="str">
            <v xml:space="preserve">AGAA53    </v>
          </cell>
          <cell r="F33" t="str">
            <v xml:space="preserve">GENERAL &amp; ADMIN                                   </v>
          </cell>
          <cell r="G33">
            <v>7.4551999999999993E-2</v>
          </cell>
          <cell r="H33">
            <v>0.359018</v>
          </cell>
          <cell r="I33">
            <v>1.2229669999999999</v>
          </cell>
          <cell r="J33">
            <v>0.419516</v>
          </cell>
          <cell r="K33">
            <v>0.43856499999999998</v>
          </cell>
          <cell r="L33">
            <v>0.63991399999999998</v>
          </cell>
          <cell r="M33">
            <v>0.748637</v>
          </cell>
          <cell r="N33">
            <v>0.54444599999999999</v>
          </cell>
          <cell r="O33">
            <v>0.42133799999999999</v>
          </cell>
          <cell r="P33">
            <v>0.229351</v>
          </cell>
          <cell r="Q33">
            <v>0.30258200000000002</v>
          </cell>
          <cell r="R33">
            <v>0.25184400000000001</v>
          </cell>
        </row>
        <row r="34">
          <cell r="A34">
            <v>1</v>
          </cell>
          <cell r="B34">
            <v>0</v>
          </cell>
          <cell r="C34">
            <v>27307</v>
          </cell>
          <cell r="D34" t="str">
            <v xml:space="preserve">FINCAS SIN USO                          </v>
          </cell>
          <cell r="E34" t="str">
            <v xml:space="preserve">AGAA53    </v>
          </cell>
          <cell r="F34" t="str">
            <v xml:space="preserve">GENERAL &amp; ADMIN                                   </v>
          </cell>
          <cell r="G34">
            <v>1.9752700000000001</v>
          </cell>
          <cell r="H34">
            <v>1.848433</v>
          </cell>
          <cell r="I34">
            <v>1.9298280000000001</v>
          </cell>
          <cell r="J34">
            <v>1.3353999999999999</v>
          </cell>
          <cell r="K34">
            <v>1.725169</v>
          </cell>
          <cell r="L34">
            <v>-0.49762699999999999</v>
          </cell>
          <cell r="M34">
            <v>0.71375200000000005</v>
          </cell>
          <cell r="N34">
            <v>0.78417300000000001</v>
          </cell>
          <cell r="O34">
            <v>0.61062300000000003</v>
          </cell>
          <cell r="P34">
            <v>1.5076719999999999</v>
          </cell>
          <cell r="Q34">
            <v>0.97970500000000005</v>
          </cell>
          <cell r="R34">
            <v>0.77031099999999997</v>
          </cell>
        </row>
        <row r="35">
          <cell r="A35">
            <v>1</v>
          </cell>
          <cell r="B35">
            <v>0</v>
          </cell>
          <cell r="C35">
            <v>27309</v>
          </cell>
          <cell r="D35" t="str">
            <v xml:space="preserve">EXPATRIADOS                             </v>
          </cell>
          <cell r="E35" t="str">
            <v xml:space="preserve">AGAA53    </v>
          </cell>
          <cell r="F35" t="str">
            <v xml:space="preserve">GENERAL &amp; ADMIN                                   </v>
          </cell>
          <cell r="G35">
            <v>0</v>
          </cell>
          <cell r="H35">
            <v>0</v>
          </cell>
          <cell r="I35">
            <v>0</v>
          </cell>
          <cell r="J35">
            <v>-6.5632999999999997E-2</v>
          </cell>
          <cell r="K35">
            <v>-8.5833999999999994E-2</v>
          </cell>
          <cell r="L35">
            <v>-9.2894000000000004E-2</v>
          </cell>
          <cell r="M35">
            <v>-0.22514100000000001</v>
          </cell>
          <cell r="N35">
            <v>-0.12157</v>
          </cell>
          <cell r="O35">
            <v>-2.7836E-2</v>
          </cell>
          <cell r="P35">
            <v>-7.7962000000000004E-2</v>
          </cell>
          <cell r="Q35">
            <v>-9.2892000000000002E-2</v>
          </cell>
          <cell r="R35">
            <v>-0.135599</v>
          </cell>
        </row>
        <row r="36">
          <cell r="A36">
            <v>1</v>
          </cell>
          <cell r="B36">
            <v>0</v>
          </cell>
          <cell r="C36">
            <v>27310</v>
          </cell>
          <cell r="D36" t="str">
            <v xml:space="preserve">COMPRAS                                 </v>
          </cell>
          <cell r="E36" t="str">
            <v xml:space="preserve">AGAA53    </v>
          </cell>
          <cell r="F36" t="str">
            <v xml:space="preserve">GENERAL &amp; ADMIN                                   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>
            <v>1</v>
          </cell>
          <cell r="B37">
            <v>0</v>
          </cell>
          <cell r="C37">
            <v>27320</v>
          </cell>
          <cell r="D37" t="str">
            <v xml:space="preserve">DIRECCION ADMINISTRACION                </v>
          </cell>
          <cell r="E37" t="str">
            <v xml:space="preserve">AGAA53    </v>
          </cell>
          <cell r="F37" t="str">
            <v xml:space="preserve">GENERAL &amp; ADMIN                                   </v>
          </cell>
          <cell r="G37">
            <v>5.8659160000000004</v>
          </cell>
          <cell r="H37">
            <v>5.1574590000000002</v>
          </cell>
          <cell r="I37">
            <v>5.3320879999999997</v>
          </cell>
          <cell r="J37">
            <v>54.133159999999997</v>
          </cell>
          <cell r="K37">
            <v>38.483908999999997</v>
          </cell>
          <cell r="L37">
            <v>42.772201000000003</v>
          </cell>
          <cell r="M37">
            <v>44.987448999999998</v>
          </cell>
          <cell r="N37">
            <v>45.400840000000002</v>
          </cell>
          <cell r="O37">
            <v>48.735979</v>
          </cell>
          <cell r="P37">
            <v>41.764279000000002</v>
          </cell>
          <cell r="Q37">
            <v>40.641587000000001</v>
          </cell>
          <cell r="R37">
            <v>-313.65570300000002</v>
          </cell>
        </row>
        <row r="38">
          <cell r="A38">
            <v>4</v>
          </cell>
          <cell r="B38">
            <v>0</v>
          </cell>
          <cell r="C38">
            <v>27320</v>
          </cell>
          <cell r="D38" t="str">
            <v xml:space="preserve">DIRECCION ADMINISTRATIVA                </v>
          </cell>
          <cell r="E38" t="str">
            <v xml:space="preserve">AGAA53    </v>
          </cell>
          <cell r="F38" t="str">
            <v xml:space="preserve">GENERAL &amp; ADMIN                                   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3.9500000000000004E-3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>
            <v>5</v>
          </cell>
          <cell r="B39">
            <v>0</v>
          </cell>
          <cell r="C39">
            <v>27320</v>
          </cell>
          <cell r="D39" t="str">
            <v xml:space="preserve">DIRECCION ADMINISTRACION                </v>
          </cell>
          <cell r="E39" t="str">
            <v xml:space="preserve">AGAA53    </v>
          </cell>
          <cell r="F39" t="str">
            <v xml:space="preserve">GENERAL &amp; ADMIN                                   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-3.5000999999999997E-2</v>
          </cell>
          <cell r="M39">
            <v>0</v>
          </cell>
          <cell r="N39">
            <v>1.0619999999999999E-2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>
            <v>6</v>
          </cell>
          <cell r="B40">
            <v>0</v>
          </cell>
          <cell r="C40">
            <v>27320</v>
          </cell>
          <cell r="D40" t="str">
            <v xml:space="preserve">DIRECCION ADMINISTRACION                </v>
          </cell>
          <cell r="E40" t="str">
            <v xml:space="preserve">AGAA53    </v>
          </cell>
          <cell r="F40" t="str">
            <v xml:space="preserve">GENERAL &amp; ADMIN                                   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3.5500000000000002E-3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-4.6437080000000002</v>
          </cell>
        </row>
        <row r="41">
          <cell r="A41">
            <v>7</v>
          </cell>
          <cell r="B41">
            <v>0</v>
          </cell>
          <cell r="C41">
            <v>27320</v>
          </cell>
          <cell r="D41" t="str">
            <v xml:space="preserve">DIRECCION ADMINISTRACION                </v>
          </cell>
          <cell r="E41" t="str">
            <v xml:space="preserve">AGAA53    </v>
          </cell>
          <cell r="F41" t="str">
            <v xml:space="preserve">GENERAL &amp; ADMIN                                   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1.253E-3</v>
          </cell>
        </row>
        <row r="42">
          <cell r="A42">
            <v>8</v>
          </cell>
          <cell r="B42">
            <v>0</v>
          </cell>
          <cell r="C42">
            <v>27320</v>
          </cell>
          <cell r="D42" t="str">
            <v xml:space="preserve">DIRECCION ADMINISTRACION                </v>
          </cell>
          <cell r="E42" t="str">
            <v xml:space="preserve">AGAA53    </v>
          </cell>
          <cell r="F42" t="str">
            <v xml:space="preserve">GENERAL &amp; ADMIN                                   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-4.4989000000000001E-2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>
            <v>10</v>
          </cell>
          <cell r="B43">
            <v>0</v>
          </cell>
          <cell r="C43">
            <v>27320</v>
          </cell>
          <cell r="D43" t="str">
            <v xml:space="preserve">DIRECCION ADMINISTRACION                </v>
          </cell>
          <cell r="E43" t="str">
            <v xml:space="preserve">AGAA53    </v>
          </cell>
          <cell r="F43" t="str">
            <v xml:space="preserve">GENERAL &amp; ADMIN                                   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3.5500000000000002E-3</v>
          </cell>
          <cell r="M43">
            <v>7.4999999999999997E-2</v>
          </cell>
          <cell r="N43">
            <v>0</v>
          </cell>
          <cell r="O43">
            <v>4.1980000000000003E-2</v>
          </cell>
          <cell r="P43">
            <v>8.4047999999999998E-2</v>
          </cell>
          <cell r="Q43">
            <v>0</v>
          </cell>
          <cell r="R43">
            <v>0</v>
          </cell>
        </row>
        <row r="44">
          <cell r="A44">
            <v>14</v>
          </cell>
          <cell r="B44">
            <v>0</v>
          </cell>
          <cell r="C44">
            <v>27320</v>
          </cell>
          <cell r="D44" t="str">
            <v xml:space="preserve">DIRECCION ADMINISTRACION                </v>
          </cell>
          <cell r="E44" t="str">
            <v xml:space="preserve">AGAA53    </v>
          </cell>
          <cell r="F44" t="str">
            <v xml:space="preserve">GENERAL &amp; ADMIN                                   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0.200461</v>
          </cell>
          <cell r="M44">
            <v>4.9940000000000002E-3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1.253E-3</v>
          </cell>
        </row>
        <row r="45">
          <cell r="A45">
            <v>17</v>
          </cell>
          <cell r="B45">
            <v>0</v>
          </cell>
          <cell r="C45">
            <v>27320</v>
          </cell>
          <cell r="D45" t="str">
            <v xml:space="preserve">DIRECCION ADMINISTRACION                </v>
          </cell>
          <cell r="E45" t="str">
            <v xml:space="preserve">AGAA53    </v>
          </cell>
          <cell r="F45" t="str">
            <v xml:space="preserve">GENERAL &amp; ADMIN                                   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0.85284599999999999</v>
          </cell>
          <cell r="M45">
            <v>0</v>
          </cell>
          <cell r="N45">
            <v>0</v>
          </cell>
          <cell r="O45">
            <v>0</v>
          </cell>
          <cell r="P45">
            <v>0.230158</v>
          </cell>
          <cell r="Q45">
            <v>0</v>
          </cell>
          <cell r="R45">
            <v>7.0572999999999997E-2</v>
          </cell>
        </row>
        <row r="46">
          <cell r="A46">
            <v>20</v>
          </cell>
          <cell r="B46">
            <v>0</v>
          </cell>
          <cell r="C46">
            <v>27320</v>
          </cell>
          <cell r="D46" t="str">
            <v xml:space="preserve">DIRECCION ADMINISTRACION                </v>
          </cell>
          <cell r="E46" t="str">
            <v xml:space="preserve">AGAA53    </v>
          </cell>
          <cell r="F46" t="str">
            <v xml:space="preserve">GENERAL &amp; ADMIN                                   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1.8336000000000002E-2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>
            <v>79</v>
          </cell>
          <cell r="B47">
            <v>0</v>
          </cell>
          <cell r="C47">
            <v>27320</v>
          </cell>
          <cell r="D47" t="str">
            <v xml:space="preserve">DIRECCION ADMINISTRACION                </v>
          </cell>
          <cell r="E47" t="str">
            <v xml:space="preserve">AGAA53    </v>
          </cell>
          <cell r="F47" t="str">
            <v xml:space="preserve">GENERAL &amp; ADMIN                                   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369.11588699999999</v>
          </cell>
        </row>
        <row r="48">
          <cell r="A48">
            <v>76</v>
          </cell>
          <cell r="B48">
            <v>0</v>
          </cell>
          <cell r="C48">
            <v>27320</v>
          </cell>
          <cell r="D48" t="str">
            <v xml:space="preserve">DIRECCION ADMINISTRACION                </v>
          </cell>
          <cell r="E48" t="str">
            <v xml:space="preserve">AGAA53    </v>
          </cell>
          <cell r="F48" t="str">
            <v xml:space="preserve">GENERAL &amp; ADMIN                                   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-8.4598589999999998</v>
          </cell>
        </row>
        <row r="49">
          <cell r="A49">
            <v>1</v>
          </cell>
          <cell r="B49">
            <v>0</v>
          </cell>
          <cell r="C49">
            <v>27321</v>
          </cell>
          <cell r="D49" t="str">
            <v xml:space="preserve">AUDITORIA INTERNA                       </v>
          </cell>
          <cell r="E49" t="str">
            <v xml:space="preserve">AGAA53    </v>
          </cell>
          <cell r="F49" t="str">
            <v xml:space="preserve">GENERAL &amp; ADMIN                                   </v>
          </cell>
          <cell r="G49">
            <v>4.315588</v>
          </cell>
          <cell r="H49">
            <v>4.0420410000000002</v>
          </cell>
          <cell r="I49">
            <v>4.02515</v>
          </cell>
          <cell r="J49">
            <v>4.4448980000000002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A50">
            <v>1</v>
          </cell>
          <cell r="B50">
            <v>0</v>
          </cell>
          <cell r="C50">
            <v>27323</v>
          </cell>
          <cell r="D50" t="str">
            <v xml:space="preserve">CONTABILIDAD                            </v>
          </cell>
          <cell r="E50" t="str">
            <v xml:space="preserve">AGAA53    </v>
          </cell>
          <cell r="F50" t="str">
            <v xml:space="preserve">GENERAL &amp; ADMIN                                   </v>
          </cell>
          <cell r="G50">
            <v>11.396485999999999</v>
          </cell>
          <cell r="H50">
            <v>11.488403</v>
          </cell>
          <cell r="I50">
            <v>11.882201999999999</v>
          </cell>
          <cell r="J50">
            <v>12.272330999999999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A51">
            <v>1</v>
          </cell>
          <cell r="B51">
            <v>0</v>
          </cell>
          <cell r="C51">
            <v>27327</v>
          </cell>
          <cell r="D51" t="str">
            <v xml:space="preserve">CONTROL DE GESTION                      </v>
          </cell>
          <cell r="E51" t="str">
            <v xml:space="preserve">AGAA53    </v>
          </cell>
          <cell r="F51" t="str">
            <v xml:space="preserve">GENERAL &amp; ADMIN                                   </v>
          </cell>
          <cell r="G51">
            <v>3.7453449999999999</v>
          </cell>
          <cell r="H51">
            <v>4.2746700000000004</v>
          </cell>
          <cell r="I51">
            <v>4.0393829999999999</v>
          </cell>
          <cell r="J51">
            <v>4.3591749999999996</v>
          </cell>
          <cell r="K51">
            <v>-0.46940300000000001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A52">
            <v>1</v>
          </cell>
          <cell r="B52">
            <v>0</v>
          </cell>
          <cell r="C52">
            <v>27331</v>
          </cell>
          <cell r="D52" t="str">
            <v xml:space="preserve">TESORERIA                               </v>
          </cell>
          <cell r="E52" t="str">
            <v xml:space="preserve">AGAA53    </v>
          </cell>
          <cell r="F52" t="str">
            <v xml:space="preserve">GENERAL &amp; ADMIN                                   </v>
          </cell>
          <cell r="G52">
            <v>7.1833309999999999</v>
          </cell>
          <cell r="H52">
            <v>7.0732900000000001</v>
          </cell>
          <cell r="I52">
            <v>7.7418950000000004</v>
          </cell>
          <cell r="J52">
            <v>7.1515909999999998</v>
          </cell>
          <cell r="K52">
            <v>-0.15293499999999999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>
            <v>1</v>
          </cell>
          <cell r="B53">
            <v>0</v>
          </cell>
          <cell r="C53">
            <v>27332</v>
          </cell>
          <cell r="D53" t="str">
            <v xml:space="preserve">RIESGOS                                 </v>
          </cell>
          <cell r="E53" t="str">
            <v xml:space="preserve">AGAA53    </v>
          </cell>
          <cell r="F53" t="str">
            <v xml:space="preserve">GENERAL &amp; ADMIN                                   </v>
          </cell>
          <cell r="G53">
            <v>3.4786009999999998</v>
          </cell>
          <cell r="H53">
            <v>4.5402420000000001</v>
          </cell>
          <cell r="I53">
            <v>3.5943830000000001</v>
          </cell>
          <cell r="J53">
            <v>3.9537949999999999</v>
          </cell>
          <cell r="K53">
            <v>0.28545900000000002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>
            <v>1</v>
          </cell>
          <cell r="B54">
            <v>0</v>
          </cell>
          <cell r="C54">
            <v>27333</v>
          </cell>
          <cell r="D54" t="str">
            <v xml:space="preserve">FILIALES                                </v>
          </cell>
          <cell r="E54" t="str">
            <v xml:space="preserve">AGAA53    </v>
          </cell>
          <cell r="F54" t="str">
            <v xml:space="preserve">GENERAL &amp; ADMIN                                   </v>
          </cell>
          <cell r="G54">
            <v>2.0333420000000002</v>
          </cell>
          <cell r="H54">
            <v>1.3855090000000001</v>
          </cell>
          <cell r="I54">
            <v>2.0778289999999999</v>
          </cell>
          <cell r="J54">
            <v>1.459649</v>
          </cell>
          <cell r="K54">
            <v>2.2262000000000001E-2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>
            <v>1</v>
          </cell>
          <cell r="B55">
            <v>0</v>
          </cell>
          <cell r="C55">
            <v>27340</v>
          </cell>
          <cell r="D55" t="str">
            <v xml:space="preserve">RECURSOS HUMANOS                        </v>
          </cell>
          <cell r="E55" t="str">
            <v xml:space="preserve">AGAA53    </v>
          </cell>
          <cell r="F55" t="str">
            <v xml:space="preserve">GENERAL &amp; ADMIN                                   </v>
          </cell>
          <cell r="G55">
            <v>11.472854999999999</v>
          </cell>
          <cell r="H55">
            <v>11.78008</v>
          </cell>
          <cell r="I55">
            <v>11.853907</v>
          </cell>
          <cell r="J55">
            <v>119.932592</v>
          </cell>
          <cell r="K55">
            <v>46.542346000000002</v>
          </cell>
          <cell r="L55">
            <v>36.322991999999999</v>
          </cell>
          <cell r="M55">
            <v>27.319982</v>
          </cell>
          <cell r="N55">
            <v>41.226475999999998</v>
          </cell>
          <cell r="O55">
            <v>32.779653000000003</v>
          </cell>
          <cell r="P55">
            <v>33.676837999999996</v>
          </cell>
          <cell r="Q55">
            <v>33.787897000000001</v>
          </cell>
          <cell r="R55">
            <v>54.704148000000004</v>
          </cell>
        </row>
        <row r="56">
          <cell r="A56">
            <v>75</v>
          </cell>
          <cell r="B56">
            <v>0</v>
          </cell>
          <cell r="C56">
            <v>27340</v>
          </cell>
          <cell r="D56" t="str">
            <v xml:space="preserve">RECURSOS HUMANOS                        </v>
          </cell>
          <cell r="E56" t="str">
            <v xml:space="preserve">AGAA53    </v>
          </cell>
          <cell r="F56" t="str">
            <v xml:space="preserve">GENERAL &amp; ADMIN                                   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-107.211102</v>
          </cell>
        </row>
        <row r="57">
          <cell r="A57">
            <v>1</v>
          </cell>
          <cell r="B57">
            <v>0</v>
          </cell>
          <cell r="C57">
            <v>27341</v>
          </cell>
          <cell r="D57" t="str">
            <v xml:space="preserve">PERSONAL INTERINO                       </v>
          </cell>
          <cell r="E57" t="str">
            <v xml:space="preserve">AGAA53    </v>
          </cell>
          <cell r="F57" t="str">
            <v xml:space="preserve">GENERAL &amp; ADMIN                                   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A58">
            <v>1</v>
          </cell>
          <cell r="B58">
            <v>0</v>
          </cell>
          <cell r="C58">
            <v>27343</v>
          </cell>
          <cell r="D58" t="str">
            <v xml:space="preserve">SERVICIO MEDICO                         </v>
          </cell>
          <cell r="E58" t="str">
            <v xml:space="preserve">AGAA53    </v>
          </cell>
          <cell r="F58" t="str">
            <v xml:space="preserve">GENERAL &amp; ADMIN                                   </v>
          </cell>
          <cell r="G58">
            <v>2.5389550000000001</v>
          </cell>
          <cell r="H58">
            <v>2.5273379999999999</v>
          </cell>
          <cell r="I58">
            <v>3.8023750000000001</v>
          </cell>
          <cell r="J58">
            <v>3.2038039999999999</v>
          </cell>
          <cell r="K58">
            <v>2.2358470000000001</v>
          </cell>
          <cell r="L58">
            <v>2.0979109999999999</v>
          </cell>
          <cell r="M58">
            <v>3.7860670000000001</v>
          </cell>
          <cell r="N58">
            <v>2.3398279999999998</v>
          </cell>
          <cell r="O58">
            <v>2.1583000000000001</v>
          </cell>
          <cell r="P58">
            <v>2.3234900000000001</v>
          </cell>
          <cell r="Q58">
            <v>2.0332330000000001</v>
          </cell>
          <cell r="R58">
            <v>2.1812130000000001</v>
          </cell>
        </row>
        <row r="59">
          <cell r="A59">
            <v>1</v>
          </cell>
          <cell r="B59">
            <v>0</v>
          </cell>
          <cell r="C59">
            <v>27350</v>
          </cell>
          <cell r="D59" t="str">
            <v xml:space="preserve">DIRECCION INFORMATICA                   </v>
          </cell>
          <cell r="E59" t="str">
            <v xml:space="preserve">AGAA53    </v>
          </cell>
          <cell r="F59" t="str">
            <v xml:space="preserve">GENERAL &amp; ADMIN                                   </v>
          </cell>
          <cell r="G59">
            <v>10.028293</v>
          </cell>
          <cell r="H59">
            <v>10.063331</v>
          </cell>
          <cell r="I59">
            <v>40.422576999999997</v>
          </cell>
          <cell r="J59">
            <v>19.338042000000002</v>
          </cell>
          <cell r="K59">
            <v>18.425681000000001</v>
          </cell>
          <cell r="L59">
            <v>24.536964999999999</v>
          </cell>
          <cell r="M59">
            <v>54.358578000000001</v>
          </cell>
          <cell r="N59">
            <v>23.870950000000001</v>
          </cell>
          <cell r="O59">
            <v>24.980198000000001</v>
          </cell>
          <cell r="P59">
            <v>23.220922000000002</v>
          </cell>
          <cell r="Q59">
            <v>20.061937</v>
          </cell>
          <cell r="R59">
            <v>24.486236000000002</v>
          </cell>
        </row>
        <row r="60">
          <cell r="A60">
            <v>2</v>
          </cell>
          <cell r="B60">
            <v>0</v>
          </cell>
          <cell r="C60">
            <v>27350</v>
          </cell>
          <cell r="D60" t="str">
            <v xml:space="preserve">DIRECCION INFORMATICA                   </v>
          </cell>
          <cell r="E60" t="str">
            <v xml:space="preserve">AGAA53    </v>
          </cell>
          <cell r="F60" t="str">
            <v xml:space="preserve">GENERAL &amp; ADMIN                                   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76</v>
          </cell>
          <cell r="B61">
            <v>9</v>
          </cell>
          <cell r="C61">
            <v>27350</v>
          </cell>
          <cell r="D61" t="str">
            <v xml:space="preserve">DIRECCION INFORMATICA                   </v>
          </cell>
          <cell r="E61" t="str">
            <v xml:space="preserve">AGAA53    </v>
          </cell>
          <cell r="F61" t="str">
            <v xml:space="preserve">GENERAL &amp; ADMIN                                   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1</v>
          </cell>
          <cell r="B62">
            <v>0</v>
          </cell>
          <cell r="C62">
            <v>27352</v>
          </cell>
          <cell r="D62" t="str">
            <v xml:space="preserve">MICROINFORMATICA                        </v>
          </cell>
          <cell r="E62" t="str">
            <v xml:space="preserve">AGAA53    </v>
          </cell>
          <cell r="F62" t="str">
            <v xml:space="preserve">GENERAL &amp; ADMIN                                   </v>
          </cell>
          <cell r="G62">
            <v>8.2635670000000001</v>
          </cell>
          <cell r="H62">
            <v>8.0906690000000001</v>
          </cell>
          <cell r="I62">
            <v>8.1104179999999992</v>
          </cell>
          <cell r="J62">
            <v>8.4323169999999994</v>
          </cell>
          <cell r="K62">
            <v>8.393478</v>
          </cell>
          <cell r="L62">
            <v>8.0401220000000002</v>
          </cell>
          <cell r="M62">
            <v>8.4167629999999996</v>
          </cell>
          <cell r="N62">
            <v>8.5126150000000003</v>
          </cell>
          <cell r="O62">
            <v>9.1252220000000008</v>
          </cell>
          <cell r="P62">
            <v>8.5662640000000003</v>
          </cell>
          <cell r="Q62">
            <v>8.0835270000000001</v>
          </cell>
          <cell r="R62">
            <v>8.1295920000000006</v>
          </cell>
        </row>
        <row r="63">
          <cell r="A63">
            <v>76</v>
          </cell>
          <cell r="B63">
            <v>0</v>
          </cell>
          <cell r="C63">
            <v>27352</v>
          </cell>
          <cell r="D63" t="str">
            <v xml:space="preserve">MICROINFORMATICA                        </v>
          </cell>
          <cell r="E63" t="str">
            <v xml:space="preserve">AGAA53    </v>
          </cell>
          <cell r="F63" t="str">
            <v xml:space="preserve">GENERAL &amp; ADMIN                                   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A64">
            <v>1</v>
          </cell>
          <cell r="B64">
            <v>0</v>
          </cell>
          <cell r="C64">
            <v>27354</v>
          </cell>
          <cell r="D64" t="str">
            <v xml:space="preserve">DESARROLLO                              </v>
          </cell>
          <cell r="E64" t="str">
            <v xml:space="preserve">AGAA53    </v>
          </cell>
          <cell r="F64" t="str">
            <v xml:space="preserve">GENERAL &amp; ADMIN                                   </v>
          </cell>
          <cell r="G64">
            <v>24.544941999999999</v>
          </cell>
          <cell r="H64">
            <v>22.077197999999999</v>
          </cell>
          <cell r="I64">
            <v>22.202857999999999</v>
          </cell>
          <cell r="J64">
            <v>24.065103000000001</v>
          </cell>
          <cell r="K64">
            <v>23.100975999999999</v>
          </cell>
          <cell r="L64">
            <v>21.166437999999999</v>
          </cell>
          <cell r="M64">
            <v>22.727737000000001</v>
          </cell>
          <cell r="N64">
            <v>22.760449000000001</v>
          </cell>
          <cell r="O64">
            <v>22.700907999999998</v>
          </cell>
          <cell r="P64">
            <v>22.828512</v>
          </cell>
          <cell r="Q64">
            <v>21.696871000000002</v>
          </cell>
          <cell r="R64">
            <v>22.763304000000002</v>
          </cell>
        </row>
        <row r="65">
          <cell r="A65">
            <v>76</v>
          </cell>
          <cell r="B65">
            <v>9</v>
          </cell>
          <cell r="C65">
            <v>27354</v>
          </cell>
          <cell r="D65" t="str">
            <v xml:space="preserve">DESARROLLO                              </v>
          </cell>
          <cell r="E65" t="str">
            <v xml:space="preserve">AGAA53    </v>
          </cell>
          <cell r="F65" t="str">
            <v xml:space="preserve">GENERAL &amp; ADMIN                                   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A66">
            <v>1</v>
          </cell>
          <cell r="B66">
            <v>0</v>
          </cell>
          <cell r="C66">
            <v>27355</v>
          </cell>
          <cell r="D66" t="str">
            <v xml:space="preserve">EXPLOTACION Y SISTEMAS                  </v>
          </cell>
          <cell r="E66" t="str">
            <v xml:space="preserve">AGAA53    </v>
          </cell>
          <cell r="F66" t="str">
            <v xml:space="preserve">GENERAL &amp; ADMIN                                   </v>
          </cell>
          <cell r="G66">
            <v>22.524751999999999</v>
          </cell>
          <cell r="H66">
            <v>18.292451</v>
          </cell>
          <cell r="I66">
            <v>19.531077</v>
          </cell>
          <cell r="J66">
            <v>16.668859000000001</v>
          </cell>
          <cell r="K66">
            <v>14.460858</v>
          </cell>
          <cell r="L66">
            <v>17.932586000000001</v>
          </cell>
          <cell r="M66">
            <v>20.462394</v>
          </cell>
          <cell r="N66">
            <v>18.872596999999999</v>
          </cell>
          <cell r="O66">
            <v>19.628018000000001</v>
          </cell>
          <cell r="P66">
            <v>21.510935</v>
          </cell>
          <cell r="Q66">
            <v>17.591649</v>
          </cell>
          <cell r="R66">
            <v>11.109378</v>
          </cell>
        </row>
        <row r="67">
          <cell r="A67">
            <v>76</v>
          </cell>
          <cell r="B67">
            <v>0</v>
          </cell>
          <cell r="C67">
            <v>27355</v>
          </cell>
          <cell r="D67" t="str">
            <v xml:space="preserve">EXPLOTACION Y SISTEMAS                  </v>
          </cell>
          <cell r="E67" t="str">
            <v xml:space="preserve">AGAA53    </v>
          </cell>
          <cell r="F67" t="str">
            <v xml:space="preserve">GENERAL &amp; ADMIN                                   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A68">
            <v>1</v>
          </cell>
          <cell r="B68">
            <v>0</v>
          </cell>
          <cell r="C68">
            <v>27356</v>
          </cell>
          <cell r="D68" t="str">
            <v xml:space="preserve">M.I.S. EUROPA                           </v>
          </cell>
          <cell r="E68" t="str">
            <v xml:space="preserve">AGAA53    </v>
          </cell>
          <cell r="F68" t="str">
            <v xml:space="preserve">GENERAL &amp; ADMIN                                   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>
            <v>1</v>
          </cell>
          <cell r="B69">
            <v>0</v>
          </cell>
          <cell r="C69">
            <v>27361</v>
          </cell>
          <cell r="D69" t="str">
            <v xml:space="preserve">SEGURIDAD                               </v>
          </cell>
          <cell r="E69" t="str">
            <v xml:space="preserve">AGAA53    </v>
          </cell>
          <cell r="F69" t="str">
            <v xml:space="preserve">GENERAL &amp; ADMIN                                   </v>
          </cell>
          <cell r="G69">
            <v>5.3875630000000001</v>
          </cell>
          <cell r="H69">
            <v>6.6361699999999999</v>
          </cell>
          <cell r="I69">
            <v>5.3186369999999998</v>
          </cell>
          <cell r="J69">
            <v>6.0994529999999996</v>
          </cell>
          <cell r="K69">
            <v>6.5708000000000002</v>
          </cell>
          <cell r="L69">
            <v>6.1913640000000001</v>
          </cell>
          <cell r="M69">
            <v>6.3028779999999998</v>
          </cell>
          <cell r="N69">
            <v>5.990831</v>
          </cell>
          <cell r="O69">
            <v>6.8668639999999996</v>
          </cell>
          <cell r="P69">
            <v>6.8840750000000002</v>
          </cell>
          <cell r="Q69">
            <v>5.0071870000000001</v>
          </cell>
          <cell r="R69">
            <v>6.2969410000000003</v>
          </cell>
        </row>
        <row r="70">
          <cell r="A70">
            <v>1</v>
          </cell>
          <cell r="B70">
            <v>0</v>
          </cell>
          <cell r="C70">
            <v>27400</v>
          </cell>
          <cell r="D70" t="str">
            <v xml:space="preserve">VIVIENDAS CENTRAL                       </v>
          </cell>
          <cell r="E70" t="str">
            <v xml:space="preserve">AGAA53    </v>
          </cell>
          <cell r="F70" t="str">
            <v xml:space="preserve">GENERAL &amp; ADMIN                                   </v>
          </cell>
          <cell r="G70">
            <v>-0.12696499999999999</v>
          </cell>
          <cell r="H70">
            <v>6.8137000000000003E-2</v>
          </cell>
          <cell r="I70">
            <v>4.4547000000000003E-2</v>
          </cell>
          <cell r="J70">
            <v>-0.12102400000000001</v>
          </cell>
          <cell r="K70">
            <v>7.3023000000000005E-2</v>
          </cell>
          <cell r="L70">
            <v>6.6086000000000006E-2</v>
          </cell>
          <cell r="M70">
            <v>-7.6201000000000005E-2</v>
          </cell>
          <cell r="N70">
            <v>2.7473999999999998E-2</v>
          </cell>
          <cell r="O70">
            <v>7.3577000000000004E-2</v>
          </cell>
          <cell r="P70">
            <v>-0.19376499999999999</v>
          </cell>
          <cell r="Q70">
            <v>0.13741700000000001</v>
          </cell>
          <cell r="R70">
            <v>7.3573E-2</v>
          </cell>
        </row>
        <row r="71">
          <cell r="A71">
            <v>1</v>
          </cell>
          <cell r="B71">
            <v>0</v>
          </cell>
          <cell r="C71">
            <v>35301</v>
          </cell>
          <cell r="D71" t="str">
            <v xml:space="preserve">EDIF.CENTRAL SS. REYES                  </v>
          </cell>
          <cell r="E71" t="str">
            <v xml:space="preserve">AGAA53    </v>
          </cell>
          <cell r="F71" t="str">
            <v xml:space="preserve">GENERAL &amp; ADMIN                                   </v>
          </cell>
          <cell r="G71">
            <v>8.9507770000000004</v>
          </cell>
          <cell r="H71">
            <v>11.136469999999999</v>
          </cell>
          <cell r="I71">
            <v>10.935083000000001</v>
          </cell>
          <cell r="J71">
            <v>12.701081</v>
          </cell>
          <cell r="K71">
            <v>11.008304000000001</v>
          </cell>
          <cell r="L71">
            <v>12.037475000000001</v>
          </cell>
          <cell r="M71">
            <v>13.533917000000001</v>
          </cell>
          <cell r="N71">
            <v>14.269902</v>
          </cell>
          <cell r="O71">
            <v>12.368933999999999</v>
          </cell>
          <cell r="P71">
            <v>8.0346200000000003</v>
          </cell>
          <cell r="Q71">
            <v>14.099511</v>
          </cell>
          <cell r="R71">
            <v>12.437476</v>
          </cell>
        </row>
        <row r="72">
          <cell r="A72">
            <v>3</v>
          </cell>
          <cell r="B72">
            <v>0</v>
          </cell>
          <cell r="C72">
            <v>71030</v>
          </cell>
          <cell r="D72" t="str">
            <v xml:space="preserve">CALIDAD                                 </v>
          </cell>
          <cell r="E72" t="str">
            <v xml:space="preserve">AGAA53    </v>
          </cell>
          <cell r="F72" t="str">
            <v xml:space="preserve">GENERAL &amp; ADMIN                                   </v>
          </cell>
          <cell r="G72">
            <v>3.0986E-2</v>
          </cell>
          <cell r="H72">
            <v>3.0986E-2</v>
          </cell>
          <cell r="I72">
            <v>0.65805599999999997</v>
          </cell>
          <cell r="J72">
            <v>1.7972600000000001</v>
          </cell>
          <cell r="K72">
            <v>0.56328599999999995</v>
          </cell>
          <cell r="L72">
            <v>1.1191420000000001</v>
          </cell>
          <cell r="M72">
            <v>0.81910799999999995</v>
          </cell>
          <cell r="N72">
            <v>0.44198100000000001</v>
          </cell>
          <cell r="O72">
            <v>0.57387999999999995</v>
          </cell>
          <cell r="P72">
            <v>0.80734700000000004</v>
          </cell>
          <cell r="Q72">
            <v>0.47422999999999998</v>
          </cell>
          <cell r="R72">
            <v>0.168878</v>
          </cell>
        </row>
        <row r="73">
          <cell r="A73">
            <v>3</v>
          </cell>
          <cell r="B73">
            <v>0</v>
          </cell>
          <cell r="C73">
            <v>71051</v>
          </cell>
          <cell r="D73" t="str">
            <v xml:space="preserve">FORMACION                               </v>
          </cell>
          <cell r="E73" t="str">
            <v xml:space="preserve">AGAA53    </v>
          </cell>
          <cell r="F73" t="str">
            <v xml:space="preserve">GENERAL &amp; ADMIN                                   </v>
          </cell>
          <cell r="G73">
            <v>-0.442944</v>
          </cell>
          <cell r="H73">
            <v>-0.442944</v>
          </cell>
          <cell r="I73">
            <v>0.23777499999999999</v>
          </cell>
          <cell r="J73">
            <v>-1.520499</v>
          </cell>
          <cell r="K73">
            <v>-4.6108999999999997E-2</v>
          </cell>
          <cell r="L73">
            <v>-0.442944</v>
          </cell>
          <cell r="M73">
            <v>-0.44294299999999998</v>
          </cell>
          <cell r="N73">
            <v>-0.44294299999999998</v>
          </cell>
          <cell r="O73">
            <v>-0.44294299999999998</v>
          </cell>
          <cell r="P73">
            <v>-0.44294299999999998</v>
          </cell>
          <cell r="Q73">
            <v>-0.442944</v>
          </cell>
          <cell r="R73">
            <v>0.59279400000000004</v>
          </cell>
        </row>
        <row r="74">
          <cell r="A74">
            <v>1</v>
          </cell>
          <cell r="B74">
            <v>0</v>
          </cell>
          <cell r="C74">
            <v>27310</v>
          </cell>
          <cell r="D74" t="str">
            <v xml:space="preserve">COMPRAS                                 </v>
          </cell>
          <cell r="E74" t="str">
            <v xml:space="preserve">AGAA53    </v>
          </cell>
          <cell r="F74" t="str">
            <v xml:space="preserve">GENERAL &amp; ADMIN                                   </v>
          </cell>
          <cell r="G74">
            <v>11.679411999999999</v>
          </cell>
          <cell r="H74">
            <v>10.984494</v>
          </cell>
          <cell r="I74">
            <v>8.1066649999999996</v>
          </cell>
          <cell r="J74">
            <v>8.995298</v>
          </cell>
          <cell r="K74">
            <v>11.053886</v>
          </cell>
          <cell r="L74">
            <v>8.669613</v>
          </cell>
          <cell r="M74">
            <v>8.4172049999999992</v>
          </cell>
          <cell r="N74">
            <v>10.082895000000001</v>
          </cell>
          <cell r="O74">
            <v>10.417776999999999</v>
          </cell>
          <cell r="P74">
            <v>10.757444</v>
          </cell>
          <cell r="Q74">
            <v>11.077973</v>
          </cell>
          <cell r="R74">
            <v>10.299877</v>
          </cell>
        </row>
        <row r="75">
          <cell r="A75">
            <v>18</v>
          </cell>
          <cell r="B75">
            <v>0</v>
          </cell>
          <cell r="C75">
            <v>27300</v>
          </cell>
          <cell r="D75" t="str">
            <v xml:space="preserve">SERVICIOS GENERALES COMPAÑIA            </v>
          </cell>
          <cell r="E75" t="str">
            <v xml:space="preserve">AGAA53    </v>
          </cell>
          <cell r="F75" t="str">
            <v xml:space="preserve">GENERAL &amp; ADMIN                                   </v>
          </cell>
          <cell r="G75">
            <v>-292.95294899999999</v>
          </cell>
          <cell r="H75">
            <v>0.22964599999999999</v>
          </cell>
          <cell r="I75">
            <v>6.2833E-2</v>
          </cell>
          <cell r="J75">
            <v>6.9062299999999999</v>
          </cell>
          <cell r="K75">
            <v>-299.88941199999999</v>
          </cell>
          <cell r="L75">
            <v>-7.5907039999999997</v>
          </cell>
          <cell r="M75">
            <v>0</v>
          </cell>
          <cell r="N75">
            <v>0</v>
          </cell>
          <cell r="O75">
            <v>0</v>
          </cell>
          <cell r="P75">
            <v>-795.00559599999997</v>
          </cell>
          <cell r="Q75">
            <v>0</v>
          </cell>
          <cell r="R75">
            <v>-0.94564199999999998</v>
          </cell>
        </row>
        <row r="76">
          <cell r="A76">
            <v>18</v>
          </cell>
          <cell r="B76">
            <v>0</v>
          </cell>
          <cell r="C76">
            <v>27320</v>
          </cell>
          <cell r="D76" t="str">
            <v xml:space="preserve">DIRECCION ADMINISTRACION                </v>
          </cell>
          <cell r="E76" t="str">
            <v xml:space="preserve">AGAA53    </v>
          </cell>
          <cell r="F76" t="str">
            <v xml:space="preserve">GENERAL &amp; ADMIN                                   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7.653537</v>
          </cell>
          <cell r="M76">
            <v>6.2833E-2</v>
          </cell>
          <cell r="N76">
            <v>6.2833E-2</v>
          </cell>
          <cell r="O76">
            <v>2.721047</v>
          </cell>
          <cell r="P76">
            <v>0.45707799999999998</v>
          </cell>
          <cell r="Q76">
            <v>6.2833E-2</v>
          </cell>
          <cell r="R76">
            <v>3.2256100000000001</v>
          </cell>
        </row>
        <row r="77">
          <cell r="A77">
            <v>78</v>
          </cell>
          <cell r="B77">
            <v>0</v>
          </cell>
          <cell r="C77">
            <v>27300</v>
          </cell>
          <cell r="D77" t="str">
            <v xml:space="preserve">SERVICIOS GENERALES COMPAÑIA            </v>
          </cell>
          <cell r="E77" t="str">
            <v xml:space="preserve">AGAA53    </v>
          </cell>
          <cell r="F77" t="str">
            <v xml:space="preserve">GENERAL &amp; ADMIN                                   </v>
          </cell>
          <cell r="G77">
            <v>293.67478899999998</v>
          </cell>
          <cell r="H77">
            <v>0</v>
          </cell>
          <cell r="I77">
            <v>0</v>
          </cell>
          <cell r="J77">
            <v>0</v>
          </cell>
          <cell r="K77">
            <v>301.02276000000001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795.00559599999997</v>
          </cell>
          <cell r="Q77">
            <v>0</v>
          </cell>
          <cell r="R77">
            <v>0</v>
          </cell>
        </row>
      </sheetData>
      <sheetData sheetId="2"/>
      <sheetData sheetId="3"/>
      <sheetData sheetId="4"/>
      <sheetData sheetId="5"/>
      <sheetData sheetId="6" refreshError="1">
        <row r="1">
          <cell r="A1" t="str">
            <v>CODEMP</v>
          </cell>
          <cell r="B1" t="str">
            <v>Division</v>
          </cell>
          <cell r="C1" t="str">
            <v>CATAP</v>
          </cell>
          <cell r="D1" t="str">
            <v>DESCRIPCION</v>
          </cell>
          <cell r="E1">
            <v>36434</v>
          </cell>
          <cell r="F1">
            <v>36465</v>
          </cell>
          <cell r="G1">
            <v>36495</v>
          </cell>
          <cell r="H1">
            <v>36526</v>
          </cell>
          <cell r="I1">
            <v>36557</v>
          </cell>
          <cell r="J1">
            <v>36586</v>
          </cell>
          <cell r="K1">
            <v>36617</v>
          </cell>
          <cell r="L1">
            <v>36647</v>
          </cell>
          <cell r="M1">
            <v>36678</v>
          </cell>
          <cell r="N1">
            <v>36708</v>
          </cell>
          <cell r="O1">
            <v>36739</v>
          </cell>
          <cell r="P1">
            <v>36770</v>
          </cell>
        </row>
        <row r="2">
          <cell r="A2">
            <v>1</v>
          </cell>
          <cell r="B2">
            <v>1</v>
          </cell>
          <cell r="C2" t="str">
            <v xml:space="preserve">AAAT53    </v>
          </cell>
          <cell r="D2" t="str">
            <v xml:space="preserve">SALES                                             </v>
          </cell>
          <cell r="E2">
            <v>-1356.9114010000001</v>
          </cell>
          <cell r="F2">
            <v>-1402.435426</v>
          </cell>
          <cell r="G2">
            <v>-1137.546376</v>
          </cell>
          <cell r="H2">
            <v>-1303.2428649999999</v>
          </cell>
          <cell r="I2">
            <v>-1404.072253</v>
          </cell>
          <cell r="J2">
            <v>-1594.950079</v>
          </cell>
          <cell r="K2">
            <v>-1269.9873130000001</v>
          </cell>
          <cell r="L2">
            <v>-1556.936516</v>
          </cell>
          <cell r="M2">
            <v>-1572.650308</v>
          </cell>
          <cell r="N2">
            <v>-1459.6334830000001</v>
          </cell>
          <cell r="O2">
            <v>-1209.1197689999999</v>
          </cell>
          <cell r="P2">
            <v>-1566.361193</v>
          </cell>
        </row>
        <row r="3">
          <cell r="A3">
            <v>1</v>
          </cell>
          <cell r="B3">
            <v>1</v>
          </cell>
          <cell r="C3" t="str">
            <v xml:space="preserve">ABAT53    </v>
          </cell>
          <cell r="D3" t="str">
            <v xml:space="preserve">COST OF SALES                                     </v>
          </cell>
          <cell r="E3">
            <v>466.74769600000002</v>
          </cell>
          <cell r="F3">
            <v>458.53652</v>
          </cell>
          <cell r="G3">
            <v>403.33129700000001</v>
          </cell>
          <cell r="H3">
            <v>473.22861899999998</v>
          </cell>
          <cell r="I3">
            <v>495.68430999999998</v>
          </cell>
          <cell r="J3">
            <v>546.09271000000001</v>
          </cell>
          <cell r="K3">
            <v>463.00524200000001</v>
          </cell>
          <cell r="L3">
            <v>578.51309700000002</v>
          </cell>
          <cell r="M3">
            <v>551.48083699999995</v>
          </cell>
          <cell r="N3">
            <v>540.09406100000001</v>
          </cell>
          <cell r="O3">
            <v>459.04781400000002</v>
          </cell>
          <cell r="P3">
            <v>499.24172099999998</v>
          </cell>
        </row>
        <row r="4">
          <cell r="A4">
            <v>1</v>
          </cell>
          <cell r="B4">
            <v>1</v>
          </cell>
          <cell r="C4" t="str">
            <v xml:space="preserve">ABAT53    </v>
          </cell>
          <cell r="D4" t="str">
            <v xml:space="preserve">COST OF SALES                                     </v>
          </cell>
          <cell r="E4">
            <v>-8.8623060000000002</v>
          </cell>
          <cell r="F4">
            <v>-9.5579619999999998</v>
          </cell>
          <cell r="G4">
            <v>-6.9429030000000003</v>
          </cell>
          <cell r="H4">
            <v>-9.2987009999999994</v>
          </cell>
          <cell r="I4">
            <v>-9.8654170000000008</v>
          </cell>
          <cell r="J4">
            <v>-10.873994</v>
          </cell>
          <cell r="K4">
            <v>-8.0445430000000009</v>
          </cell>
          <cell r="L4">
            <v>-10.121054000000001</v>
          </cell>
          <cell r="M4">
            <v>-10.38363</v>
          </cell>
          <cell r="N4">
            <v>-9.5281669999999998</v>
          </cell>
          <cell r="O4">
            <v>-7.9929360000000003</v>
          </cell>
          <cell r="P4">
            <v>-9.7200310000000005</v>
          </cell>
        </row>
        <row r="5">
          <cell r="A5">
            <v>1</v>
          </cell>
          <cell r="B5">
            <v>1</v>
          </cell>
          <cell r="C5" t="str">
            <v xml:space="preserve">ADAA53    </v>
          </cell>
          <cell r="D5" t="str">
            <v xml:space="preserve">DISTRIBUTION                                      </v>
          </cell>
          <cell r="E5">
            <v>349.65422000000001</v>
          </cell>
          <cell r="F5">
            <v>368.67659700000002</v>
          </cell>
          <cell r="G5">
            <v>325.21919800000001</v>
          </cell>
          <cell r="H5">
            <v>363.66279900000001</v>
          </cell>
          <cell r="I5">
            <v>361.53641599999997</v>
          </cell>
          <cell r="J5">
            <v>407.22485799999998</v>
          </cell>
          <cell r="K5">
            <v>355.37391200000002</v>
          </cell>
          <cell r="L5">
            <v>410.912465</v>
          </cell>
          <cell r="M5">
            <v>395.89013299999999</v>
          </cell>
          <cell r="N5">
            <v>379.79759999999999</v>
          </cell>
          <cell r="O5">
            <v>353.17438800000002</v>
          </cell>
          <cell r="P5">
            <v>395.65197599999999</v>
          </cell>
        </row>
        <row r="6">
          <cell r="A6">
            <v>1</v>
          </cell>
          <cell r="B6">
            <v>1</v>
          </cell>
          <cell r="C6" t="str">
            <v xml:space="preserve">AEAA53    </v>
          </cell>
          <cell r="D6" t="str">
            <v xml:space="preserve">DEMURRAGE                                         </v>
          </cell>
          <cell r="E6">
            <v>-220.24249499999999</v>
          </cell>
          <cell r="F6">
            <v>-209.89412100000001</v>
          </cell>
          <cell r="G6">
            <v>-221.39461399999999</v>
          </cell>
          <cell r="H6">
            <v>-219.224728</v>
          </cell>
          <cell r="I6">
            <v>-216.18211500000001</v>
          </cell>
          <cell r="J6">
            <v>-225.843568</v>
          </cell>
          <cell r="K6">
            <v>-216.70330999999999</v>
          </cell>
          <cell r="L6">
            <v>-216.295626</v>
          </cell>
          <cell r="M6">
            <v>-221.51863700000001</v>
          </cell>
          <cell r="N6">
            <v>-226.96514300000001</v>
          </cell>
          <cell r="O6">
            <v>-230.69173599999999</v>
          </cell>
          <cell r="P6">
            <v>-219.772468</v>
          </cell>
        </row>
        <row r="7">
          <cell r="A7">
            <v>1</v>
          </cell>
          <cell r="B7">
            <v>1</v>
          </cell>
          <cell r="C7" t="str">
            <v xml:space="preserve">AFAA53    </v>
          </cell>
          <cell r="D7" t="str">
            <v xml:space="preserve">SELLING EXPENSES                                  </v>
          </cell>
          <cell r="E7">
            <v>99.794528</v>
          </cell>
          <cell r="F7">
            <v>100.765828</v>
          </cell>
          <cell r="G7">
            <v>98.806572000000003</v>
          </cell>
          <cell r="H7">
            <v>66.66825</v>
          </cell>
          <cell r="I7">
            <v>95.557114999999996</v>
          </cell>
          <cell r="J7">
            <v>92.020139</v>
          </cell>
          <cell r="K7">
            <v>93.438090000000003</v>
          </cell>
          <cell r="L7">
            <v>103.02518499999999</v>
          </cell>
          <cell r="M7">
            <v>110.93551100000001</v>
          </cell>
          <cell r="N7">
            <v>99.663931000000005</v>
          </cell>
          <cell r="O7">
            <v>87.600022999999993</v>
          </cell>
          <cell r="P7">
            <v>94.451425999999998</v>
          </cell>
        </row>
        <row r="8">
          <cell r="A8">
            <v>1</v>
          </cell>
          <cell r="B8">
            <v>1</v>
          </cell>
          <cell r="C8" t="str">
            <v xml:space="preserve">AGAA53    </v>
          </cell>
          <cell r="D8" t="str">
            <v xml:space="preserve">GENERAL &amp; ADMIN                                   </v>
          </cell>
          <cell r="E8">
            <v>68.053718000000003</v>
          </cell>
          <cell r="F8">
            <v>71.519580000000005</v>
          </cell>
          <cell r="G8">
            <v>66.825356999999997</v>
          </cell>
          <cell r="H8">
            <v>76.765137999999993</v>
          </cell>
          <cell r="I8">
            <v>73.335187000000005</v>
          </cell>
          <cell r="J8">
            <v>73.587044000000006</v>
          </cell>
          <cell r="K8">
            <v>67.826054999999997</v>
          </cell>
          <cell r="L8">
            <v>67.056053000000006</v>
          </cell>
          <cell r="M8">
            <v>65.950252000000006</v>
          </cell>
          <cell r="N8">
            <v>72.550349999999995</v>
          </cell>
          <cell r="O8">
            <v>74.351021000000003</v>
          </cell>
          <cell r="P8">
            <v>114.56257100000001</v>
          </cell>
        </row>
        <row r="9">
          <cell r="A9">
            <v>1</v>
          </cell>
          <cell r="B9">
            <v>1</v>
          </cell>
          <cell r="C9" t="str">
            <v xml:space="preserve">ALAD53    </v>
          </cell>
          <cell r="D9" t="str">
            <v xml:space="preserve">LOST CYLINDER INCOME                              </v>
          </cell>
          <cell r="E9">
            <v>-0.54866999999999999</v>
          </cell>
          <cell r="F9">
            <v>-1.45265</v>
          </cell>
          <cell r="G9">
            <v>-0.28950900000000002</v>
          </cell>
          <cell r="H9">
            <v>-0.52234100000000006</v>
          </cell>
          <cell r="I9">
            <v>-0.53462500000000002</v>
          </cell>
          <cell r="J9">
            <v>-0.32840000000000003</v>
          </cell>
          <cell r="K9">
            <v>-6.6879999999999995E-2</v>
          </cell>
          <cell r="L9">
            <v>1.2427000000000001E-2</v>
          </cell>
          <cell r="M9">
            <v>-0.103712</v>
          </cell>
          <cell r="N9">
            <v>-0.29510900000000001</v>
          </cell>
          <cell r="O9">
            <v>-0.63712199999999997</v>
          </cell>
          <cell r="P9">
            <v>-0.23527500000000001</v>
          </cell>
        </row>
        <row r="10">
          <cell r="A10">
            <v>1</v>
          </cell>
          <cell r="B10">
            <v>1</v>
          </cell>
          <cell r="C10" t="str">
            <v xml:space="preserve">NCDBYD    </v>
          </cell>
          <cell r="D10" t="str">
            <v xml:space="preserve">COST OF INTERCO SALES                             </v>
          </cell>
          <cell r="E10">
            <v>0</v>
          </cell>
          <cell r="F10">
            <v>0</v>
          </cell>
          <cell r="G10">
            <v>0</v>
          </cell>
          <cell r="H10">
            <v>3.8379629999999998</v>
          </cell>
          <cell r="I10">
            <v>2.5586419999999999</v>
          </cell>
          <cell r="J10">
            <v>1.2793209999999999</v>
          </cell>
          <cell r="K10">
            <v>1.2793209999999999</v>
          </cell>
          <cell r="L10">
            <v>1.2793209999999999</v>
          </cell>
          <cell r="M10">
            <v>1.2793209999999999</v>
          </cell>
          <cell r="N10">
            <v>1.2793209999999999</v>
          </cell>
          <cell r="O10">
            <v>1.2793209999999999</v>
          </cell>
          <cell r="P10">
            <v>1.2793209999999999</v>
          </cell>
        </row>
        <row r="11">
          <cell r="A11">
            <v>1</v>
          </cell>
          <cell r="B11">
            <v>1</v>
          </cell>
          <cell r="C11" t="str">
            <v xml:space="preserve">Z28999    </v>
          </cell>
          <cell r="D11" t="str">
            <v xml:space="preserve">MARK-UP                                           </v>
          </cell>
          <cell r="E11">
            <v>-6.6867159999999997</v>
          </cell>
          <cell r="F11">
            <v>-3.4561120000000001</v>
          </cell>
          <cell r="G11">
            <v>-12.70471</v>
          </cell>
          <cell r="H11">
            <v>-23.033815000000001</v>
          </cell>
          <cell r="I11">
            <v>-16.778341999999999</v>
          </cell>
          <cell r="J11">
            <v>-23.527087999999999</v>
          </cell>
          <cell r="K11">
            <v>-15.41633</v>
          </cell>
          <cell r="L11">
            <v>-22.149311000000001</v>
          </cell>
          <cell r="M11">
            <v>-21.128744999999999</v>
          </cell>
          <cell r="N11">
            <v>-12.605031</v>
          </cell>
          <cell r="O11">
            <v>-17.170407999999998</v>
          </cell>
          <cell r="P11">
            <v>0</v>
          </cell>
        </row>
        <row r="12">
          <cell r="A12">
            <v>1</v>
          </cell>
          <cell r="B12">
            <v>1</v>
          </cell>
          <cell r="C12" t="str">
            <v xml:space="preserve">Z99000    </v>
          </cell>
          <cell r="D12" t="str">
            <v xml:space="preserve">ESTRUCTURA A.P.                                   </v>
          </cell>
          <cell r="E12">
            <v>0.55047500000000005</v>
          </cell>
          <cell r="F12">
            <v>0.16411700000000001</v>
          </cell>
          <cell r="G12">
            <v>0.95487500000000003</v>
          </cell>
          <cell r="H12">
            <v>3.4636E-2</v>
          </cell>
          <cell r="I12">
            <v>0.59153999999999995</v>
          </cell>
          <cell r="J12">
            <v>0.63181500000000002</v>
          </cell>
          <cell r="K12">
            <v>0.33468199999999998</v>
          </cell>
          <cell r="L12">
            <v>0.64976999999999996</v>
          </cell>
          <cell r="M12">
            <v>0.28866700000000001</v>
          </cell>
          <cell r="N12">
            <v>0.28197</v>
          </cell>
          <cell r="O12">
            <v>0.77419899999999997</v>
          </cell>
          <cell r="P12">
            <v>0</v>
          </cell>
        </row>
        <row r="13">
          <cell r="A13">
            <v>3</v>
          </cell>
          <cell r="B13">
            <v>1</v>
          </cell>
          <cell r="C13" t="str">
            <v xml:space="preserve">AAAT53    </v>
          </cell>
          <cell r="D13" t="str">
            <v xml:space="preserve">SALES                                             </v>
          </cell>
          <cell r="E13">
            <v>-98.574411395481761</v>
          </cell>
          <cell r="F13">
            <v>-99.799123779486223</v>
          </cell>
          <cell r="G13">
            <v>-108.710623</v>
          </cell>
          <cell r="H13">
            <v>-121.52685417938541</v>
          </cell>
          <cell r="I13">
            <v>-119.17815400000001</v>
          </cell>
          <cell r="J13">
            <v>-114.213708</v>
          </cell>
          <cell r="K13">
            <v>-118.05721872001065</v>
          </cell>
          <cell r="L13">
            <v>-133.93711981917556</v>
          </cell>
          <cell r="M13">
            <v>-114.434252</v>
          </cell>
          <cell r="N13">
            <v>-107.036529</v>
          </cell>
          <cell r="O13">
            <v>-92.898443999999998</v>
          </cell>
          <cell r="P13">
            <v>-110.121577</v>
          </cell>
        </row>
        <row r="14">
          <cell r="A14">
            <v>3</v>
          </cell>
          <cell r="B14">
            <v>1</v>
          </cell>
          <cell r="C14" t="str">
            <v xml:space="preserve">ABAT53    </v>
          </cell>
          <cell r="D14" t="str">
            <v xml:space="preserve">COST OF SALES                                     </v>
          </cell>
          <cell r="E14">
            <v>40.569154958984505</v>
          </cell>
          <cell r="F14">
            <v>40.785796290251625</v>
          </cell>
          <cell r="G14">
            <v>29.031328000000002</v>
          </cell>
          <cell r="H14">
            <v>48.711598956797822</v>
          </cell>
          <cell r="I14">
            <v>45.628677000000003</v>
          </cell>
          <cell r="J14">
            <v>47.863801000000002</v>
          </cell>
          <cell r="K14">
            <v>47.109270619878735</v>
          </cell>
          <cell r="L14">
            <v>46.63102466217584</v>
          </cell>
          <cell r="M14">
            <v>56.948406999999996</v>
          </cell>
          <cell r="N14">
            <v>14.737432</v>
          </cell>
          <cell r="O14">
            <v>43.370618</v>
          </cell>
          <cell r="P14">
            <v>54.299686999999999</v>
          </cell>
        </row>
        <row r="15">
          <cell r="A15">
            <v>3</v>
          </cell>
          <cell r="B15">
            <v>1</v>
          </cell>
          <cell r="C15" t="str">
            <v xml:space="preserve">ADAA53    </v>
          </cell>
          <cell r="D15" t="str">
            <v xml:space="preserve">DISTRIBUTION                                      </v>
          </cell>
          <cell r="E15">
            <v>27.895422434571962</v>
          </cell>
          <cell r="F15">
            <v>28.622694833280168</v>
          </cell>
          <cell r="G15">
            <v>29.768885000000001</v>
          </cell>
          <cell r="H15">
            <v>34.745204747727172</v>
          </cell>
          <cell r="I15">
            <v>37.650509999999997</v>
          </cell>
          <cell r="J15">
            <v>34.464806000000003</v>
          </cell>
          <cell r="K15">
            <v>33.788513802645348</v>
          </cell>
          <cell r="L15">
            <v>40.959794214800326</v>
          </cell>
          <cell r="M15">
            <v>37.586343999999997</v>
          </cell>
          <cell r="N15">
            <v>31.288698</v>
          </cell>
          <cell r="O15">
            <v>25.796073</v>
          </cell>
          <cell r="P15">
            <v>25.699061</v>
          </cell>
        </row>
        <row r="16">
          <cell r="A16">
            <v>3</v>
          </cell>
          <cell r="B16">
            <v>1</v>
          </cell>
          <cell r="C16" t="str">
            <v xml:space="preserve">AEAA53    </v>
          </cell>
          <cell r="D16" t="str">
            <v xml:space="preserve">DEMURRAGE                                         </v>
          </cell>
          <cell r="E16">
            <v>-22.224973558447715</v>
          </cell>
          <cell r="F16">
            <v>-21.978029407798296</v>
          </cell>
          <cell r="G16">
            <v>-11.046074000000001</v>
          </cell>
          <cell r="H16">
            <v>-10.653876213732079</v>
          </cell>
          <cell r="I16">
            <v>-23.470199000000001</v>
          </cell>
          <cell r="J16">
            <v>-24.470554</v>
          </cell>
          <cell r="K16">
            <v>-24.108804650544712</v>
          </cell>
          <cell r="L16">
            <v>-22.690639671100904</v>
          </cell>
          <cell r="M16">
            <v>-20.446408000000002</v>
          </cell>
          <cell r="N16">
            <v>-18.709287</v>
          </cell>
          <cell r="O16">
            <v>-18.096349</v>
          </cell>
          <cell r="P16">
            <v>-16.21031</v>
          </cell>
        </row>
        <row r="17">
          <cell r="A17">
            <v>3</v>
          </cell>
          <cell r="B17">
            <v>1</v>
          </cell>
          <cell r="C17" t="str">
            <v xml:space="preserve">AFAA53    </v>
          </cell>
          <cell r="D17" t="str">
            <v xml:space="preserve">SELLING EXPENSES                                  </v>
          </cell>
          <cell r="E17">
            <v>6.7091864121845344</v>
          </cell>
          <cell r="F17">
            <v>7.8259687073772755</v>
          </cell>
          <cell r="G17">
            <v>8.1019570000000005</v>
          </cell>
          <cell r="H17">
            <v>13.995872414278622</v>
          </cell>
          <cell r="I17">
            <v>9.6416590000000006</v>
          </cell>
          <cell r="J17">
            <v>8.8379989999999999</v>
          </cell>
          <cell r="K17">
            <v>9.3334124898617752</v>
          </cell>
          <cell r="L17">
            <v>9.9363900028555747</v>
          </cell>
          <cell r="M17">
            <v>14.659333</v>
          </cell>
          <cell r="N17">
            <v>15.189024</v>
          </cell>
          <cell r="O17">
            <v>13.980567000000001</v>
          </cell>
          <cell r="P17">
            <v>10.950692</v>
          </cell>
        </row>
        <row r="18">
          <cell r="A18">
            <v>3</v>
          </cell>
          <cell r="B18">
            <v>1</v>
          </cell>
          <cell r="C18" t="str">
            <v xml:space="preserve">AGAA53    </v>
          </cell>
          <cell r="D18" t="str">
            <v xml:space="preserve">GENERAL &amp; ADMIN                                   </v>
          </cell>
          <cell r="E18">
            <v>9.7262871891644753</v>
          </cell>
          <cell r="F18">
            <v>8.0657806733751443</v>
          </cell>
          <cell r="G18">
            <v>5.8762660000000002</v>
          </cell>
          <cell r="H18">
            <v>6.7133759525076577</v>
          </cell>
          <cell r="I18">
            <v>9.0695510000000006</v>
          </cell>
          <cell r="J18">
            <v>6.5075320000000003</v>
          </cell>
          <cell r="K18">
            <v>8.6430661417550283</v>
          </cell>
          <cell r="L18">
            <v>7.8647037124787795</v>
          </cell>
          <cell r="M18">
            <v>8.8066510000000005</v>
          </cell>
          <cell r="N18">
            <v>2.0970240000000002</v>
          </cell>
          <cell r="O18">
            <v>6.4189299999999996</v>
          </cell>
          <cell r="P18">
            <v>13.701672</v>
          </cell>
        </row>
        <row r="19">
          <cell r="A19">
            <v>17</v>
          </cell>
          <cell r="B19">
            <v>1</v>
          </cell>
          <cell r="C19" t="str">
            <v xml:space="preserve">AAAT53    </v>
          </cell>
          <cell r="D19" t="str">
            <v xml:space="preserve">SALES                                             </v>
          </cell>
          <cell r="E19">
            <v>-0.2424</v>
          </cell>
          <cell r="F19">
            <v>-0.28844999999999998</v>
          </cell>
          <cell r="G19">
            <v>-1.23756</v>
          </cell>
          <cell r="H19">
            <v>-0.34320000000000001</v>
          </cell>
          <cell r="I19">
            <v>-0.83819999999999995</v>
          </cell>
          <cell r="J19">
            <v>-1.13304</v>
          </cell>
          <cell r="K19">
            <v>-0.26382</v>
          </cell>
          <cell r="L19">
            <v>-1.42872</v>
          </cell>
          <cell r="M19">
            <v>-0.108</v>
          </cell>
          <cell r="N19">
            <v>-1.1113200000000001</v>
          </cell>
          <cell r="O19">
            <v>-0.39240000000000003</v>
          </cell>
          <cell r="P19">
            <v>-8.2919999999999994E-2</v>
          </cell>
        </row>
        <row r="20">
          <cell r="A20">
            <v>17</v>
          </cell>
          <cell r="B20">
            <v>1</v>
          </cell>
          <cell r="C20" t="str">
            <v xml:space="preserve">ABAT53    </v>
          </cell>
          <cell r="D20" t="str">
            <v xml:space="preserve">COST OF SALES                                     </v>
          </cell>
          <cell r="E20">
            <v>0.29820000000000002</v>
          </cell>
          <cell r="F20">
            <v>0.34244999999999998</v>
          </cell>
          <cell r="G20">
            <v>1.2933600000000001</v>
          </cell>
          <cell r="H20">
            <v>0.387096</v>
          </cell>
          <cell r="I20">
            <v>0.88622400000000001</v>
          </cell>
          <cell r="J20">
            <v>1.1843760000000001</v>
          </cell>
          <cell r="K20">
            <v>0.18648000000000001</v>
          </cell>
          <cell r="L20">
            <v>2.4806759999999999</v>
          </cell>
          <cell r="M20">
            <v>0.15767999999999999</v>
          </cell>
          <cell r="N20">
            <v>0.28905599999999998</v>
          </cell>
          <cell r="O20">
            <v>0.44373600000000002</v>
          </cell>
          <cell r="P20">
            <v>0.1326</v>
          </cell>
        </row>
        <row r="21">
          <cell r="A21">
            <v>17</v>
          </cell>
          <cell r="B21">
            <v>1</v>
          </cell>
          <cell r="C21" t="str">
            <v xml:space="preserve">AFAA53    </v>
          </cell>
          <cell r="D21" t="str">
            <v xml:space="preserve">SELLING EXPENSES                                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0.45485500000000001</v>
          </cell>
          <cell r="K21">
            <v>0</v>
          </cell>
          <cell r="L21">
            <v>0.113715</v>
          </cell>
          <cell r="M21">
            <v>0</v>
          </cell>
          <cell r="N21">
            <v>0.11163099999999999</v>
          </cell>
          <cell r="O21">
            <v>0</v>
          </cell>
          <cell r="P21">
            <v>0</v>
          </cell>
        </row>
        <row r="22">
          <cell r="A22">
            <v>20</v>
          </cell>
          <cell r="B22">
            <v>1</v>
          </cell>
          <cell r="C22" t="str">
            <v xml:space="preserve">AAAT53    </v>
          </cell>
          <cell r="D22" t="str">
            <v xml:space="preserve">SALES                                             </v>
          </cell>
          <cell r="E22">
            <v>-6.0469629999999999</v>
          </cell>
          <cell r="F22">
            <v>-6.2709950000000001</v>
          </cell>
          <cell r="G22">
            <v>-6.0697830000000002</v>
          </cell>
          <cell r="H22">
            <v>-4.9804539999999999</v>
          </cell>
          <cell r="I22">
            <v>-6.7584520000000001</v>
          </cell>
          <cell r="J22">
            <v>-8.0603239999999996</v>
          </cell>
          <cell r="K22">
            <v>-0.26801999999999998</v>
          </cell>
          <cell r="L22">
            <v>0</v>
          </cell>
          <cell r="M22">
            <v>-0.20441999999999999</v>
          </cell>
          <cell r="N22">
            <v>-0.26125799999999999</v>
          </cell>
          <cell r="O22">
            <v>-0.40787000000000001</v>
          </cell>
          <cell r="P22">
            <v>-0.32694000000000001</v>
          </cell>
        </row>
        <row r="23">
          <cell r="A23">
            <v>20</v>
          </cell>
          <cell r="B23">
            <v>1</v>
          </cell>
          <cell r="C23" t="str">
            <v xml:space="preserve">ABAT53    </v>
          </cell>
          <cell r="D23" t="str">
            <v xml:space="preserve">COST OF SALES                                     </v>
          </cell>
          <cell r="E23">
            <v>3.1970499999999999</v>
          </cell>
          <cell r="F23">
            <v>3.4251689999999999</v>
          </cell>
          <cell r="G23">
            <v>3.0850460000000002</v>
          </cell>
          <cell r="H23">
            <v>3.1230359999999999</v>
          </cell>
          <cell r="I23">
            <v>3.9798179999999999</v>
          </cell>
          <cell r="J23">
            <v>4.8520700000000003</v>
          </cell>
          <cell r="K23">
            <v>0.12352200000000001</v>
          </cell>
          <cell r="L23">
            <v>9.9999999999999995E-7</v>
          </cell>
          <cell r="M23">
            <v>0.14921799999999999</v>
          </cell>
          <cell r="N23">
            <v>0.126335</v>
          </cell>
          <cell r="O23">
            <v>0.18901499999999999</v>
          </cell>
          <cell r="P23">
            <v>0.15632299999999999</v>
          </cell>
        </row>
        <row r="24">
          <cell r="A24">
            <v>20</v>
          </cell>
          <cell r="B24">
            <v>1</v>
          </cell>
          <cell r="C24" t="str">
            <v xml:space="preserve">ADAA53    </v>
          </cell>
          <cell r="D24" t="str">
            <v xml:space="preserve">DISTRIBUTION                                      </v>
          </cell>
          <cell r="E24">
            <v>1.3833610000000001</v>
          </cell>
          <cell r="F24">
            <v>1.561213</v>
          </cell>
          <cell r="G24">
            <v>1.4472769999999999</v>
          </cell>
          <cell r="H24">
            <v>1.5734790000000001</v>
          </cell>
          <cell r="I24">
            <v>1.8420570000000001</v>
          </cell>
          <cell r="J24">
            <v>1.788346</v>
          </cell>
          <cell r="K24">
            <v>9.3807000000000001E-2</v>
          </cell>
          <cell r="L24">
            <v>0</v>
          </cell>
          <cell r="M24">
            <v>7.1546999999999999E-2</v>
          </cell>
          <cell r="N24">
            <v>8.8097999999999996E-2</v>
          </cell>
          <cell r="O24">
            <v>0.14275499999999999</v>
          </cell>
          <cell r="P24">
            <v>0.114429</v>
          </cell>
        </row>
        <row r="25">
          <cell r="A25">
            <v>20</v>
          </cell>
          <cell r="B25">
            <v>1</v>
          </cell>
          <cell r="C25" t="str">
            <v xml:space="preserve">AFAA53    </v>
          </cell>
          <cell r="D25" t="str">
            <v xml:space="preserve">SELLING EXPENSES                                  </v>
          </cell>
          <cell r="E25">
            <v>0.732124</v>
          </cell>
          <cell r="F25">
            <v>0.66006699999999996</v>
          </cell>
          <cell r="G25">
            <v>1.0638650000000001</v>
          </cell>
          <cell r="H25">
            <v>1.0569299999999999</v>
          </cell>
          <cell r="I25">
            <v>0.94437800000000005</v>
          </cell>
          <cell r="J25">
            <v>1.5469280000000001</v>
          </cell>
          <cell r="K25">
            <v>0.30423699999999998</v>
          </cell>
          <cell r="L25">
            <v>0.37487100000000001</v>
          </cell>
          <cell r="M25">
            <v>2.5727E-2</v>
          </cell>
          <cell r="N25">
            <v>-0.49999900000000003</v>
          </cell>
          <cell r="O25">
            <v>-1.9900000000000001E-4</v>
          </cell>
          <cell r="P25">
            <v>-13.328364000000001</v>
          </cell>
        </row>
        <row r="26">
          <cell r="A26">
            <v>75</v>
          </cell>
          <cell r="B26">
            <v>1</v>
          </cell>
          <cell r="C26" t="str">
            <v xml:space="preserve">AGAA53    </v>
          </cell>
          <cell r="D26" t="str">
            <v xml:space="preserve">GENERAL &amp; ADMIN                                   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>
            <v>75</v>
          </cell>
          <cell r="B27">
            <v>1</v>
          </cell>
          <cell r="C27" t="str">
            <v xml:space="preserve">ALAA53    </v>
          </cell>
          <cell r="D27" t="str">
            <v xml:space="preserve">AMORTISATION OF GOODWILL                          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>
            <v>75</v>
          </cell>
          <cell r="B28">
            <v>1</v>
          </cell>
          <cell r="C28" t="str">
            <v xml:space="preserve">ALAD53    </v>
          </cell>
          <cell r="D28" t="str">
            <v xml:space="preserve">LOST CYLINDER INCOME                              </v>
          </cell>
          <cell r="E28">
            <v>7.2639999999999996E-2</v>
          </cell>
          <cell r="F28">
            <v>8.1372E-2</v>
          </cell>
          <cell r="G28">
            <v>0.27522000000000002</v>
          </cell>
          <cell r="H28">
            <v>0.10874300000000001</v>
          </cell>
          <cell r="I28">
            <v>6.0363E-2</v>
          </cell>
          <cell r="J28">
            <v>1.6648E-2</v>
          </cell>
          <cell r="K28">
            <v>4.2997E-2</v>
          </cell>
          <cell r="L28">
            <v>1.0815999999999999E-2</v>
          </cell>
          <cell r="M28">
            <v>5.1513999999999997E-2</v>
          </cell>
          <cell r="N28">
            <v>4.1320999999999997E-2</v>
          </cell>
          <cell r="O28">
            <v>9.3820000000000001E-2</v>
          </cell>
          <cell r="P28">
            <v>8.8959999999999994E-3</v>
          </cell>
        </row>
        <row r="29">
          <cell r="A29">
            <v>76</v>
          </cell>
          <cell r="B29">
            <v>1</v>
          </cell>
          <cell r="C29" t="str">
            <v xml:space="preserve">AAAT53    </v>
          </cell>
          <cell r="D29" t="str">
            <v xml:space="preserve">SALES                                             </v>
          </cell>
          <cell r="E29">
            <v>3.5209920000000001</v>
          </cell>
          <cell r="F29">
            <v>3.7109930000000002</v>
          </cell>
          <cell r="G29">
            <v>4.3979189999999999</v>
          </cell>
          <cell r="H29">
            <v>3.4925649999999999</v>
          </cell>
          <cell r="I29">
            <v>4.9583570000000003</v>
          </cell>
          <cell r="J29">
            <v>6.1122820000000004</v>
          </cell>
          <cell r="K29">
            <v>0.37777100000000002</v>
          </cell>
          <cell r="L29">
            <v>2.7923610000000001</v>
          </cell>
          <cell r="M29">
            <v>0.22751399999999999</v>
          </cell>
          <cell r="N29">
            <v>0.23771999999999999</v>
          </cell>
          <cell r="O29">
            <v>0.78806500000000002</v>
          </cell>
          <cell r="P29">
            <v>8.9940000000000006E-2</v>
          </cell>
        </row>
        <row r="30">
          <cell r="A30">
            <v>76</v>
          </cell>
          <cell r="B30">
            <v>1</v>
          </cell>
          <cell r="C30" t="str">
            <v xml:space="preserve">ABAT53    </v>
          </cell>
          <cell r="D30" t="str">
            <v xml:space="preserve">COST OF SALES                                     </v>
          </cell>
          <cell r="E30">
            <v>-3.5767920000000002</v>
          </cell>
          <cell r="F30">
            <v>-3.7109930000000002</v>
          </cell>
          <cell r="G30">
            <v>-4.3979189999999999</v>
          </cell>
          <cell r="H30">
            <v>-3.4925649999999999</v>
          </cell>
          <cell r="I30">
            <v>-4.7413569999999998</v>
          </cell>
          <cell r="J30">
            <v>-5.4966179999999998</v>
          </cell>
          <cell r="K30">
            <v>-0.37777100000000002</v>
          </cell>
          <cell r="L30">
            <v>-2.5636969999999999</v>
          </cell>
          <cell r="M30">
            <v>-0.15767999999999999</v>
          </cell>
          <cell r="N30">
            <v>-0.28905599999999998</v>
          </cell>
          <cell r="O30">
            <v>-0.90757900000000002</v>
          </cell>
          <cell r="P30">
            <v>-8.9940000000000006E-2</v>
          </cell>
        </row>
        <row r="31">
          <cell r="A31">
            <v>76</v>
          </cell>
          <cell r="B31">
            <v>1</v>
          </cell>
          <cell r="C31" t="str">
            <v xml:space="preserve">ADAA53    </v>
          </cell>
          <cell r="D31" t="str">
            <v xml:space="preserve">DISTRIBUTION                                      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>
            <v>76</v>
          </cell>
          <cell r="B32">
            <v>1</v>
          </cell>
          <cell r="C32" t="str">
            <v xml:space="preserve">AEAA53    </v>
          </cell>
          <cell r="D32" t="str">
            <v xml:space="preserve">DEMURRAGE                                         </v>
          </cell>
          <cell r="E32">
            <v>5.5800000000000002E-2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5.1336E-2</v>
          </cell>
          <cell r="K32">
            <v>0</v>
          </cell>
          <cell r="L32">
            <v>5.1336E-2</v>
          </cell>
          <cell r="M32">
            <v>4.9680000000000002E-2</v>
          </cell>
          <cell r="N32">
            <v>5.1336E-2</v>
          </cell>
          <cell r="O32">
            <v>0</v>
          </cell>
          <cell r="P32">
            <v>0</v>
          </cell>
        </row>
        <row r="33">
          <cell r="A33">
            <v>76</v>
          </cell>
          <cell r="B33">
            <v>1</v>
          </cell>
          <cell r="C33" t="str">
            <v xml:space="preserve">AFAA53    </v>
          </cell>
          <cell r="D33" t="str">
            <v xml:space="preserve">SELLING EXPENSES                                  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13.769088999999999</v>
          </cell>
        </row>
        <row r="34">
          <cell r="A34">
            <v>76</v>
          </cell>
          <cell r="B34">
            <v>1</v>
          </cell>
          <cell r="C34" t="str">
            <v xml:space="preserve">ALAA53    </v>
          </cell>
          <cell r="D34" t="str">
            <v xml:space="preserve">AMORTISATION OF GOODWILL                          </v>
          </cell>
          <cell r="E34">
            <v>0.37218400000000001</v>
          </cell>
          <cell r="F34">
            <v>0.37218400000000001</v>
          </cell>
          <cell r="G34">
            <v>0.37218400000000001</v>
          </cell>
          <cell r="H34">
            <v>0.37218400000000001</v>
          </cell>
          <cell r="I34">
            <v>0.37218400000000001</v>
          </cell>
          <cell r="J34">
            <v>0.37218400000000001</v>
          </cell>
          <cell r="K34">
            <v>0.37218400000000001</v>
          </cell>
          <cell r="L34">
            <v>0.37218400000000001</v>
          </cell>
          <cell r="M34">
            <v>0.37218400000000001</v>
          </cell>
          <cell r="N34">
            <v>0.37218400000000001</v>
          </cell>
          <cell r="O34">
            <v>0.37218400000000001</v>
          </cell>
          <cell r="P34">
            <v>0.37218400000000001</v>
          </cell>
        </row>
        <row r="35">
          <cell r="A35">
            <v>77</v>
          </cell>
          <cell r="B35">
            <v>1</v>
          </cell>
          <cell r="C35" t="str">
            <v xml:space="preserve">AAAT53    </v>
          </cell>
          <cell r="D35" t="str">
            <v xml:space="preserve">SALES                                            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3.4177140000000001</v>
          </cell>
        </row>
        <row r="36">
          <cell r="A36">
            <v>79</v>
          </cell>
          <cell r="B36">
            <v>1</v>
          </cell>
          <cell r="C36" t="str">
            <v xml:space="preserve">AAAT53    </v>
          </cell>
          <cell r="D36" t="str">
            <v xml:space="preserve">SALES                                             </v>
          </cell>
          <cell r="E36">
            <v>0</v>
          </cell>
          <cell r="F36">
            <v>0</v>
          </cell>
          <cell r="G36">
            <v>3.8555090000000001</v>
          </cell>
          <cell r="H36">
            <v>9.2348599999999994</v>
          </cell>
          <cell r="I36">
            <v>5.2075360000000002</v>
          </cell>
          <cell r="J36">
            <v>4.6775200000000003</v>
          </cell>
          <cell r="K36">
            <v>5.7589860000000002</v>
          </cell>
          <cell r="L36">
            <v>9.0069330000000001</v>
          </cell>
          <cell r="M36">
            <v>5.3416750000000004</v>
          </cell>
          <cell r="N36">
            <v>2.651907</v>
          </cell>
          <cell r="O36">
            <v>4.3752500000000003</v>
          </cell>
          <cell r="P36">
            <v>3.8887499999999999</v>
          </cell>
        </row>
        <row r="37">
          <cell r="A37">
            <v>79</v>
          </cell>
          <cell r="B37">
            <v>1</v>
          </cell>
          <cell r="C37" t="str">
            <v xml:space="preserve">AEAA53    </v>
          </cell>
          <cell r="D37" t="str">
            <v xml:space="preserve">DEMURRAGE                                         </v>
          </cell>
          <cell r="E37">
            <v>0</v>
          </cell>
          <cell r="F37">
            <v>0</v>
          </cell>
          <cell r="G37">
            <v>6.313E-3</v>
          </cell>
          <cell r="H37">
            <v>0.12871199999999999</v>
          </cell>
          <cell r="I37">
            <v>9.9461999999999995E-2</v>
          </cell>
          <cell r="J37">
            <v>5.6319000000000001E-2</v>
          </cell>
          <cell r="K37">
            <v>7.1526999999999993E-2</v>
          </cell>
          <cell r="L37">
            <v>5.3362E-2</v>
          </cell>
          <cell r="M37">
            <v>0.56318999999999997</v>
          </cell>
          <cell r="N37">
            <v>0</v>
          </cell>
          <cell r="O37">
            <v>0.56318900000000005</v>
          </cell>
          <cell r="P37">
            <v>0.144063</v>
          </cell>
        </row>
        <row r="38">
          <cell r="A38">
            <v>1</v>
          </cell>
          <cell r="B38">
            <v>2</v>
          </cell>
          <cell r="C38" t="str">
            <v xml:space="preserve">AAAT53    </v>
          </cell>
          <cell r="D38" t="str">
            <v xml:space="preserve">SALES                                             </v>
          </cell>
          <cell r="E38">
            <v>-160.12080499999999</v>
          </cell>
          <cell r="F38">
            <v>-194.28563299999999</v>
          </cell>
          <cell r="G38">
            <v>-156.09200999999999</v>
          </cell>
          <cell r="H38">
            <v>-150.12392399999999</v>
          </cell>
          <cell r="I38">
            <v>-183.96964800000001</v>
          </cell>
          <cell r="J38">
            <v>-187.555995</v>
          </cell>
          <cell r="K38">
            <v>-157.56601800000001</v>
          </cell>
          <cell r="L38">
            <v>-181.79940999999999</v>
          </cell>
          <cell r="M38">
            <v>-183.495407</v>
          </cell>
          <cell r="N38">
            <v>-145.96002200000001</v>
          </cell>
          <cell r="O38">
            <v>-99.891638999999998</v>
          </cell>
          <cell r="P38">
            <v>-185.93852999999999</v>
          </cell>
        </row>
        <row r="39">
          <cell r="A39">
            <v>1</v>
          </cell>
          <cell r="B39">
            <v>2</v>
          </cell>
          <cell r="C39" t="str">
            <v xml:space="preserve">ABAT53    </v>
          </cell>
          <cell r="D39" t="str">
            <v xml:space="preserve">COST OF SALES                                     </v>
          </cell>
          <cell r="E39">
            <v>114.966683</v>
          </cell>
          <cell r="F39">
            <v>134.578957</v>
          </cell>
          <cell r="G39">
            <v>108.716723</v>
          </cell>
          <cell r="H39">
            <v>108.4331</v>
          </cell>
          <cell r="I39">
            <v>135.96907400000001</v>
          </cell>
          <cell r="J39">
            <v>133.38826299999999</v>
          </cell>
          <cell r="K39">
            <v>107.490061</v>
          </cell>
          <cell r="L39">
            <v>127.686864</v>
          </cell>
          <cell r="M39">
            <v>133.74875</v>
          </cell>
          <cell r="N39">
            <v>106.60231899999999</v>
          </cell>
          <cell r="O39">
            <v>71.625011999999998</v>
          </cell>
          <cell r="P39">
            <v>138.617704</v>
          </cell>
        </row>
        <row r="40">
          <cell r="A40">
            <v>1</v>
          </cell>
          <cell r="B40">
            <v>2</v>
          </cell>
          <cell r="C40" t="str">
            <v xml:space="preserve">ADAA53    </v>
          </cell>
          <cell r="D40" t="str">
            <v xml:space="preserve">DISTRIBUTION                                      </v>
          </cell>
          <cell r="E40">
            <v>14.668536</v>
          </cell>
          <cell r="F40">
            <v>11.262694</v>
          </cell>
          <cell r="G40">
            <v>12.810034999999999</v>
          </cell>
          <cell r="H40">
            <v>13.907375</v>
          </cell>
          <cell r="I40">
            <v>13.266137000000001</v>
          </cell>
          <cell r="J40">
            <v>29.538114</v>
          </cell>
          <cell r="K40">
            <v>13.79557</v>
          </cell>
          <cell r="L40">
            <v>18.235949999999999</v>
          </cell>
          <cell r="M40">
            <v>14.526911999999999</v>
          </cell>
          <cell r="N40">
            <v>16.199518999999999</v>
          </cell>
          <cell r="O40">
            <v>10.357243</v>
          </cell>
          <cell r="P40">
            <v>15.580489</v>
          </cell>
        </row>
        <row r="41">
          <cell r="A41">
            <v>1</v>
          </cell>
          <cell r="B41">
            <v>2</v>
          </cell>
          <cell r="C41" t="str">
            <v xml:space="preserve">AFAA53    </v>
          </cell>
          <cell r="D41" t="str">
            <v xml:space="preserve">SELLING EXPENSES                                  </v>
          </cell>
          <cell r="E41">
            <v>19.204222000000001</v>
          </cell>
          <cell r="F41">
            <v>21.078254000000001</v>
          </cell>
          <cell r="G41">
            <v>19.186423000000001</v>
          </cell>
          <cell r="H41">
            <v>21.489657999999999</v>
          </cell>
          <cell r="I41">
            <v>20.119042</v>
          </cell>
          <cell r="J41">
            <v>5.5973300000000004</v>
          </cell>
          <cell r="K41">
            <v>16.605481000000001</v>
          </cell>
          <cell r="L41">
            <v>18.220699</v>
          </cell>
          <cell r="M41">
            <v>18.043998999999999</v>
          </cell>
          <cell r="N41">
            <v>19.074964999999999</v>
          </cell>
          <cell r="O41">
            <v>13.795851000000001</v>
          </cell>
          <cell r="P41">
            <v>15.584334999999999</v>
          </cell>
        </row>
        <row r="42">
          <cell r="A42">
            <v>1</v>
          </cell>
          <cell r="B42">
            <v>2</v>
          </cell>
          <cell r="C42" t="str">
            <v xml:space="preserve">AGAA53    </v>
          </cell>
          <cell r="D42" t="str">
            <v xml:space="preserve">GENERAL &amp; ADMIN                                   </v>
          </cell>
          <cell r="E42">
            <v>6.2166740000000003</v>
          </cell>
          <cell r="F42">
            <v>5.3784140000000003</v>
          </cell>
          <cell r="G42">
            <v>7.5554589999999999</v>
          </cell>
          <cell r="H42">
            <v>2.6605449999999999</v>
          </cell>
          <cell r="I42">
            <v>8.5695829999999997</v>
          </cell>
          <cell r="J42">
            <v>7.0364680000000002</v>
          </cell>
          <cell r="K42">
            <v>7.1548210000000001</v>
          </cell>
          <cell r="L42">
            <v>6.8350010000000001</v>
          </cell>
          <cell r="M42">
            <v>7.2735440000000002</v>
          </cell>
          <cell r="N42">
            <v>6.8971340000000003</v>
          </cell>
          <cell r="O42">
            <v>6.2294409999999996</v>
          </cell>
          <cell r="P42">
            <v>3.0504060000000002</v>
          </cell>
        </row>
        <row r="43">
          <cell r="A43">
            <v>1</v>
          </cell>
          <cell r="B43">
            <v>2</v>
          </cell>
          <cell r="C43" t="str">
            <v xml:space="preserve">ALAD53    </v>
          </cell>
          <cell r="D43" t="str">
            <v xml:space="preserve">LOST CYLINDER INCOME                              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A44">
            <v>3</v>
          </cell>
          <cell r="B44">
            <v>2</v>
          </cell>
          <cell r="C44" t="str">
            <v xml:space="preserve">AAAT53    </v>
          </cell>
          <cell r="D44" t="str">
            <v xml:space="preserve">SALES                                             </v>
          </cell>
          <cell r="E44">
            <v>-6.8190442761575571</v>
          </cell>
          <cell r="F44">
            <v>-6.9037657353461812</v>
          </cell>
          <cell r="G44">
            <v>-7.7578760000000004</v>
          </cell>
          <cell r="H44">
            <v>-8.4068166135593732</v>
          </cell>
          <cell r="I44">
            <v>-7.5114289999999997</v>
          </cell>
          <cell r="J44">
            <v>-6.5079589999999996</v>
          </cell>
          <cell r="K44">
            <v>-8.1667989712051074</v>
          </cell>
          <cell r="L44">
            <v>-9.2653168031986954</v>
          </cell>
          <cell r="M44">
            <v>-8.3910370000000007</v>
          </cell>
          <cell r="N44">
            <v>-6.4760210000000002</v>
          </cell>
          <cell r="O44">
            <v>-10.386711</v>
          </cell>
          <cell r="P44">
            <v>-5.9992970000000003</v>
          </cell>
        </row>
        <row r="45">
          <cell r="A45">
            <v>3</v>
          </cell>
          <cell r="B45">
            <v>2</v>
          </cell>
          <cell r="C45" t="str">
            <v xml:space="preserve">ABAT53    </v>
          </cell>
          <cell r="D45" t="str">
            <v xml:space="preserve">COST OF SALES                                     </v>
          </cell>
          <cell r="E45">
            <v>7.4608510943010424</v>
          </cell>
          <cell r="F45">
            <v>7.5006924150061263</v>
          </cell>
          <cell r="G45">
            <v>11.880660000000001</v>
          </cell>
          <cell r="H45">
            <v>8.9582833743864505</v>
          </cell>
          <cell r="I45">
            <v>6.5144270000000004</v>
          </cell>
          <cell r="J45">
            <v>5.5652939999999997</v>
          </cell>
          <cell r="K45">
            <v>8.6636079457752651</v>
          </cell>
          <cell r="L45">
            <v>8.5756563510112134</v>
          </cell>
          <cell r="M45">
            <v>8.1398679999999999</v>
          </cell>
          <cell r="N45">
            <v>5.917211</v>
          </cell>
          <cell r="O45">
            <v>10.064791</v>
          </cell>
          <cell r="P45">
            <v>5.5957920000000003</v>
          </cell>
        </row>
        <row r="46">
          <cell r="A46">
            <v>3</v>
          </cell>
          <cell r="B46">
            <v>2</v>
          </cell>
          <cell r="C46" t="str">
            <v xml:space="preserve">ADAA53    </v>
          </cell>
          <cell r="D46" t="str">
            <v xml:space="preserve">DISTRIBUTION                                      </v>
          </cell>
          <cell r="E46">
            <v>5.7608404010167966E-2</v>
          </cell>
          <cell r="F46">
            <v>5.9110335098270142E-2</v>
          </cell>
          <cell r="G46">
            <v>6.5570000000000003E-2</v>
          </cell>
          <cell r="H46">
            <v>7.1754274279868496E-2</v>
          </cell>
          <cell r="I46">
            <v>6.5570000000000003E-2</v>
          </cell>
          <cell r="J46">
            <v>6.5570000000000003E-2</v>
          </cell>
          <cell r="K46">
            <v>6.9778558063116058E-2</v>
          </cell>
          <cell r="L46">
            <v>8.4588372118544156E-2</v>
          </cell>
          <cell r="M46">
            <v>6.5570000000000003E-2</v>
          </cell>
          <cell r="N46">
            <v>6.5570000000000003E-2</v>
          </cell>
          <cell r="O46">
            <v>6.5570000000000003E-2</v>
          </cell>
          <cell r="P46">
            <v>6.5570000000000003E-2</v>
          </cell>
        </row>
        <row r="47">
          <cell r="A47">
            <v>11</v>
          </cell>
          <cell r="B47">
            <v>2</v>
          </cell>
          <cell r="C47" t="str">
            <v xml:space="preserve">AAAT53    </v>
          </cell>
          <cell r="D47" t="str">
            <v xml:space="preserve">SALES                                             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>
            <v>11</v>
          </cell>
          <cell r="B48">
            <v>2</v>
          </cell>
          <cell r="C48" t="str">
            <v xml:space="preserve">ABAT53    </v>
          </cell>
          <cell r="D48" t="str">
            <v xml:space="preserve">COST OF SALES                                     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A49">
            <v>11</v>
          </cell>
          <cell r="B49">
            <v>2</v>
          </cell>
          <cell r="C49" t="str">
            <v xml:space="preserve">ADAA53    </v>
          </cell>
          <cell r="D49" t="str">
            <v xml:space="preserve">DISTRIBUTION                                    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A50">
            <v>11</v>
          </cell>
          <cell r="B50">
            <v>2</v>
          </cell>
          <cell r="C50" t="str">
            <v xml:space="preserve">AFAA53    </v>
          </cell>
          <cell r="D50" t="str">
            <v xml:space="preserve">SELLING EXPENSES                                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>
            <v>11</v>
          </cell>
          <cell r="B51">
            <v>2</v>
          </cell>
          <cell r="C51" t="str">
            <v xml:space="preserve">AGAA53    </v>
          </cell>
          <cell r="D51" t="str">
            <v xml:space="preserve">GENERAL &amp; ADMIN                                   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>
            <v>76</v>
          </cell>
          <cell r="B52">
            <v>2</v>
          </cell>
          <cell r="C52" t="str">
            <v xml:space="preserve">AAAT53    </v>
          </cell>
          <cell r="D52" t="str">
            <v xml:space="preserve">SALES                                             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>
            <v>76</v>
          </cell>
          <cell r="B53">
            <v>2</v>
          </cell>
          <cell r="C53" t="str">
            <v xml:space="preserve">ABAT53    </v>
          </cell>
          <cell r="D53" t="str">
            <v xml:space="preserve">COST OF SALES                                     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>
            <v>76</v>
          </cell>
          <cell r="B54">
            <v>2</v>
          </cell>
          <cell r="C54" t="str">
            <v xml:space="preserve">ADAA53    </v>
          </cell>
          <cell r="D54" t="str">
            <v xml:space="preserve">DISTRIBUTION                                      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76</v>
          </cell>
          <cell r="B55">
            <v>2</v>
          </cell>
          <cell r="C55" t="str">
            <v xml:space="preserve">AFAA53    </v>
          </cell>
          <cell r="D55" t="str">
            <v xml:space="preserve">SELLING EXPENSES                                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A56">
            <v>76</v>
          </cell>
          <cell r="B56">
            <v>2</v>
          </cell>
          <cell r="C56" t="str">
            <v xml:space="preserve">AGAA53    </v>
          </cell>
          <cell r="D56" t="str">
            <v xml:space="preserve">GENERAL &amp; ADMIN                                   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>
            <v>79</v>
          </cell>
          <cell r="B57">
            <v>2</v>
          </cell>
          <cell r="C57" t="str">
            <v xml:space="preserve">AAAT53    </v>
          </cell>
          <cell r="D57" t="str">
            <v xml:space="preserve">SALES                                             </v>
          </cell>
          <cell r="E57">
            <v>0</v>
          </cell>
          <cell r="F57">
            <v>0</v>
          </cell>
          <cell r="G57">
            <v>-3.3473000000000003E-2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-1.4760000000000001E-3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>
            <v>1</v>
          </cell>
          <cell r="B58">
            <v>3</v>
          </cell>
          <cell r="C58" t="str">
            <v xml:space="preserve">AAAT53    </v>
          </cell>
          <cell r="D58" t="str">
            <v xml:space="preserve">SALES                                             </v>
          </cell>
          <cell r="E58">
            <v>-604.804483</v>
          </cell>
          <cell r="F58">
            <v>-666.54333499999996</v>
          </cell>
          <cell r="G58">
            <v>-688.84550200000001</v>
          </cell>
          <cell r="H58">
            <v>-742.27383299999997</v>
          </cell>
          <cell r="I58">
            <v>-692.50720699999999</v>
          </cell>
          <cell r="J58">
            <v>-665.71778400000005</v>
          </cell>
          <cell r="K58">
            <v>-582.08165399999996</v>
          </cell>
          <cell r="L58">
            <v>-603.43816600000002</v>
          </cell>
          <cell r="M58">
            <v>-631.70985599999995</v>
          </cell>
          <cell r="N58">
            <v>-616.76205800000002</v>
          </cell>
          <cell r="O58">
            <v>-528.232527</v>
          </cell>
          <cell r="P58">
            <v>-605.33807400000001</v>
          </cell>
        </row>
        <row r="59">
          <cell r="A59">
            <v>1</v>
          </cell>
          <cell r="B59">
            <v>3</v>
          </cell>
          <cell r="C59" t="str">
            <v xml:space="preserve">ABAT53    </v>
          </cell>
          <cell r="D59" t="str">
            <v xml:space="preserve">COST OF SALES                                     </v>
          </cell>
          <cell r="E59">
            <v>209.712771</v>
          </cell>
          <cell r="F59">
            <v>213.999505</v>
          </cell>
          <cell r="G59">
            <v>217.406282</v>
          </cell>
          <cell r="H59">
            <v>211.814785</v>
          </cell>
          <cell r="I59">
            <v>232.58084199999999</v>
          </cell>
          <cell r="J59">
            <v>211.24083899999999</v>
          </cell>
          <cell r="K59">
            <v>193.80789300000001</v>
          </cell>
          <cell r="L59">
            <v>178.07527300000001</v>
          </cell>
          <cell r="M59">
            <v>202.82584600000001</v>
          </cell>
          <cell r="N59">
            <v>204.59005199999999</v>
          </cell>
          <cell r="O59">
            <v>172.785258</v>
          </cell>
          <cell r="P59">
            <v>210.00588300000001</v>
          </cell>
        </row>
        <row r="60">
          <cell r="A60">
            <v>1</v>
          </cell>
          <cell r="B60">
            <v>3</v>
          </cell>
          <cell r="C60" t="str">
            <v xml:space="preserve">ABAT53    </v>
          </cell>
          <cell r="D60" t="str">
            <v xml:space="preserve">COST OF SALES                                     </v>
          </cell>
          <cell r="E60">
            <v>-3.7449140000000001</v>
          </cell>
          <cell r="F60">
            <v>-4.0388729999999997</v>
          </cell>
          <cell r="G60">
            <v>-2.9338380000000002</v>
          </cell>
          <cell r="H60">
            <v>-3.929319</v>
          </cell>
          <cell r="I60">
            <v>-4.168793</v>
          </cell>
          <cell r="J60">
            <v>-4.5949840000000002</v>
          </cell>
          <cell r="K60">
            <v>-3.3993530000000001</v>
          </cell>
          <cell r="L60">
            <v>-4.2768170000000003</v>
          </cell>
          <cell r="M60">
            <v>-4.387772</v>
          </cell>
          <cell r="N60">
            <v>-4.0262830000000003</v>
          </cell>
          <cell r="O60">
            <v>-3.3775460000000002</v>
          </cell>
          <cell r="P60">
            <v>-4.1073589999999998</v>
          </cell>
        </row>
        <row r="61">
          <cell r="A61">
            <v>1</v>
          </cell>
          <cell r="B61">
            <v>3</v>
          </cell>
          <cell r="C61" t="str">
            <v xml:space="preserve">ADAA53    </v>
          </cell>
          <cell r="D61" t="str">
            <v xml:space="preserve">DISTRIBUTION                                      </v>
          </cell>
          <cell r="E61">
            <v>76.773745000000005</v>
          </cell>
          <cell r="F61">
            <v>92.142522</v>
          </cell>
          <cell r="G61">
            <v>90.617774999999995</v>
          </cell>
          <cell r="H61">
            <v>111.28989300000001</v>
          </cell>
          <cell r="I61">
            <v>98.427242000000007</v>
          </cell>
          <cell r="J61">
            <v>106.01694999999999</v>
          </cell>
          <cell r="K61">
            <v>91.524702000000005</v>
          </cell>
          <cell r="L61">
            <v>106.030169</v>
          </cell>
          <cell r="M61">
            <v>101.544662</v>
          </cell>
          <cell r="N61">
            <v>108.805233</v>
          </cell>
          <cell r="O61">
            <v>99.693038999999999</v>
          </cell>
          <cell r="P61">
            <v>87.669242999999994</v>
          </cell>
        </row>
        <row r="62">
          <cell r="A62">
            <v>1</v>
          </cell>
          <cell r="B62">
            <v>3</v>
          </cell>
          <cell r="C62" t="str">
            <v xml:space="preserve">AEAA53    </v>
          </cell>
          <cell r="D62" t="str">
            <v xml:space="preserve">DEMURRAGE                                         </v>
          </cell>
          <cell r="E62">
            <v>-32.058501</v>
          </cell>
          <cell r="F62">
            <v>-30.597107999999999</v>
          </cell>
          <cell r="G62">
            <v>-32.886558000000001</v>
          </cell>
          <cell r="H62">
            <v>-33.181775000000002</v>
          </cell>
          <cell r="I62">
            <v>-31.187056999999999</v>
          </cell>
          <cell r="J62">
            <v>-34.718125000000001</v>
          </cell>
          <cell r="K62">
            <v>-31.568746999999998</v>
          </cell>
          <cell r="L62">
            <v>-32.229405</v>
          </cell>
          <cell r="M62">
            <v>-32.620485000000002</v>
          </cell>
          <cell r="N62">
            <v>-32.623775000000002</v>
          </cell>
          <cell r="O62">
            <v>-33.626753999999998</v>
          </cell>
          <cell r="P62">
            <v>-31.359762</v>
          </cell>
        </row>
        <row r="63">
          <cell r="A63">
            <v>1</v>
          </cell>
          <cell r="B63">
            <v>3</v>
          </cell>
          <cell r="C63" t="str">
            <v xml:space="preserve">AFAA53    </v>
          </cell>
          <cell r="D63" t="str">
            <v xml:space="preserve">SELLING EXPENSES                                  </v>
          </cell>
          <cell r="E63">
            <v>56.275032000000003</v>
          </cell>
          <cell r="F63">
            <v>53.435932000000001</v>
          </cell>
          <cell r="G63">
            <v>51.204166000000001</v>
          </cell>
          <cell r="H63">
            <v>53.159775000000003</v>
          </cell>
          <cell r="I63">
            <v>54.589804999999998</v>
          </cell>
          <cell r="J63">
            <v>45.312277000000002</v>
          </cell>
          <cell r="K63">
            <v>50.227423999999999</v>
          </cell>
          <cell r="L63">
            <v>51.044507000000003</v>
          </cell>
          <cell r="M63">
            <v>49.410009000000002</v>
          </cell>
          <cell r="N63">
            <v>46.034855</v>
          </cell>
          <cell r="O63">
            <v>44.699255999999998</v>
          </cell>
          <cell r="P63">
            <v>47.352027999999997</v>
          </cell>
        </row>
        <row r="64">
          <cell r="A64">
            <v>1</v>
          </cell>
          <cell r="B64">
            <v>3</v>
          </cell>
          <cell r="C64" t="str">
            <v xml:space="preserve">AGAA53    </v>
          </cell>
          <cell r="D64" t="str">
            <v xml:space="preserve">GENERAL &amp; ADMIN                                   </v>
          </cell>
          <cell r="E64">
            <v>23.614190000000001</v>
          </cell>
          <cell r="F64">
            <v>29.155854999999999</v>
          </cell>
          <cell r="G64">
            <v>22.090886999999999</v>
          </cell>
          <cell r="H64">
            <v>20.895773999999999</v>
          </cell>
          <cell r="I64">
            <v>19.435901999999999</v>
          </cell>
          <cell r="J64">
            <v>21.64884</v>
          </cell>
          <cell r="K64">
            <v>20.449655</v>
          </cell>
          <cell r="L64">
            <v>24.146795000000001</v>
          </cell>
          <cell r="M64">
            <v>25.289085</v>
          </cell>
          <cell r="N64">
            <v>20.898900000000001</v>
          </cell>
          <cell r="O64">
            <v>24.231173999999999</v>
          </cell>
          <cell r="P64">
            <v>17.996544</v>
          </cell>
        </row>
        <row r="65">
          <cell r="A65">
            <v>1</v>
          </cell>
          <cell r="B65">
            <v>3</v>
          </cell>
          <cell r="C65" t="str">
            <v xml:space="preserve">ALAD53    </v>
          </cell>
          <cell r="D65" t="str">
            <v xml:space="preserve">LOST CYLINDER INCOME                              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>
            <v>3</v>
          </cell>
          <cell r="B66">
            <v>3</v>
          </cell>
          <cell r="C66" t="str">
            <v xml:space="preserve">AAAT53    </v>
          </cell>
          <cell r="D66" t="str">
            <v xml:space="preserve">SALES                                             </v>
          </cell>
          <cell r="E66">
            <v>-46.821346167923522</v>
          </cell>
          <cell r="F66">
            <v>-47.403065923343178</v>
          </cell>
          <cell r="G66">
            <v>-76.447233999999995</v>
          </cell>
          <cell r="H66">
            <v>-57.72340740035682</v>
          </cell>
          <cell r="I66">
            <v>-58.725206999999997</v>
          </cell>
          <cell r="J66">
            <v>-62.274954999999999</v>
          </cell>
          <cell r="K66">
            <v>-56.075383327779555</v>
          </cell>
          <cell r="L66">
            <v>-63.618094828164622</v>
          </cell>
          <cell r="M66">
            <v>-55.001877</v>
          </cell>
          <cell r="N66">
            <v>-43.710203999999997</v>
          </cell>
          <cell r="O66">
            <v>-38.230249999999998</v>
          </cell>
          <cell r="P66">
            <v>-29.730425</v>
          </cell>
        </row>
        <row r="67">
          <cell r="A67">
            <v>3</v>
          </cell>
          <cell r="B67">
            <v>3</v>
          </cell>
          <cell r="C67" t="str">
            <v xml:space="preserve">ABAT53    </v>
          </cell>
          <cell r="D67" t="str">
            <v xml:space="preserve">COST OF SALES                                     </v>
          </cell>
          <cell r="E67">
            <v>26.384164732720507</v>
          </cell>
          <cell r="F67">
            <v>26.525057501570299</v>
          </cell>
          <cell r="G67">
            <v>24.047187999999998</v>
          </cell>
          <cell r="H67">
            <v>31.6796061581693</v>
          </cell>
          <cell r="I67">
            <v>28.915725000000002</v>
          </cell>
          <cell r="J67">
            <v>31.132631</v>
          </cell>
          <cell r="K67">
            <v>30.637531339506687</v>
          </cell>
          <cell r="L67">
            <v>30.326503906385444</v>
          </cell>
          <cell r="M67">
            <v>33.679487999999999</v>
          </cell>
          <cell r="N67">
            <v>26.356048000000001</v>
          </cell>
          <cell r="O67">
            <v>23.135891999999998</v>
          </cell>
          <cell r="P67">
            <v>22.557259999999999</v>
          </cell>
        </row>
        <row r="68">
          <cell r="A68">
            <v>3</v>
          </cell>
          <cell r="B68">
            <v>3</v>
          </cell>
          <cell r="C68" t="str">
            <v xml:space="preserve">ADAA53    </v>
          </cell>
          <cell r="D68" t="str">
            <v xml:space="preserve">DISTRIBUTION                                      </v>
          </cell>
          <cell r="E68">
            <v>5.1400423541379707</v>
          </cell>
          <cell r="F68">
            <v>5.2740503958202067</v>
          </cell>
          <cell r="G68">
            <v>4.0360940000000003</v>
          </cell>
          <cell r="H68">
            <v>6.4021910557331116</v>
          </cell>
          <cell r="I68">
            <v>5.3843690000000004</v>
          </cell>
          <cell r="J68">
            <v>10.040141</v>
          </cell>
          <cell r="K68">
            <v>6.2259100910309426</v>
          </cell>
          <cell r="L68">
            <v>7.5472983990349682</v>
          </cell>
          <cell r="M68">
            <v>4.9443849999999996</v>
          </cell>
          <cell r="N68">
            <v>4.9959119999999997</v>
          </cell>
          <cell r="O68">
            <v>5.4689329999999998</v>
          </cell>
          <cell r="P68">
            <v>6.0830109999999999</v>
          </cell>
        </row>
        <row r="69">
          <cell r="A69">
            <v>3</v>
          </cell>
          <cell r="B69">
            <v>3</v>
          </cell>
          <cell r="C69" t="str">
            <v xml:space="preserve">AEAA53    </v>
          </cell>
          <cell r="D69" t="str">
            <v xml:space="preserve">DEMURRAGE                                         </v>
          </cell>
          <cell r="E69">
            <v>-9.275026441552285</v>
          </cell>
          <cell r="F69">
            <v>-9.1719705922017045</v>
          </cell>
          <cell r="G69">
            <v>-5.5937469999999996</v>
          </cell>
          <cell r="H69">
            <v>-4.446123786267921</v>
          </cell>
          <cell r="I69">
            <v>-7.8690829999999998</v>
          </cell>
          <cell r="J69">
            <v>-8.4236120000000003</v>
          </cell>
          <cell r="K69">
            <v>-10.061195349455287</v>
          </cell>
          <cell r="L69">
            <v>-9.4693603288990946</v>
          </cell>
          <cell r="M69">
            <v>-7.3565639999999997</v>
          </cell>
          <cell r="N69">
            <v>-9.1870940000000001</v>
          </cell>
          <cell r="O69">
            <v>-7.1172529999999998</v>
          </cell>
          <cell r="P69">
            <v>-9.7269380000000005</v>
          </cell>
        </row>
        <row r="70">
          <cell r="A70">
            <v>3</v>
          </cell>
          <cell r="B70">
            <v>3</v>
          </cell>
          <cell r="C70" t="str">
            <v xml:space="preserve">AFAA53    </v>
          </cell>
          <cell r="D70" t="str">
            <v xml:space="preserve">SELLING EXPENSES                                  </v>
          </cell>
          <cell r="E70">
            <v>2.7619180800925975</v>
          </cell>
          <cell r="F70">
            <v>3.2216550769687697</v>
          </cell>
          <cell r="G70">
            <v>3.2626940000000002</v>
          </cell>
          <cell r="H70">
            <v>5.7615708810032915</v>
          </cell>
          <cell r="I70">
            <v>2.4183110000000001</v>
          </cell>
          <cell r="J70">
            <v>3.3001499999999999</v>
          </cell>
          <cell r="K70">
            <v>3.8422126202807148</v>
          </cell>
          <cell r="L70">
            <v>4.0904356376054922</v>
          </cell>
          <cell r="M70">
            <v>4.4406749999999997</v>
          </cell>
          <cell r="N70">
            <v>6.7173949999999998</v>
          </cell>
          <cell r="O70">
            <v>5.4002619999999997</v>
          </cell>
          <cell r="P70">
            <v>7.9538520000000004</v>
          </cell>
        </row>
        <row r="71">
          <cell r="A71">
            <v>3</v>
          </cell>
          <cell r="B71">
            <v>3</v>
          </cell>
          <cell r="C71" t="str">
            <v xml:space="preserve">AGAA53    </v>
          </cell>
          <cell r="D71" t="str">
            <v xml:space="preserve">GENERAL &amp; ADMIN                                   </v>
          </cell>
          <cell r="E71">
            <v>5.1167965486711839</v>
          </cell>
          <cell r="F71">
            <v>4.2432387517656673</v>
          </cell>
          <cell r="G71">
            <v>3.8903799999999999</v>
          </cell>
          <cell r="H71">
            <v>3.5317668742078525</v>
          </cell>
          <cell r="I71">
            <v>3.9117929999999999</v>
          </cell>
          <cell r="J71">
            <v>3.9224990000000002</v>
          </cell>
          <cell r="K71">
            <v>4.5469365795960996</v>
          </cell>
          <cell r="L71">
            <v>4.1374563622966392</v>
          </cell>
          <cell r="M71">
            <v>3.954618</v>
          </cell>
          <cell r="N71">
            <v>3.9653239999999998</v>
          </cell>
          <cell r="O71">
            <v>3.9760300000000002</v>
          </cell>
          <cell r="P71">
            <v>3.986739</v>
          </cell>
        </row>
        <row r="72">
          <cell r="A72">
            <v>75</v>
          </cell>
          <cell r="B72">
            <v>3</v>
          </cell>
          <cell r="C72" t="str">
            <v xml:space="preserve">ALAD53    </v>
          </cell>
          <cell r="D72" t="str">
            <v xml:space="preserve">LOST CYLINDER INCOME                              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>
            <v>76</v>
          </cell>
          <cell r="B73">
            <v>3</v>
          </cell>
          <cell r="C73" t="str">
            <v xml:space="preserve">AAAT53    </v>
          </cell>
          <cell r="D73" t="str">
            <v xml:space="preserve">SALES                                             </v>
          </cell>
          <cell r="E73">
            <v>0</v>
          </cell>
          <cell r="F73">
            <v>0</v>
          </cell>
          <cell r="G73">
            <v>5.5799999999999999E-3</v>
          </cell>
          <cell r="H73">
            <v>-0.17139599999999999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>
            <v>76</v>
          </cell>
          <cell r="B74">
            <v>3</v>
          </cell>
          <cell r="C74" t="str">
            <v xml:space="preserve">ADAA53    </v>
          </cell>
          <cell r="D74" t="str">
            <v xml:space="preserve">DISTRIBUTION                                      </v>
          </cell>
          <cell r="E74">
            <v>-9.1009999999999997E-3</v>
          </cell>
          <cell r="F74">
            <v>-1.7957000000000001E-2</v>
          </cell>
          <cell r="G74">
            <v>0</v>
          </cell>
          <cell r="H74">
            <v>-2.8483000000000001E-2</v>
          </cell>
          <cell r="I74">
            <v>-8.8190000000000004E-3</v>
          </cell>
          <cell r="J74">
            <v>-7.3410000000000003E-3</v>
          </cell>
          <cell r="K74">
            <v>-1.2676E-2</v>
          </cell>
          <cell r="L74">
            <v>-1.3129999999999999E-2</v>
          </cell>
          <cell r="M74">
            <v>-2.8594999999999999E-2</v>
          </cell>
          <cell r="N74">
            <v>0</v>
          </cell>
          <cell r="O74">
            <v>0</v>
          </cell>
          <cell r="P74">
            <v>0</v>
          </cell>
        </row>
        <row r="75">
          <cell r="A75">
            <v>76</v>
          </cell>
          <cell r="B75">
            <v>3</v>
          </cell>
          <cell r="C75" t="str">
            <v xml:space="preserve">AEAA53    </v>
          </cell>
          <cell r="D75" t="str">
            <v xml:space="preserve">DEMURRAGE                                         </v>
          </cell>
          <cell r="E75">
            <v>5.7752999999999999E-2</v>
          </cell>
          <cell r="F75">
            <v>5.5890000000000002E-2</v>
          </cell>
          <cell r="G75">
            <v>5.7752999999999999E-2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77</v>
          </cell>
          <cell r="B76">
            <v>3</v>
          </cell>
          <cell r="C76" t="str">
            <v xml:space="preserve">AAAT53    </v>
          </cell>
          <cell r="D76" t="str">
            <v xml:space="preserve">SALES                                             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3.2053289999999999</v>
          </cell>
        </row>
        <row r="77">
          <cell r="A77">
            <v>1</v>
          </cell>
          <cell r="B77">
            <v>5</v>
          </cell>
          <cell r="C77" t="str">
            <v xml:space="preserve">AAAT53    </v>
          </cell>
          <cell r="D77" t="str">
            <v xml:space="preserve">SALES                                             </v>
          </cell>
          <cell r="E77">
            <v>-72.629786333333342</v>
          </cell>
          <cell r="F77">
            <v>-72.629786333333342</v>
          </cell>
          <cell r="G77">
            <v>-72.629786333333342</v>
          </cell>
          <cell r="H77">
            <v>-72.629786333333342</v>
          </cell>
          <cell r="I77">
            <v>-72.629786333333342</v>
          </cell>
          <cell r="J77">
            <v>-72.629786333333342</v>
          </cell>
          <cell r="K77">
            <v>-72.629786333333342</v>
          </cell>
          <cell r="L77">
            <v>-72.629786333333342</v>
          </cell>
          <cell r="M77">
            <v>-72.629786333333342</v>
          </cell>
          <cell r="N77">
            <v>-72.629786333333342</v>
          </cell>
          <cell r="O77">
            <v>-72.629786333333342</v>
          </cell>
          <cell r="P77">
            <v>-72.629786333333342</v>
          </cell>
        </row>
        <row r="78">
          <cell r="A78">
            <v>1</v>
          </cell>
          <cell r="B78">
            <v>5</v>
          </cell>
          <cell r="C78" t="str">
            <v xml:space="preserve">ABAT53    </v>
          </cell>
          <cell r="D78" t="str">
            <v xml:space="preserve">COST OF SALES                                     </v>
          </cell>
          <cell r="E78">
            <v>45.314083333333336</v>
          </cell>
          <cell r="F78">
            <v>45.314083333333336</v>
          </cell>
          <cell r="G78">
            <v>45.314083333333336</v>
          </cell>
          <cell r="H78">
            <v>45.314083333333336</v>
          </cell>
          <cell r="I78">
            <v>45.314083333333336</v>
          </cell>
          <cell r="J78">
            <v>45.314083333333336</v>
          </cell>
          <cell r="K78">
            <v>45.314083333333336</v>
          </cell>
          <cell r="L78">
            <v>45.314083333333336</v>
          </cell>
          <cell r="M78">
            <v>45.314083333333336</v>
          </cell>
          <cell r="N78">
            <v>45.314083333333336</v>
          </cell>
          <cell r="O78">
            <v>45.314083333333336</v>
          </cell>
          <cell r="P78">
            <v>45.314083333333336</v>
          </cell>
        </row>
        <row r="79">
          <cell r="A79">
            <v>1</v>
          </cell>
          <cell r="B79">
            <v>5</v>
          </cell>
          <cell r="C79" t="str">
            <v xml:space="preserve">AGAA53    </v>
          </cell>
          <cell r="D79" t="str">
            <v xml:space="preserve">GENERAL &amp; ADMIN                                   </v>
          </cell>
          <cell r="E79">
            <v>7.9299645833333336</v>
          </cell>
          <cell r="F79">
            <v>7.9299645833333336</v>
          </cell>
          <cell r="G79">
            <v>7.9299645833333336</v>
          </cell>
          <cell r="H79">
            <v>7.9299645833333336</v>
          </cell>
          <cell r="I79">
            <v>7.9299645833333336</v>
          </cell>
          <cell r="J79">
            <v>7.9299645833333336</v>
          </cell>
          <cell r="K79">
            <v>7.9299645833333336</v>
          </cell>
          <cell r="L79">
            <v>7.9299645833333336</v>
          </cell>
          <cell r="M79">
            <v>7.9299645833333336</v>
          </cell>
          <cell r="N79">
            <v>7.9299645833333336</v>
          </cell>
          <cell r="O79">
            <v>7.9299645833333336</v>
          </cell>
          <cell r="P79">
            <v>7.9299645833333336</v>
          </cell>
        </row>
        <row r="80">
          <cell r="A80">
            <v>1</v>
          </cell>
          <cell r="B80">
            <v>6</v>
          </cell>
          <cell r="C80" t="str">
            <v xml:space="preserve">AAAT53    </v>
          </cell>
          <cell r="D80" t="str">
            <v xml:space="preserve">SALES                                             </v>
          </cell>
          <cell r="E80">
            <v>-66.498609999999999</v>
          </cell>
          <cell r="F80">
            <v>-67.406707999999995</v>
          </cell>
          <cell r="G80">
            <v>-57.490692000000003</v>
          </cell>
          <cell r="H80">
            <v>-60.497895</v>
          </cell>
          <cell r="I80">
            <v>-61.043398000000003</v>
          </cell>
          <cell r="J80">
            <v>-93.802318999999997</v>
          </cell>
          <cell r="K80">
            <v>-64.576070999999999</v>
          </cell>
          <cell r="L80">
            <v>-70.829254000000006</v>
          </cell>
          <cell r="M80">
            <v>-77.259838000000002</v>
          </cell>
          <cell r="N80">
            <v>-62.162972000000003</v>
          </cell>
          <cell r="O80">
            <v>-58.079321999999998</v>
          </cell>
          <cell r="P80">
            <v>-62.203834999999998</v>
          </cell>
        </row>
        <row r="81">
          <cell r="A81">
            <v>1</v>
          </cell>
          <cell r="B81">
            <v>6</v>
          </cell>
          <cell r="C81" t="str">
            <v xml:space="preserve">ABAT53    </v>
          </cell>
          <cell r="D81" t="str">
            <v xml:space="preserve">COST OF SALES                                     </v>
          </cell>
          <cell r="E81">
            <v>30.569348999999999</v>
          </cell>
          <cell r="F81">
            <v>76.094472999999994</v>
          </cell>
          <cell r="G81">
            <v>66.389407000000006</v>
          </cell>
          <cell r="H81">
            <v>66.164067000000003</v>
          </cell>
          <cell r="I81">
            <v>71.209947999999997</v>
          </cell>
          <cell r="J81">
            <v>84.186229999999995</v>
          </cell>
          <cell r="K81">
            <v>90.687718000000004</v>
          </cell>
          <cell r="L81">
            <v>82.774039999999999</v>
          </cell>
          <cell r="M81">
            <v>89.929917000000003</v>
          </cell>
          <cell r="N81">
            <v>108.44790399999999</v>
          </cell>
          <cell r="O81">
            <v>135.161258</v>
          </cell>
          <cell r="P81">
            <v>117.009203</v>
          </cell>
        </row>
        <row r="82">
          <cell r="A82">
            <v>1</v>
          </cell>
          <cell r="B82">
            <v>6</v>
          </cell>
          <cell r="C82" t="str">
            <v xml:space="preserve">ADAA53    </v>
          </cell>
          <cell r="D82" t="str">
            <v xml:space="preserve">DISTRIBUTION                                      </v>
          </cell>
          <cell r="E82">
            <v>2.4106070000000002</v>
          </cell>
          <cell r="F82">
            <v>-2.4526629999999998</v>
          </cell>
          <cell r="G82">
            <v>9.6353059999999999</v>
          </cell>
          <cell r="H82">
            <v>11.211587</v>
          </cell>
          <cell r="I82">
            <v>10.604469999999999</v>
          </cell>
          <cell r="J82">
            <v>1.991803</v>
          </cell>
          <cell r="K82">
            <v>-1.432364</v>
          </cell>
          <cell r="L82">
            <v>13.584223</v>
          </cell>
          <cell r="M82">
            <v>23.639643</v>
          </cell>
          <cell r="N82">
            <v>24.478111999999999</v>
          </cell>
          <cell r="O82">
            <v>10.977516</v>
          </cell>
          <cell r="P82">
            <v>15.41736</v>
          </cell>
        </row>
        <row r="83">
          <cell r="A83">
            <v>1</v>
          </cell>
          <cell r="B83">
            <v>6</v>
          </cell>
          <cell r="C83" t="str">
            <v xml:space="preserve">AGAA53    </v>
          </cell>
          <cell r="D83" t="str">
            <v xml:space="preserve">GENERAL &amp; ADMIN                                   </v>
          </cell>
          <cell r="E83">
            <v>-2.1838500000000001</v>
          </cell>
          <cell r="F83">
            <v>-12.655677000000001</v>
          </cell>
          <cell r="G83">
            <v>-4.9204990000000004</v>
          </cell>
          <cell r="H83">
            <v>-10.175701</v>
          </cell>
          <cell r="I83">
            <v>4.935727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-3.1199999999999999E-3</v>
          </cell>
        </row>
        <row r="84">
          <cell r="A84">
            <v>1</v>
          </cell>
          <cell r="B84">
            <v>6</v>
          </cell>
          <cell r="C84" t="str">
            <v xml:space="preserve">ALAD53    </v>
          </cell>
          <cell r="D84" t="str">
            <v xml:space="preserve">LOST CYLINDER INCOME                              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-10.759876999999999</v>
          </cell>
        </row>
        <row r="85">
          <cell r="A85">
            <v>17</v>
          </cell>
          <cell r="B85">
            <v>6</v>
          </cell>
          <cell r="C85" t="str">
            <v xml:space="preserve">ADAA53    </v>
          </cell>
          <cell r="D85" t="str">
            <v xml:space="preserve">DISTRIBUTION                                      </v>
          </cell>
          <cell r="E85">
            <v>5.7161910000000002</v>
          </cell>
          <cell r="F85">
            <v>2.707964</v>
          </cell>
          <cell r="G85">
            <v>6.0764170000000002</v>
          </cell>
          <cell r="H85">
            <v>4.9364619999999997</v>
          </cell>
          <cell r="I85">
            <v>0</v>
          </cell>
          <cell r="J85">
            <v>9.3207769999999996</v>
          </cell>
          <cell r="K85">
            <v>2.987295</v>
          </cell>
          <cell r="L85">
            <v>4.4671310000000002</v>
          </cell>
          <cell r="M85">
            <v>4.7376750000000003</v>
          </cell>
          <cell r="N85">
            <v>3.1345459999999998</v>
          </cell>
          <cell r="O85">
            <v>-0.38984200000000002</v>
          </cell>
          <cell r="P85">
            <v>6.9339740000000001</v>
          </cell>
        </row>
        <row r="86">
          <cell r="A86">
            <v>75</v>
          </cell>
          <cell r="B86">
            <v>6</v>
          </cell>
          <cell r="C86" t="str">
            <v xml:space="preserve">ABAT53    </v>
          </cell>
          <cell r="D86" t="str">
            <v xml:space="preserve">COST OF SALES                                     </v>
          </cell>
          <cell r="E86">
            <v>0</v>
          </cell>
          <cell r="F86">
            <v>0</v>
          </cell>
          <cell r="G86">
            <v>-3.1250010000000001</v>
          </cell>
          <cell r="H86">
            <v>-1.0416669999999999</v>
          </cell>
          <cell r="I86">
            <v>-1.0416669999999999</v>
          </cell>
          <cell r="J86">
            <v>-1.0416669999999999</v>
          </cell>
          <cell r="K86">
            <v>-1.0416669999999999</v>
          </cell>
          <cell r="L86">
            <v>-1.0416669999999999</v>
          </cell>
          <cell r="M86">
            <v>-1.0416669999999999</v>
          </cell>
          <cell r="N86">
            <v>0</v>
          </cell>
          <cell r="O86">
            <v>-1.0416669999999999</v>
          </cell>
          <cell r="P86">
            <v>0</v>
          </cell>
        </row>
        <row r="87">
          <cell r="A87">
            <v>75</v>
          </cell>
          <cell r="B87">
            <v>6</v>
          </cell>
          <cell r="C87" t="str">
            <v xml:space="preserve">ADAA53    </v>
          </cell>
          <cell r="D87" t="str">
            <v xml:space="preserve">DISTRIBUTION                                      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75</v>
          </cell>
          <cell r="B88">
            <v>6</v>
          </cell>
          <cell r="C88" t="str">
            <v xml:space="preserve">ALAD53    </v>
          </cell>
          <cell r="D88" t="str">
            <v xml:space="preserve">LOST CYLINDER INCOME                              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>
            <v>76</v>
          </cell>
          <cell r="B89">
            <v>6</v>
          </cell>
          <cell r="C89" t="str">
            <v xml:space="preserve">ADAA53    </v>
          </cell>
          <cell r="D89" t="str">
            <v xml:space="preserve">DISTRIBUTION                                      </v>
          </cell>
          <cell r="E89">
            <v>-5.8305150000000001</v>
          </cell>
          <cell r="F89">
            <v>-2.762124</v>
          </cell>
          <cell r="G89">
            <v>-6.1979449999999998</v>
          </cell>
          <cell r="H89">
            <v>-5.0351910000000002</v>
          </cell>
          <cell r="I89">
            <v>0</v>
          </cell>
          <cell r="J89">
            <v>-9.5071940000000001</v>
          </cell>
          <cell r="K89">
            <v>-3.04704</v>
          </cell>
          <cell r="L89">
            <v>-4.5564739999999997</v>
          </cell>
          <cell r="M89">
            <v>-4.8324280000000002</v>
          </cell>
          <cell r="N89">
            <v>-3.1972369999999999</v>
          </cell>
          <cell r="O89">
            <v>0.39763900000000002</v>
          </cell>
          <cell r="P89">
            <v>-7.072654</v>
          </cell>
        </row>
        <row r="90">
          <cell r="A90">
            <v>77</v>
          </cell>
          <cell r="B90">
            <v>6</v>
          </cell>
          <cell r="C90" t="str">
            <v xml:space="preserve">ABAT53    </v>
          </cell>
          <cell r="D90" t="str">
            <v xml:space="preserve">COST OF SALES                                   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-10.416663</v>
          </cell>
        </row>
        <row r="91">
          <cell r="A91">
            <v>1</v>
          </cell>
          <cell r="B91">
            <v>7</v>
          </cell>
          <cell r="C91" t="str">
            <v xml:space="preserve">AAAT53    </v>
          </cell>
          <cell r="D91" t="str">
            <v xml:space="preserve">SALES                                             </v>
          </cell>
          <cell r="E91">
            <v>-791.80997300000001</v>
          </cell>
          <cell r="F91">
            <v>-848.48036500000001</v>
          </cell>
          <cell r="G91">
            <v>-726.72190399999999</v>
          </cell>
          <cell r="H91">
            <v>-815.56041000000005</v>
          </cell>
          <cell r="I91">
            <v>-815.03092500000002</v>
          </cell>
          <cell r="J91">
            <v>-900.42203400000005</v>
          </cell>
          <cell r="K91">
            <v>-820.94624099999999</v>
          </cell>
          <cell r="L91">
            <v>-911.42530099999999</v>
          </cell>
          <cell r="M91">
            <v>-939.16118700000004</v>
          </cell>
          <cell r="N91">
            <v>-918.64671999999996</v>
          </cell>
          <cell r="O91">
            <v>-788.36004700000001</v>
          </cell>
          <cell r="P91">
            <v>-853.80699700000002</v>
          </cell>
        </row>
        <row r="92">
          <cell r="A92">
            <v>1</v>
          </cell>
          <cell r="B92">
            <v>7</v>
          </cell>
          <cell r="C92" t="str">
            <v xml:space="preserve">AAAT53    </v>
          </cell>
          <cell r="D92" t="str">
            <v xml:space="preserve">SALES                                             </v>
          </cell>
          <cell r="E92">
            <v>72.629786333333342</v>
          </cell>
          <cell r="F92">
            <v>72.629786333333342</v>
          </cell>
          <cell r="G92">
            <v>72.629786333333342</v>
          </cell>
          <cell r="H92">
            <v>72.629786333333342</v>
          </cell>
          <cell r="I92">
            <v>72.629786333333342</v>
          </cell>
          <cell r="J92">
            <v>72.629786333333342</v>
          </cell>
          <cell r="K92">
            <v>72.629786333333342</v>
          </cell>
          <cell r="L92">
            <v>72.629786333333342</v>
          </cell>
          <cell r="M92">
            <v>72.629786333333342</v>
          </cell>
          <cell r="N92">
            <v>72.629786333333342</v>
          </cell>
          <cell r="O92">
            <v>72.629786333333342</v>
          </cell>
          <cell r="P92">
            <v>72.629786333333342</v>
          </cell>
        </row>
        <row r="93">
          <cell r="A93">
            <v>1</v>
          </cell>
          <cell r="B93">
            <v>7</v>
          </cell>
          <cell r="C93" t="str">
            <v xml:space="preserve">ABAT53    </v>
          </cell>
          <cell r="D93" t="str">
            <v xml:space="preserve">COST OF SALES                                     </v>
          </cell>
          <cell r="E93">
            <v>349.238249</v>
          </cell>
          <cell r="F93">
            <v>374.96476699999999</v>
          </cell>
          <cell r="G93">
            <v>343.99080600000002</v>
          </cell>
          <cell r="H93">
            <v>367.73521399999998</v>
          </cell>
          <cell r="I93">
            <v>360.38397500000002</v>
          </cell>
          <cell r="J93">
            <v>389.310562</v>
          </cell>
          <cell r="K93">
            <v>372.00863700000002</v>
          </cell>
          <cell r="L93">
            <v>390.38912800000003</v>
          </cell>
          <cell r="M93">
            <v>393.71475500000003</v>
          </cell>
          <cell r="N93">
            <v>390.64172600000001</v>
          </cell>
          <cell r="O93">
            <v>354.145261</v>
          </cell>
          <cell r="P93">
            <v>382.86777699999999</v>
          </cell>
        </row>
        <row r="94">
          <cell r="A94">
            <v>1</v>
          </cell>
          <cell r="B94">
            <v>7</v>
          </cell>
          <cell r="C94" t="str">
            <v xml:space="preserve">ABAT53    </v>
          </cell>
          <cell r="D94" t="str">
            <v xml:space="preserve">COST OF SALES                                     </v>
          </cell>
          <cell r="E94">
            <v>-5.0781809999999998</v>
          </cell>
          <cell r="F94">
            <v>-5.4767970000000004</v>
          </cell>
          <cell r="G94">
            <v>-3.978345</v>
          </cell>
          <cell r="H94">
            <v>-5.3282369999999997</v>
          </cell>
          <cell r="I94">
            <v>-5.652971</v>
          </cell>
          <cell r="J94">
            <v>-6.2308950000000003</v>
          </cell>
          <cell r="K94">
            <v>-4.6095930000000003</v>
          </cell>
          <cell r="L94">
            <v>-5.7994529999999997</v>
          </cell>
          <cell r="M94">
            <v>-5.9499120000000003</v>
          </cell>
          <cell r="N94">
            <v>-5.4597230000000003</v>
          </cell>
          <cell r="O94">
            <v>-4.5800219999999996</v>
          </cell>
          <cell r="P94">
            <v>-5.5696640000000004</v>
          </cell>
        </row>
        <row r="95">
          <cell r="A95">
            <v>1</v>
          </cell>
          <cell r="B95">
            <v>7</v>
          </cell>
          <cell r="C95" t="str">
            <v xml:space="preserve">ABAT53    </v>
          </cell>
          <cell r="D95" t="str">
            <v xml:space="preserve">COST OF SALES                                     </v>
          </cell>
          <cell r="E95">
            <v>-45.314083333333336</v>
          </cell>
          <cell r="F95">
            <v>-45.314083333333336</v>
          </cell>
          <cell r="G95">
            <v>-45.314083333333336</v>
          </cell>
          <cell r="H95">
            <v>-45.314083333333336</v>
          </cell>
          <cell r="I95">
            <v>-45.314083333333336</v>
          </cell>
          <cell r="J95">
            <v>-45.314083333333336</v>
          </cell>
          <cell r="K95">
            <v>-45.314083333333336</v>
          </cell>
          <cell r="L95">
            <v>-45.314083333333336</v>
          </cell>
          <cell r="M95">
            <v>-45.314083333333336</v>
          </cell>
          <cell r="N95">
            <v>-45.314083333333336</v>
          </cell>
          <cell r="O95">
            <v>-45.314083333333336</v>
          </cell>
          <cell r="P95">
            <v>-45.314083333333336</v>
          </cell>
        </row>
        <row r="96">
          <cell r="A96">
            <v>1</v>
          </cell>
          <cell r="B96">
            <v>7</v>
          </cell>
          <cell r="C96" t="str">
            <v xml:space="preserve">ADAA53    </v>
          </cell>
          <cell r="D96" t="str">
            <v xml:space="preserve">DISTRIBUTION                                      </v>
          </cell>
          <cell r="E96">
            <v>179.06504000000001</v>
          </cell>
          <cell r="F96">
            <v>190.98624699999999</v>
          </cell>
          <cell r="G96">
            <v>154.67066</v>
          </cell>
          <cell r="H96">
            <v>182.021783</v>
          </cell>
          <cell r="I96">
            <v>176.103869</v>
          </cell>
          <cell r="J96">
            <v>205.34201400000001</v>
          </cell>
          <cell r="K96">
            <v>182.508206</v>
          </cell>
          <cell r="L96">
            <v>193.65303499999999</v>
          </cell>
          <cell r="M96">
            <v>203.512969</v>
          </cell>
          <cell r="N96">
            <v>253.11322000000001</v>
          </cell>
          <cell r="O96">
            <v>173.66555700000001</v>
          </cell>
          <cell r="P96">
            <v>192.39638500000001</v>
          </cell>
        </row>
        <row r="97">
          <cell r="A97">
            <v>1</v>
          </cell>
          <cell r="B97">
            <v>7</v>
          </cell>
          <cell r="C97" t="str">
            <v xml:space="preserve">AFAA53    </v>
          </cell>
          <cell r="D97" t="str">
            <v xml:space="preserve">SELLING EXPENSES                                  </v>
          </cell>
          <cell r="E97">
            <v>38.046855999999998</v>
          </cell>
          <cell r="F97">
            <v>43.781320999999998</v>
          </cell>
          <cell r="G97">
            <v>33.645612999999997</v>
          </cell>
          <cell r="H97">
            <v>38.458091000000003</v>
          </cell>
          <cell r="I97">
            <v>39.578623</v>
          </cell>
          <cell r="J97">
            <v>32.817048</v>
          </cell>
          <cell r="K97">
            <v>40.246462000000001</v>
          </cell>
          <cell r="L97">
            <v>37.752135000000003</v>
          </cell>
          <cell r="M97">
            <v>35.493989999999997</v>
          </cell>
          <cell r="N97">
            <v>39.126719999999999</v>
          </cell>
          <cell r="O97">
            <v>37.196472</v>
          </cell>
          <cell r="P97">
            <v>42.800606999999999</v>
          </cell>
        </row>
        <row r="98">
          <cell r="A98">
            <v>1</v>
          </cell>
          <cell r="B98">
            <v>7</v>
          </cell>
          <cell r="C98" t="str">
            <v xml:space="preserve">AGAA53    </v>
          </cell>
          <cell r="D98" t="str">
            <v xml:space="preserve">GENERAL &amp; ADMIN                                   </v>
          </cell>
          <cell r="E98">
            <v>19.725265</v>
          </cell>
          <cell r="F98">
            <v>22.634906000000001</v>
          </cell>
          <cell r="G98">
            <v>22.532703000000001</v>
          </cell>
          <cell r="H98">
            <v>20.810860999999999</v>
          </cell>
          <cell r="I98">
            <v>22.439465999999999</v>
          </cell>
          <cell r="J98">
            <v>20.566071000000001</v>
          </cell>
          <cell r="K98">
            <v>21.603476000000001</v>
          </cell>
          <cell r="L98">
            <v>23.054815999999999</v>
          </cell>
          <cell r="M98">
            <v>12.729763999999999</v>
          </cell>
          <cell r="N98">
            <v>20.503813999999998</v>
          </cell>
          <cell r="O98">
            <v>19.562007000000001</v>
          </cell>
          <cell r="P98">
            <v>21.090513999999999</v>
          </cell>
        </row>
        <row r="99">
          <cell r="A99">
            <v>1</v>
          </cell>
          <cell r="B99">
            <v>7</v>
          </cell>
          <cell r="C99" t="str">
            <v xml:space="preserve">AGAA53    </v>
          </cell>
          <cell r="D99" t="str">
            <v xml:space="preserve">GENERAL &amp; ADMIN                                   </v>
          </cell>
          <cell r="E99">
            <v>-7.9299645833333336</v>
          </cell>
          <cell r="F99">
            <v>-7.9299645833333336</v>
          </cell>
          <cell r="G99">
            <v>-7.9299645833333336</v>
          </cell>
          <cell r="H99">
            <v>-7.9299645833333336</v>
          </cell>
          <cell r="I99">
            <v>-7.9299645833333336</v>
          </cell>
          <cell r="J99">
            <v>-7.9299645833333336</v>
          </cell>
          <cell r="K99">
            <v>-7.9299645833333336</v>
          </cell>
          <cell r="L99">
            <v>-7.9299645833333336</v>
          </cell>
          <cell r="M99">
            <v>-7.9299645833333336</v>
          </cell>
          <cell r="N99">
            <v>-7.9299645833333336</v>
          </cell>
          <cell r="O99">
            <v>-7.9299645833333336</v>
          </cell>
          <cell r="P99">
            <v>-7.9299645833333336</v>
          </cell>
        </row>
        <row r="100">
          <cell r="A100">
            <v>1</v>
          </cell>
          <cell r="B100">
            <v>7</v>
          </cell>
          <cell r="C100" t="str">
            <v xml:space="preserve">ALAD53    </v>
          </cell>
          <cell r="D100" t="str">
            <v xml:space="preserve">LOST CYLINDER INCOME                              </v>
          </cell>
          <cell r="E100">
            <v>0</v>
          </cell>
          <cell r="F100">
            <v>0</v>
          </cell>
          <cell r="G100">
            <v>0</v>
          </cell>
          <cell r="H100">
            <v>-0.64170000000000005</v>
          </cell>
          <cell r="I100">
            <v>-3.7613690000000002</v>
          </cell>
          <cell r="J100">
            <v>0</v>
          </cell>
          <cell r="K100">
            <v>-0.630471</v>
          </cell>
          <cell r="L100">
            <v>-51.186419999999998</v>
          </cell>
          <cell r="M100">
            <v>-0.118274</v>
          </cell>
          <cell r="N100">
            <v>0</v>
          </cell>
          <cell r="O100">
            <v>0</v>
          </cell>
          <cell r="P100">
            <v>0</v>
          </cell>
        </row>
        <row r="101">
          <cell r="A101">
            <v>1</v>
          </cell>
          <cell r="B101">
            <v>7</v>
          </cell>
          <cell r="C101" t="str">
            <v xml:space="preserve">Z28999    </v>
          </cell>
          <cell r="D101" t="str">
            <v xml:space="preserve">MARK-UP                                           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-60.420386000000001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>
            <v>1</v>
          </cell>
          <cell r="B102">
            <v>7</v>
          </cell>
          <cell r="C102" t="str">
            <v xml:space="preserve">Z99004    </v>
          </cell>
          <cell r="D102" t="str">
            <v xml:space="preserve">GGIGD ENGINERING                                  </v>
          </cell>
          <cell r="E102">
            <v>0.79430100000000003</v>
          </cell>
          <cell r="F102">
            <v>0.53003699999999998</v>
          </cell>
          <cell r="G102">
            <v>0.18890000000000001</v>
          </cell>
          <cell r="H102">
            <v>0.84274499999999997</v>
          </cell>
          <cell r="I102">
            <v>0.27783400000000003</v>
          </cell>
          <cell r="J102">
            <v>0.32194600000000001</v>
          </cell>
          <cell r="K102">
            <v>0.39204600000000001</v>
          </cell>
          <cell r="L102">
            <v>0.62350799999999995</v>
          </cell>
          <cell r="M102">
            <v>0.63583800000000001</v>
          </cell>
          <cell r="N102">
            <v>-1.1461209999999999</v>
          </cell>
          <cell r="O102">
            <v>0.73168900000000003</v>
          </cell>
          <cell r="P102">
            <v>0</v>
          </cell>
        </row>
        <row r="103">
          <cell r="A103">
            <v>3</v>
          </cell>
          <cell r="B103">
            <v>7</v>
          </cell>
          <cell r="C103" t="str">
            <v xml:space="preserve">AAAT53    </v>
          </cell>
          <cell r="D103" t="str">
            <v xml:space="preserve">SALES                                             </v>
          </cell>
          <cell r="E103">
            <v>-40.419362099989819</v>
          </cell>
          <cell r="F103">
            <v>-40.921542053353328</v>
          </cell>
          <cell r="G103">
            <v>-33.652979999999999</v>
          </cell>
          <cell r="H103">
            <v>-49.830760888260173</v>
          </cell>
          <cell r="I103">
            <v>-44.563930999999997</v>
          </cell>
          <cell r="J103">
            <v>-37.870907000000003</v>
          </cell>
          <cell r="K103">
            <v>-48.408074716442343</v>
          </cell>
          <cell r="L103">
            <v>-54.919454937258884</v>
          </cell>
          <cell r="M103">
            <v>-78.265023999999997</v>
          </cell>
          <cell r="N103">
            <v>-46.377237000000001</v>
          </cell>
          <cell r="O103">
            <v>-33.266399</v>
          </cell>
          <cell r="P103">
            <v>-40.336736999999999</v>
          </cell>
        </row>
        <row r="104">
          <cell r="A104">
            <v>3</v>
          </cell>
          <cell r="B104">
            <v>7</v>
          </cell>
          <cell r="C104" t="str">
            <v xml:space="preserve">ABAT53    </v>
          </cell>
          <cell r="D104" t="str">
            <v xml:space="preserve">COST OF SALES                                     </v>
          </cell>
          <cell r="E104">
            <v>20.779100385165666</v>
          </cell>
          <cell r="F104">
            <v>20.890061828028518</v>
          </cell>
          <cell r="G104">
            <v>25.121196000000001</v>
          </cell>
          <cell r="H104">
            <v>24.949575747105214</v>
          </cell>
          <cell r="I104">
            <v>12.989110999999999</v>
          </cell>
          <cell r="J104">
            <v>23.361716999999999</v>
          </cell>
          <cell r="K104">
            <v>24.128879792346027</v>
          </cell>
          <cell r="L104">
            <v>23.883927173195961</v>
          </cell>
          <cell r="M104">
            <v>26.152034</v>
          </cell>
          <cell r="N104">
            <v>19.433989999999998</v>
          </cell>
          <cell r="O104">
            <v>17.15447</v>
          </cell>
          <cell r="P104">
            <v>25.285365000000002</v>
          </cell>
        </row>
        <row r="105">
          <cell r="A105">
            <v>3</v>
          </cell>
          <cell r="B105">
            <v>7</v>
          </cell>
          <cell r="C105" t="str">
            <v xml:space="preserve">ADAA53    </v>
          </cell>
          <cell r="D105" t="str">
            <v xml:space="preserve">DISTRIBUTION                                      </v>
          </cell>
          <cell r="E105">
            <v>7.622553392154237</v>
          </cell>
          <cell r="F105">
            <v>7.8212839438351072</v>
          </cell>
          <cell r="G105">
            <v>4.2758039999999999</v>
          </cell>
          <cell r="H105">
            <v>9.4942881374918748</v>
          </cell>
          <cell r="I105">
            <v>4.4004389999999995</v>
          </cell>
          <cell r="J105">
            <v>4.0010650000000005</v>
          </cell>
          <cell r="K105">
            <v>9.2328679053451506</v>
          </cell>
          <cell r="L105">
            <v>11.192453495417249</v>
          </cell>
          <cell r="M105">
            <v>15.973565000000001</v>
          </cell>
          <cell r="N105">
            <v>13.141766000000001</v>
          </cell>
          <cell r="O105">
            <v>10.144016000000001</v>
          </cell>
          <cell r="P105">
            <v>8.7953830000000011</v>
          </cell>
        </row>
        <row r="106">
          <cell r="A106">
            <v>3</v>
          </cell>
          <cell r="B106">
            <v>7</v>
          </cell>
          <cell r="C106" t="str">
            <v xml:space="preserve">AFAA53    </v>
          </cell>
          <cell r="D106" t="str">
            <v xml:space="preserve">SELLING EXPENSES                                  </v>
          </cell>
          <cell r="E106">
            <v>2.8541646165623806</v>
          </cell>
          <cell r="F106">
            <v>3.3292565748889031</v>
          </cell>
          <cell r="G106">
            <v>4.1742780000000002</v>
          </cell>
          <cell r="H106">
            <v>5.9540041621453197</v>
          </cell>
          <cell r="I106">
            <v>4.5636010000000002</v>
          </cell>
          <cell r="J106">
            <v>4.709657</v>
          </cell>
          <cell r="K106">
            <v>3.9705403969646276</v>
          </cell>
          <cell r="L106">
            <v>4.2270539257949169</v>
          </cell>
          <cell r="M106">
            <v>4.9826540000000001</v>
          </cell>
          <cell r="N106">
            <v>4.4016789999999997</v>
          </cell>
          <cell r="O106">
            <v>3.9737269999999998</v>
          </cell>
          <cell r="P106">
            <v>7.8064020000000003</v>
          </cell>
        </row>
        <row r="107">
          <cell r="A107">
            <v>3</v>
          </cell>
          <cell r="B107">
            <v>7</v>
          </cell>
          <cell r="C107" t="str">
            <v xml:space="preserve">AGAA53    </v>
          </cell>
          <cell r="D107" t="str">
            <v xml:space="preserve">GENERAL &amp; ADMIN                                   </v>
          </cell>
          <cell r="E107">
            <v>5.6125052622274962</v>
          </cell>
          <cell r="F107">
            <v>4.6543183018205347</v>
          </cell>
          <cell r="G107">
            <v>4.2546179999999998</v>
          </cell>
          <cell r="H107">
            <v>3.8739199375828335</v>
          </cell>
          <cell r="I107">
            <v>4.2831669999999997</v>
          </cell>
          <cell r="J107">
            <v>4.2974430000000003</v>
          </cell>
          <cell r="K107">
            <v>4.9874379872745171</v>
          </cell>
          <cell r="L107">
            <v>4.538287849583754</v>
          </cell>
          <cell r="M107">
            <v>4.340268</v>
          </cell>
          <cell r="N107">
            <v>4.3545420000000004</v>
          </cell>
          <cell r="O107">
            <v>4.3688180000000001</v>
          </cell>
          <cell r="P107">
            <v>4.383095</v>
          </cell>
        </row>
        <row r="108">
          <cell r="A108">
            <v>17</v>
          </cell>
          <cell r="B108">
            <v>7</v>
          </cell>
          <cell r="C108" t="str">
            <v xml:space="preserve">AFAA53    </v>
          </cell>
          <cell r="D108" t="str">
            <v xml:space="preserve">SELLING EXPENSES                                  </v>
          </cell>
          <cell r="E108">
            <v>0.59868900000000003</v>
          </cell>
          <cell r="F108">
            <v>0.62898100000000001</v>
          </cell>
          <cell r="G108">
            <v>0.60542099999999999</v>
          </cell>
          <cell r="H108">
            <v>6.3719999999999999E-2</v>
          </cell>
          <cell r="I108">
            <v>-6.3719999999999999E-2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-0.107159</v>
          </cell>
        </row>
        <row r="109">
          <cell r="A109">
            <v>17</v>
          </cell>
          <cell r="B109">
            <v>7</v>
          </cell>
          <cell r="C109" t="str">
            <v xml:space="preserve">AGAA53    </v>
          </cell>
          <cell r="D109" t="str">
            <v xml:space="preserve">GENERAL &amp; ADMIN                                   </v>
          </cell>
          <cell r="E109">
            <v>-3.8000000000000002E-4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>
            <v>75</v>
          </cell>
          <cell r="B110">
            <v>7</v>
          </cell>
          <cell r="C110" t="str">
            <v xml:space="preserve">AGAA53    </v>
          </cell>
          <cell r="D110" t="str">
            <v xml:space="preserve">GENERAL &amp; ADMIN                                   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75</v>
          </cell>
          <cell r="B111">
            <v>7</v>
          </cell>
          <cell r="C111" t="str">
            <v xml:space="preserve">ALAD53    </v>
          </cell>
          <cell r="D111" t="str">
            <v xml:space="preserve">LOST CYLINDER INCOME                              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0.65799799999999997</v>
          </cell>
          <cell r="J111">
            <v>0</v>
          </cell>
          <cell r="K111">
            <v>6.0830000000000002E-2</v>
          </cell>
          <cell r="L111">
            <v>31.170057</v>
          </cell>
          <cell r="M111">
            <v>9.1676999999999995E-2</v>
          </cell>
          <cell r="N111">
            <v>0</v>
          </cell>
          <cell r="O111">
            <v>0</v>
          </cell>
          <cell r="P111">
            <v>0</v>
          </cell>
        </row>
        <row r="112">
          <cell r="A112">
            <v>76</v>
          </cell>
          <cell r="B112">
            <v>7</v>
          </cell>
          <cell r="C112" t="str">
            <v xml:space="preserve">AFAA53    </v>
          </cell>
          <cell r="D112" t="str">
            <v xml:space="preserve">SELLING EXPENSES                                  </v>
          </cell>
          <cell r="E112">
            <v>-0.64658300000000002</v>
          </cell>
          <cell r="F112">
            <v>-0.67929899999999999</v>
          </cell>
          <cell r="G112">
            <v>-0.65385400000000005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>
            <v>76</v>
          </cell>
          <cell r="B113">
            <v>7</v>
          </cell>
          <cell r="C113" t="str">
            <v xml:space="preserve">AGAA53    </v>
          </cell>
          <cell r="D113" t="str">
            <v xml:space="preserve">GENERAL &amp; ADMIN                                   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>
            <v>79</v>
          </cell>
          <cell r="B114">
            <v>7</v>
          </cell>
          <cell r="C114" t="str">
            <v xml:space="preserve">AAAT53    </v>
          </cell>
          <cell r="D114" t="str">
            <v xml:space="preserve">SALES                                             </v>
          </cell>
          <cell r="E114">
            <v>0</v>
          </cell>
          <cell r="F114">
            <v>0</v>
          </cell>
          <cell r="G114">
            <v>4.8523329999999998</v>
          </cell>
          <cell r="H114">
            <v>11.898072000000001</v>
          </cell>
          <cell r="I114">
            <v>6.1723319999999999</v>
          </cell>
          <cell r="J114">
            <v>6.3519290000000002</v>
          </cell>
          <cell r="K114">
            <v>1.4475499999999999</v>
          </cell>
          <cell r="L114">
            <v>10.820444999999999</v>
          </cell>
          <cell r="M114">
            <v>1.6947190000000001</v>
          </cell>
          <cell r="N114">
            <v>3.99743</v>
          </cell>
          <cell r="O114">
            <v>1.732818</v>
          </cell>
          <cell r="P114">
            <v>3.901478</v>
          </cell>
        </row>
        <row r="115">
          <cell r="A115">
            <v>1</v>
          </cell>
          <cell r="B115">
            <v>8</v>
          </cell>
          <cell r="C115" t="str">
            <v xml:space="preserve">AAAT53    </v>
          </cell>
          <cell r="D115" t="str">
            <v xml:space="preserve">SALES                                             </v>
          </cell>
          <cell r="E115">
            <v>-607.80873599999995</v>
          </cell>
          <cell r="F115">
            <v>-624.89752399999998</v>
          </cell>
          <cell r="G115">
            <v>-630.67449199999999</v>
          </cell>
          <cell r="H115">
            <v>-657.87832200000003</v>
          </cell>
          <cell r="I115">
            <v>-603.49741300000005</v>
          </cell>
          <cell r="J115">
            <v>-582.86486400000001</v>
          </cell>
          <cell r="K115">
            <v>-606.56647899999996</v>
          </cell>
          <cell r="L115">
            <v>-614.42983000000004</v>
          </cell>
          <cell r="M115">
            <v>-626.47460599999999</v>
          </cell>
          <cell r="N115">
            <v>-682.21255699999995</v>
          </cell>
          <cell r="O115">
            <v>-660.81089199999997</v>
          </cell>
          <cell r="P115">
            <v>-705.48110199999996</v>
          </cell>
        </row>
        <row r="116">
          <cell r="A116">
            <v>1</v>
          </cell>
          <cell r="B116">
            <v>8</v>
          </cell>
          <cell r="C116" t="str">
            <v xml:space="preserve">ABAT53    </v>
          </cell>
          <cell r="D116" t="str">
            <v xml:space="preserve">COST OF SALES                                     </v>
          </cell>
          <cell r="E116">
            <v>67.974590000000006</v>
          </cell>
          <cell r="F116">
            <v>76.416306000000006</v>
          </cell>
          <cell r="G116">
            <v>81.798094000000006</v>
          </cell>
          <cell r="H116">
            <v>95.403520999999998</v>
          </cell>
          <cell r="I116">
            <v>110.881445</v>
          </cell>
          <cell r="J116">
            <v>80.279787999999996</v>
          </cell>
          <cell r="K116">
            <v>98.250815000000003</v>
          </cell>
          <cell r="L116">
            <v>94.458274000000003</v>
          </cell>
          <cell r="M116">
            <v>94.150165000000001</v>
          </cell>
          <cell r="N116">
            <v>105.322973</v>
          </cell>
          <cell r="O116">
            <v>78.183649000000003</v>
          </cell>
          <cell r="P116">
            <v>97.496245000000002</v>
          </cell>
        </row>
        <row r="117">
          <cell r="A117">
            <v>1</v>
          </cell>
          <cell r="B117">
            <v>8</v>
          </cell>
          <cell r="C117" t="str">
            <v xml:space="preserve">ABAT53    </v>
          </cell>
          <cell r="D117" t="str">
            <v xml:space="preserve">COST OF SALES                                     </v>
          </cell>
          <cell r="E117">
            <v>-1.921473</v>
          </cell>
          <cell r="F117">
            <v>-2.0723029999999998</v>
          </cell>
          <cell r="G117">
            <v>-1.5053209999999999</v>
          </cell>
          <cell r="H117">
            <v>-2.0160900000000002</v>
          </cell>
          <cell r="I117">
            <v>-2.1389629999999999</v>
          </cell>
          <cell r="J117">
            <v>-2.3576380000000001</v>
          </cell>
          <cell r="K117">
            <v>-1.7441709999999999</v>
          </cell>
          <cell r="L117">
            <v>-2.1943860000000002</v>
          </cell>
          <cell r="M117">
            <v>-2.2513190000000001</v>
          </cell>
          <cell r="N117">
            <v>-2.0658409999999998</v>
          </cell>
          <cell r="O117">
            <v>-1.7329810000000001</v>
          </cell>
          <cell r="P117">
            <v>-2.1074410000000001</v>
          </cell>
        </row>
        <row r="118">
          <cell r="A118">
            <v>1</v>
          </cell>
          <cell r="B118">
            <v>8</v>
          </cell>
          <cell r="C118" t="str">
            <v xml:space="preserve">ADAA53    </v>
          </cell>
          <cell r="D118" t="str">
            <v xml:space="preserve">DISTRIBUTION                                      </v>
          </cell>
          <cell r="E118">
            <v>204.73656600000001</v>
          </cell>
          <cell r="F118">
            <v>219.76022900000001</v>
          </cell>
          <cell r="G118">
            <v>204.073217</v>
          </cell>
          <cell r="H118">
            <v>240.8193</v>
          </cell>
          <cell r="I118">
            <v>222.95550399999999</v>
          </cell>
          <cell r="J118">
            <v>237.18236999999999</v>
          </cell>
          <cell r="K118">
            <v>254.74013500000001</v>
          </cell>
          <cell r="L118">
            <v>258.92876200000001</v>
          </cell>
          <cell r="M118">
            <v>256.75105200000002</v>
          </cell>
          <cell r="N118">
            <v>256.72823699999998</v>
          </cell>
          <cell r="O118">
            <v>258.52325400000001</v>
          </cell>
          <cell r="P118">
            <v>260.27983</v>
          </cell>
        </row>
        <row r="119">
          <cell r="A119">
            <v>1</v>
          </cell>
          <cell r="B119">
            <v>8</v>
          </cell>
          <cell r="C119" t="str">
            <v xml:space="preserve">AEAA53    </v>
          </cell>
          <cell r="D119" t="str">
            <v xml:space="preserve">DEMURRAGE                                         </v>
          </cell>
          <cell r="E119">
            <v>-2.0952459999999999</v>
          </cell>
          <cell r="F119">
            <v>-2.1488399999999999</v>
          </cell>
          <cell r="G119">
            <v>-1.8470880000000001</v>
          </cell>
          <cell r="H119">
            <v>6.0911739999999996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>
            <v>1</v>
          </cell>
          <cell r="B120">
            <v>8</v>
          </cell>
          <cell r="C120" t="str">
            <v xml:space="preserve">AFAA53    </v>
          </cell>
          <cell r="D120" t="str">
            <v xml:space="preserve">SELLING EXPENSES                                  </v>
          </cell>
          <cell r="E120">
            <v>57.549498</v>
          </cell>
          <cell r="F120">
            <v>54.714058999999999</v>
          </cell>
          <cell r="G120">
            <v>58.790607000000001</v>
          </cell>
          <cell r="H120">
            <v>47.278357</v>
          </cell>
          <cell r="I120">
            <v>7.7850900000000003</v>
          </cell>
          <cell r="J120">
            <v>-53.291361999999999</v>
          </cell>
          <cell r="K120">
            <v>-48.358466999999997</v>
          </cell>
          <cell r="L120">
            <v>-29.048822999999999</v>
          </cell>
          <cell r="M120">
            <v>-28.957736000000001</v>
          </cell>
          <cell r="N120">
            <v>-36.617493000000003</v>
          </cell>
          <cell r="O120">
            <v>-38.577812000000002</v>
          </cell>
          <cell r="P120">
            <v>-29.088248</v>
          </cell>
        </row>
        <row r="121">
          <cell r="A121">
            <v>1</v>
          </cell>
          <cell r="B121">
            <v>8</v>
          </cell>
          <cell r="C121" t="str">
            <v xml:space="preserve">AGAA53    </v>
          </cell>
          <cell r="D121" t="str">
            <v xml:space="preserve">GENERAL &amp; ADMIN                                   </v>
          </cell>
          <cell r="E121">
            <v>26.738109999999999</v>
          </cell>
          <cell r="F121">
            <v>24.297602000000001</v>
          </cell>
          <cell r="G121">
            <v>21.597165</v>
          </cell>
          <cell r="H121">
            <v>21.867896000000002</v>
          </cell>
          <cell r="I121">
            <v>25.637328</v>
          </cell>
          <cell r="J121">
            <v>25.482545999999999</v>
          </cell>
          <cell r="K121">
            <v>23.353114999999999</v>
          </cell>
          <cell r="L121">
            <v>21.176575</v>
          </cell>
          <cell r="M121">
            <v>-19.790374</v>
          </cell>
          <cell r="N121">
            <v>22.635075000000001</v>
          </cell>
          <cell r="O121">
            <v>27.752296000000001</v>
          </cell>
          <cell r="P121">
            <v>35.467256999999996</v>
          </cell>
        </row>
        <row r="122">
          <cell r="A122">
            <v>1</v>
          </cell>
          <cell r="B122">
            <v>8</v>
          </cell>
          <cell r="C122" t="str">
            <v xml:space="preserve">ALAD53    </v>
          </cell>
          <cell r="D122" t="str">
            <v xml:space="preserve">LOST CYLINDER INCOME                              </v>
          </cell>
          <cell r="E122">
            <v>-0.105</v>
          </cell>
          <cell r="F122">
            <v>-0.1</v>
          </cell>
          <cell r="G122">
            <v>-0.992452</v>
          </cell>
          <cell r="H122">
            <v>-0.89475000000000005</v>
          </cell>
          <cell r="I122">
            <v>-0.83499999999999996</v>
          </cell>
          <cell r="J122">
            <v>-0.32500000000000001</v>
          </cell>
          <cell r="K122">
            <v>-0.353987</v>
          </cell>
          <cell r="L122">
            <v>-3.6764999999999999E-2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3</v>
          </cell>
          <cell r="B123">
            <v>8</v>
          </cell>
          <cell r="C123" t="str">
            <v xml:space="preserve">AAAT53    </v>
          </cell>
          <cell r="D123" t="str">
            <v xml:space="preserve">SALES                                             </v>
          </cell>
          <cell r="E123">
            <v>-236.36583606044735</v>
          </cell>
          <cell r="F123">
            <v>-239.30250250847109</v>
          </cell>
          <cell r="G123">
            <v>-248.944389</v>
          </cell>
          <cell r="H123">
            <v>-291.4021609184382</v>
          </cell>
          <cell r="I123">
            <v>-271.51074199999999</v>
          </cell>
          <cell r="J123">
            <v>-282.46418899999998</v>
          </cell>
          <cell r="K123">
            <v>-283.08252426456227</v>
          </cell>
          <cell r="L123">
            <v>-321.16001361220219</v>
          </cell>
          <cell r="M123">
            <v>-274.65214900000001</v>
          </cell>
          <cell r="N123">
            <v>-261.09758900000003</v>
          </cell>
          <cell r="O123">
            <v>-261.67972400000002</v>
          </cell>
          <cell r="P123">
            <v>-237.820583</v>
          </cell>
        </row>
        <row r="124">
          <cell r="A124">
            <v>3</v>
          </cell>
          <cell r="B124">
            <v>8</v>
          </cell>
          <cell r="C124" t="str">
            <v xml:space="preserve">ABAT53    </v>
          </cell>
          <cell r="D124" t="str">
            <v xml:space="preserve">COST OF SALES                                     </v>
          </cell>
          <cell r="E124">
            <v>4.0567288288282732</v>
          </cell>
          <cell r="F124">
            <v>4.0783919651434273</v>
          </cell>
          <cell r="G124">
            <v>1.0702149999999999</v>
          </cell>
          <cell r="H124">
            <v>4.8709357635412127</v>
          </cell>
          <cell r="I124">
            <v>1.0984119999999999</v>
          </cell>
          <cell r="J124">
            <v>2.9455750000000003</v>
          </cell>
          <cell r="K124">
            <v>4.7107103024932853</v>
          </cell>
          <cell r="L124">
            <v>4.6628879072315312</v>
          </cell>
          <cell r="M124">
            <v>1.90106</v>
          </cell>
          <cell r="N124">
            <v>1.856066</v>
          </cell>
          <cell r="O124">
            <v>1.878349</v>
          </cell>
          <cell r="P124">
            <v>18.436975</v>
          </cell>
        </row>
        <row r="125">
          <cell r="A125">
            <v>3</v>
          </cell>
          <cell r="B125">
            <v>8</v>
          </cell>
          <cell r="C125" t="str">
            <v xml:space="preserve">ADAA53    </v>
          </cell>
          <cell r="D125" t="str">
            <v xml:space="preserve">DISTRIBUTION                                      </v>
          </cell>
          <cell r="E125">
            <v>138.02437341512567</v>
          </cell>
          <cell r="F125">
            <v>141.62286049196626</v>
          </cell>
          <cell r="G125">
            <v>158.40907799999999</v>
          </cell>
          <cell r="H125">
            <v>171.91656178476799</v>
          </cell>
          <cell r="I125">
            <v>165.54382000000001</v>
          </cell>
          <cell r="J125">
            <v>163.012733</v>
          </cell>
          <cell r="K125">
            <v>167.18292964291544</v>
          </cell>
          <cell r="L125">
            <v>202.66586551862892</v>
          </cell>
          <cell r="M125">
            <v>166.872086</v>
          </cell>
          <cell r="N125">
            <v>156.84872999999999</v>
          </cell>
          <cell r="O125">
            <v>156.08814799999999</v>
          </cell>
          <cell r="P125">
            <v>132.922719</v>
          </cell>
        </row>
        <row r="126">
          <cell r="A126">
            <v>3</v>
          </cell>
          <cell r="B126">
            <v>8</v>
          </cell>
          <cell r="C126" t="str">
            <v xml:space="preserve">AFAA53    </v>
          </cell>
          <cell r="D126" t="str">
            <v xml:space="preserve">SELLING EXPENSES                                  </v>
          </cell>
          <cell r="E126">
            <v>3.4747308911604868</v>
          </cell>
          <cell r="F126">
            <v>4.0531196407650487</v>
          </cell>
          <cell r="G126">
            <v>4.7340119999999999</v>
          </cell>
          <cell r="H126">
            <v>7.2485525425727619</v>
          </cell>
          <cell r="I126">
            <v>7.1143390000000002</v>
          </cell>
          <cell r="J126">
            <v>12.867101</v>
          </cell>
          <cell r="K126">
            <v>4.8338344928928798</v>
          </cell>
          <cell r="L126">
            <v>5.1461204337440112</v>
          </cell>
          <cell r="M126">
            <v>1.152126</v>
          </cell>
          <cell r="N126">
            <v>6.3192399999999997</v>
          </cell>
          <cell r="O126">
            <v>4.2102599999999999</v>
          </cell>
          <cell r="P126">
            <v>5.7404279999999996</v>
          </cell>
        </row>
        <row r="127">
          <cell r="A127">
            <v>3</v>
          </cell>
          <cell r="B127">
            <v>8</v>
          </cell>
          <cell r="C127" t="str">
            <v xml:space="preserve">AGAA53    </v>
          </cell>
          <cell r="D127" t="str">
            <v xml:space="preserve">GENERAL &amp; ADMIN                                   </v>
          </cell>
          <cell r="E127">
            <v>9.5344109999368456</v>
          </cell>
          <cell r="F127">
            <v>7.9066622730386591</v>
          </cell>
          <cell r="G127">
            <v>7.2240029999999997</v>
          </cell>
          <cell r="H127">
            <v>6.5809372357016569</v>
          </cell>
          <cell r="I127">
            <v>7.2739659999999997</v>
          </cell>
          <cell r="J127">
            <v>7.2989470000000001</v>
          </cell>
          <cell r="K127">
            <v>8.4725592913743561</v>
          </cell>
          <cell r="L127">
            <v>7.7095520756408309</v>
          </cell>
          <cell r="M127">
            <v>7.3738900000000003</v>
          </cell>
          <cell r="N127">
            <v>7.3988709999999998</v>
          </cell>
          <cell r="O127">
            <v>7.4238530000000003</v>
          </cell>
          <cell r="P127">
            <v>7.4488390000000004</v>
          </cell>
        </row>
        <row r="128">
          <cell r="A128">
            <v>4</v>
          </cell>
          <cell r="B128">
            <v>8</v>
          </cell>
          <cell r="C128" t="str">
            <v xml:space="preserve">AAAT53    </v>
          </cell>
          <cell r="D128" t="str">
            <v xml:space="preserve">SALES                                             </v>
          </cell>
          <cell r="E128">
            <v>-29.854997000000001</v>
          </cell>
          <cell r="F128">
            <v>-30.078403999999999</v>
          </cell>
          <cell r="G128">
            <v>-30.164470999999999</v>
          </cell>
          <cell r="H128">
            <v>-31.398451000000001</v>
          </cell>
          <cell r="I128">
            <v>-32.640242000000001</v>
          </cell>
          <cell r="J128">
            <v>-30.500143999999999</v>
          </cell>
          <cell r="K128">
            <v>-32.555311000000003</v>
          </cell>
          <cell r="L128">
            <v>-31.381157999999999</v>
          </cell>
          <cell r="M128">
            <v>-36.253895999999997</v>
          </cell>
          <cell r="N128">
            <v>0</v>
          </cell>
          <cell r="O128">
            <v>0</v>
          </cell>
          <cell r="P128">
            <v>0</v>
          </cell>
        </row>
        <row r="129">
          <cell r="A129">
            <v>4</v>
          </cell>
          <cell r="B129">
            <v>8</v>
          </cell>
          <cell r="C129" t="str">
            <v xml:space="preserve">ABAT53    </v>
          </cell>
          <cell r="D129" t="str">
            <v xml:space="preserve">COST OF SALES                                     </v>
          </cell>
          <cell r="E129">
            <v>3.819267</v>
          </cell>
          <cell r="F129">
            <v>3.9991629999999998</v>
          </cell>
          <cell r="G129">
            <v>7.0694059999999999</v>
          </cell>
          <cell r="H129">
            <v>3.5409790000000001</v>
          </cell>
          <cell r="I129">
            <v>5.1355550000000001</v>
          </cell>
          <cell r="J129">
            <v>5.7015500000000001</v>
          </cell>
          <cell r="K129">
            <v>5.6218130000000004</v>
          </cell>
          <cell r="L129">
            <v>6.5340439999999997</v>
          </cell>
          <cell r="M129">
            <v>5.7227870000000003</v>
          </cell>
          <cell r="N129">
            <v>0</v>
          </cell>
          <cell r="O129">
            <v>0</v>
          </cell>
          <cell r="P129">
            <v>0</v>
          </cell>
        </row>
        <row r="130">
          <cell r="A130">
            <v>4</v>
          </cell>
          <cell r="B130">
            <v>8</v>
          </cell>
          <cell r="C130" t="str">
            <v xml:space="preserve">ADAA53    </v>
          </cell>
          <cell r="D130" t="str">
            <v xml:space="preserve">DISTRIBUTION                                      </v>
          </cell>
          <cell r="E130">
            <v>6.0531610000000002</v>
          </cell>
          <cell r="F130">
            <v>3.9322360000000001</v>
          </cell>
          <cell r="G130">
            <v>4.2029779999999999</v>
          </cell>
          <cell r="H130">
            <v>4.1396430000000004</v>
          </cell>
          <cell r="I130">
            <v>4.7803659999999999</v>
          </cell>
          <cell r="J130">
            <v>5.1838810000000004</v>
          </cell>
          <cell r="K130">
            <v>3.2020279999999999</v>
          </cell>
          <cell r="L130">
            <v>2.4417599999999999</v>
          </cell>
          <cell r="M130">
            <v>2.5214759999999998</v>
          </cell>
          <cell r="N130">
            <v>0</v>
          </cell>
          <cell r="O130">
            <v>0</v>
          </cell>
          <cell r="P130">
            <v>0</v>
          </cell>
        </row>
        <row r="131">
          <cell r="A131">
            <v>4</v>
          </cell>
          <cell r="B131">
            <v>8</v>
          </cell>
          <cell r="C131" t="str">
            <v xml:space="preserve">AFAA53    </v>
          </cell>
          <cell r="D131" t="str">
            <v xml:space="preserve">SELLING EXPENSES                                  </v>
          </cell>
          <cell r="E131">
            <v>1.5817380000000001</v>
          </cell>
          <cell r="F131">
            <v>3.350403</v>
          </cell>
          <cell r="G131">
            <v>3.3114319999999999</v>
          </cell>
          <cell r="H131">
            <v>2.4417849999999999</v>
          </cell>
          <cell r="I131">
            <v>3.0831209999999998</v>
          </cell>
          <cell r="J131">
            <v>1.44533</v>
          </cell>
          <cell r="K131">
            <v>1.2407049999999999</v>
          </cell>
          <cell r="L131">
            <v>0.68770100000000001</v>
          </cell>
          <cell r="M131">
            <v>0.75561400000000001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5</v>
          </cell>
          <cell r="B132">
            <v>8</v>
          </cell>
          <cell r="C132" t="str">
            <v xml:space="preserve">AAAT53    </v>
          </cell>
          <cell r="D132" t="str">
            <v xml:space="preserve">SALES                                             </v>
          </cell>
          <cell r="E132">
            <v>-1.578117</v>
          </cell>
          <cell r="F132">
            <v>-0.59721199999999997</v>
          </cell>
          <cell r="G132">
            <v>-0.56503499999999995</v>
          </cell>
          <cell r="H132">
            <v>-0.67199500000000001</v>
          </cell>
          <cell r="I132">
            <v>-0.66334700000000002</v>
          </cell>
          <cell r="J132">
            <v>0.55220999999999998</v>
          </cell>
          <cell r="K132">
            <v>-0.66883800000000004</v>
          </cell>
          <cell r="L132">
            <v>-0.67357</v>
          </cell>
          <cell r="M132">
            <v>-0.69855699999999998</v>
          </cell>
          <cell r="N132">
            <v>-0.72184000000000004</v>
          </cell>
          <cell r="O132">
            <v>-0.71082000000000001</v>
          </cell>
          <cell r="P132">
            <v>-0.638741</v>
          </cell>
        </row>
        <row r="133">
          <cell r="A133">
            <v>5</v>
          </cell>
          <cell r="B133">
            <v>8</v>
          </cell>
          <cell r="C133" t="str">
            <v xml:space="preserve">ABAT53    </v>
          </cell>
          <cell r="D133" t="str">
            <v xml:space="preserve">COST OF SALES                                     </v>
          </cell>
          <cell r="E133">
            <v>4.0906849999999997</v>
          </cell>
          <cell r="F133">
            <v>5.0126340000000003</v>
          </cell>
          <cell r="G133">
            <v>-2.8407480000000001</v>
          </cell>
          <cell r="H133">
            <v>-6.2625700000000002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>
            <v>5</v>
          </cell>
          <cell r="B134">
            <v>8</v>
          </cell>
          <cell r="C134" t="str">
            <v xml:space="preserve">ADAA53    </v>
          </cell>
          <cell r="D134" t="str">
            <v xml:space="preserve">DISTRIBUTION                                      </v>
          </cell>
          <cell r="E134">
            <v>3.3697889999999999</v>
          </cell>
          <cell r="F134">
            <v>-3.2776010000000002</v>
          </cell>
          <cell r="G134">
            <v>-0.476379</v>
          </cell>
          <cell r="H134">
            <v>3.6008999999999999E-2</v>
          </cell>
          <cell r="I134">
            <v>9.665E-3</v>
          </cell>
          <cell r="J134">
            <v>1.4834E-2</v>
          </cell>
          <cell r="K134">
            <v>9.1074000000000002E-2</v>
          </cell>
          <cell r="L134">
            <v>-1.6573000000000001E-2</v>
          </cell>
          <cell r="M134">
            <v>1.3558000000000001E-2</v>
          </cell>
          <cell r="N134">
            <v>5.424E-3</v>
          </cell>
          <cell r="O134">
            <v>4.5931E-2</v>
          </cell>
          <cell r="P134">
            <v>0.37382900000000002</v>
          </cell>
        </row>
        <row r="135">
          <cell r="A135">
            <v>5</v>
          </cell>
          <cell r="B135">
            <v>8</v>
          </cell>
          <cell r="C135" t="str">
            <v xml:space="preserve">AFAA53    </v>
          </cell>
          <cell r="D135" t="str">
            <v xml:space="preserve">SELLING EXPENSES                                  </v>
          </cell>
          <cell r="E135">
            <v>0.34820299999999998</v>
          </cell>
          <cell r="F135">
            <v>-0.24900900000000001</v>
          </cell>
          <cell r="G135">
            <v>-0.27479100000000001</v>
          </cell>
          <cell r="H135">
            <v>-4.4660000000000004E-3</v>
          </cell>
          <cell r="I135">
            <v>2.5279999999999999E-3</v>
          </cell>
          <cell r="J135">
            <v>0.31190400000000001</v>
          </cell>
          <cell r="K135">
            <v>3.9039999999999999E-3</v>
          </cell>
          <cell r="L135">
            <v>-1.1590000000000001E-3</v>
          </cell>
          <cell r="M135">
            <v>0</v>
          </cell>
          <cell r="N135">
            <v>0</v>
          </cell>
          <cell r="O135">
            <v>0.34483999999999998</v>
          </cell>
          <cell r="P135">
            <v>0.22208</v>
          </cell>
        </row>
        <row r="136">
          <cell r="A136">
            <v>6</v>
          </cell>
          <cell r="B136">
            <v>8</v>
          </cell>
          <cell r="C136" t="str">
            <v xml:space="preserve">AAAT53    </v>
          </cell>
          <cell r="D136" t="str">
            <v xml:space="preserve">SALES                                             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A137">
            <v>6</v>
          </cell>
          <cell r="B137">
            <v>8</v>
          </cell>
          <cell r="C137" t="str">
            <v xml:space="preserve">ABAT53    </v>
          </cell>
          <cell r="D137" t="str">
            <v xml:space="preserve">COST OF SALES                                     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A138">
            <v>6</v>
          </cell>
          <cell r="B138">
            <v>8</v>
          </cell>
          <cell r="C138" t="str">
            <v xml:space="preserve">ADAA53    </v>
          </cell>
          <cell r="D138" t="str">
            <v xml:space="preserve">DISTRIBUTION                                    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1.89</v>
          </cell>
          <cell r="N138">
            <v>21.63</v>
          </cell>
          <cell r="O138">
            <v>0</v>
          </cell>
          <cell r="P138">
            <v>0</v>
          </cell>
        </row>
        <row r="139">
          <cell r="A139">
            <v>6</v>
          </cell>
          <cell r="B139">
            <v>8</v>
          </cell>
          <cell r="C139" t="str">
            <v xml:space="preserve">AFAA53    </v>
          </cell>
          <cell r="D139" t="str">
            <v xml:space="preserve">SELLING EXPENSES                                  </v>
          </cell>
          <cell r="E139">
            <v>0</v>
          </cell>
          <cell r="F139">
            <v>0</v>
          </cell>
          <cell r="G139">
            <v>0</v>
          </cell>
          <cell r="H139">
            <v>6.0559999999999998E-3</v>
          </cell>
          <cell r="I139">
            <v>3.1510999999999997E-2</v>
          </cell>
          <cell r="J139">
            <v>3.7358000000000002E-2</v>
          </cell>
          <cell r="K139">
            <v>1.6754000000000002E-2</v>
          </cell>
          <cell r="L139">
            <v>5.6228769999999999</v>
          </cell>
          <cell r="M139">
            <v>1.586E-3</v>
          </cell>
          <cell r="N139">
            <v>2.1850000000000001E-2</v>
          </cell>
          <cell r="O139">
            <v>3.6589999999999998E-2</v>
          </cell>
          <cell r="P139">
            <v>5.3089430000000002</v>
          </cell>
        </row>
        <row r="140">
          <cell r="A140">
            <v>7</v>
          </cell>
          <cell r="B140">
            <v>8</v>
          </cell>
          <cell r="C140" t="str">
            <v xml:space="preserve">AAAT53    </v>
          </cell>
          <cell r="D140" t="str">
            <v xml:space="preserve">SALES                                             </v>
          </cell>
          <cell r="E140">
            <v>-33.766285000000003</v>
          </cell>
          <cell r="F140">
            <v>-35.744399000000001</v>
          </cell>
          <cell r="G140">
            <v>-36.708666999999998</v>
          </cell>
          <cell r="H140">
            <v>-36.674661999999998</v>
          </cell>
          <cell r="I140">
            <v>-19.956306000000001</v>
          </cell>
          <cell r="J140">
            <v>9.3665999999999999E-2</v>
          </cell>
          <cell r="K140">
            <v>0</v>
          </cell>
          <cell r="L140">
            <v>-0.13270999999999999</v>
          </cell>
          <cell r="M140">
            <v>0</v>
          </cell>
          <cell r="N140">
            <v>-6.2355000000000001E-2</v>
          </cell>
          <cell r="O140">
            <v>0</v>
          </cell>
          <cell r="P140">
            <v>0</v>
          </cell>
        </row>
        <row r="141">
          <cell r="A141">
            <v>7</v>
          </cell>
          <cell r="B141">
            <v>8</v>
          </cell>
          <cell r="C141" t="str">
            <v xml:space="preserve">ABAT53    </v>
          </cell>
          <cell r="D141" t="str">
            <v xml:space="preserve">COST OF SALES                                     </v>
          </cell>
          <cell r="E141">
            <v>9.119211</v>
          </cell>
          <cell r="F141">
            <v>9.5418780000000005</v>
          </cell>
          <cell r="G141">
            <v>11.080399999999999</v>
          </cell>
          <cell r="H141">
            <v>10.57155</v>
          </cell>
          <cell r="I141">
            <v>3.7288429999999999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A142">
            <v>7</v>
          </cell>
          <cell r="B142">
            <v>8</v>
          </cell>
          <cell r="C142" t="str">
            <v xml:space="preserve">ADAA53    </v>
          </cell>
          <cell r="D142" t="str">
            <v xml:space="preserve">DISTRIBUTION                                      </v>
          </cell>
          <cell r="E142">
            <v>12.421567</v>
          </cell>
          <cell r="F142">
            <v>11.510057</v>
          </cell>
          <cell r="G142">
            <v>9.5310780000000008</v>
          </cell>
          <cell r="H142">
            <v>15.848853</v>
          </cell>
          <cell r="I142">
            <v>7.4603080000000004</v>
          </cell>
          <cell r="J142">
            <v>0.91564000000000001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A143">
            <v>7</v>
          </cell>
          <cell r="B143">
            <v>8</v>
          </cell>
          <cell r="C143" t="str">
            <v xml:space="preserve">AFAA53    </v>
          </cell>
          <cell r="D143" t="str">
            <v xml:space="preserve">SELLING EXPENSES                                  </v>
          </cell>
          <cell r="E143">
            <v>0.47872199999999998</v>
          </cell>
          <cell r="F143">
            <v>0.51917599999999997</v>
          </cell>
          <cell r="G143">
            <v>0.42201899999999998</v>
          </cell>
          <cell r="H143">
            <v>0.60929299999999997</v>
          </cell>
          <cell r="I143">
            <v>1.327453</v>
          </cell>
          <cell r="J143">
            <v>0.75199000000000005</v>
          </cell>
          <cell r="K143">
            <v>0.47436099999999998</v>
          </cell>
          <cell r="L143">
            <v>-0.147339</v>
          </cell>
          <cell r="M143">
            <v>0</v>
          </cell>
          <cell r="N143">
            <v>0</v>
          </cell>
          <cell r="O143">
            <v>0.55907399999999996</v>
          </cell>
          <cell r="P143">
            <v>-1.2074E-2</v>
          </cell>
        </row>
        <row r="144">
          <cell r="A144">
            <v>8</v>
          </cell>
          <cell r="B144">
            <v>8</v>
          </cell>
          <cell r="C144" t="str">
            <v xml:space="preserve">AAAT53    </v>
          </cell>
          <cell r="D144" t="str">
            <v xml:space="preserve">SALES                                             </v>
          </cell>
          <cell r="E144">
            <v>-41.907935000000002</v>
          </cell>
          <cell r="F144">
            <v>-40.666060999999999</v>
          </cell>
          <cell r="G144">
            <v>-45.846224999999997</v>
          </cell>
          <cell r="H144">
            <v>-45.379204000000001</v>
          </cell>
          <cell r="I144">
            <v>-26.58203</v>
          </cell>
          <cell r="J144">
            <v>-10.588236999999999</v>
          </cell>
          <cell r="K144">
            <v>-11.870044999999999</v>
          </cell>
          <cell r="L144">
            <v>-8.600873</v>
          </cell>
          <cell r="M144">
            <v>-8.7343119999999992</v>
          </cell>
          <cell r="N144">
            <v>0</v>
          </cell>
          <cell r="O144">
            <v>0</v>
          </cell>
          <cell r="P144">
            <v>0</v>
          </cell>
        </row>
        <row r="145">
          <cell r="A145">
            <v>8</v>
          </cell>
          <cell r="B145">
            <v>8</v>
          </cell>
          <cell r="C145" t="str">
            <v xml:space="preserve">ABAT53    </v>
          </cell>
          <cell r="D145" t="str">
            <v xml:space="preserve">COST OF SALES                                     </v>
          </cell>
          <cell r="E145">
            <v>12.742597999999999</v>
          </cell>
          <cell r="F145">
            <v>12.738308999999999</v>
          </cell>
          <cell r="G145">
            <v>13.379435000000001</v>
          </cell>
          <cell r="H145">
            <v>13.072448</v>
          </cell>
          <cell r="I145">
            <v>6.4176000000000002</v>
          </cell>
          <cell r="J145">
            <v>2.8087800000000001</v>
          </cell>
          <cell r="K145">
            <v>2.442733</v>
          </cell>
          <cell r="L145">
            <v>2.9139010000000001</v>
          </cell>
          <cell r="M145">
            <v>2.8434720000000002</v>
          </cell>
          <cell r="N145">
            <v>0</v>
          </cell>
          <cell r="O145">
            <v>0</v>
          </cell>
          <cell r="P145">
            <v>0</v>
          </cell>
        </row>
        <row r="146">
          <cell r="A146">
            <v>8</v>
          </cell>
          <cell r="B146">
            <v>8</v>
          </cell>
          <cell r="C146" t="str">
            <v xml:space="preserve">ADAA53    </v>
          </cell>
          <cell r="D146" t="str">
            <v xml:space="preserve">DISTRIBUTION                                      </v>
          </cell>
          <cell r="E146">
            <v>16.218426999999998</v>
          </cell>
          <cell r="F146">
            <v>13.723829</v>
          </cell>
          <cell r="G146">
            <v>13.903088</v>
          </cell>
          <cell r="H146">
            <v>16.666225000000001</v>
          </cell>
          <cell r="I146">
            <v>2.9421919999999999</v>
          </cell>
          <cell r="J146">
            <v>4.1351469999999999</v>
          </cell>
          <cell r="K146">
            <v>0.92949999999999999</v>
          </cell>
          <cell r="L146">
            <v>0.92949999999999999</v>
          </cell>
          <cell r="M146">
            <v>0.92949999999999999</v>
          </cell>
          <cell r="N146">
            <v>0</v>
          </cell>
          <cell r="O146">
            <v>0</v>
          </cell>
          <cell r="P146">
            <v>0</v>
          </cell>
        </row>
        <row r="147">
          <cell r="A147">
            <v>8</v>
          </cell>
          <cell r="B147">
            <v>8</v>
          </cell>
          <cell r="C147" t="str">
            <v xml:space="preserve">AFAA53    </v>
          </cell>
          <cell r="D147" t="str">
            <v xml:space="preserve">SELLING EXPENSES                                  </v>
          </cell>
          <cell r="E147">
            <v>0.774482</v>
          </cell>
          <cell r="F147">
            <v>1.3574250000000001</v>
          </cell>
          <cell r="G147">
            <v>0.92810800000000004</v>
          </cell>
          <cell r="H147">
            <v>0.91063700000000003</v>
          </cell>
          <cell r="I147">
            <v>8.7792370000000002</v>
          </cell>
          <cell r="J147">
            <v>1.8002180000000001</v>
          </cell>
          <cell r="K147">
            <v>7.2505059999999997</v>
          </cell>
          <cell r="L147">
            <v>-0.34604299999999999</v>
          </cell>
          <cell r="M147">
            <v>2.2396240000000001</v>
          </cell>
          <cell r="N147">
            <v>0</v>
          </cell>
          <cell r="O147">
            <v>0</v>
          </cell>
          <cell r="P147">
            <v>0</v>
          </cell>
        </row>
        <row r="148">
          <cell r="A148">
            <v>9</v>
          </cell>
          <cell r="B148">
            <v>8</v>
          </cell>
          <cell r="C148" t="str">
            <v xml:space="preserve">AAAT53    </v>
          </cell>
          <cell r="D148" t="str">
            <v xml:space="preserve">SALES                                             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-54.052043399999995</v>
          </cell>
          <cell r="J148">
            <v>-108.10408679999999</v>
          </cell>
          <cell r="K148">
            <v>-108.10408679999999</v>
          </cell>
          <cell r="L148">
            <v>-108.10408679999999</v>
          </cell>
          <cell r="M148">
            <v>-108.10408679999999</v>
          </cell>
          <cell r="N148">
            <v>-108.10408679999999</v>
          </cell>
          <cell r="O148">
            <v>-108.10408679999999</v>
          </cell>
          <cell r="P148">
            <v>-74.325487799999991</v>
          </cell>
        </row>
        <row r="149">
          <cell r="A149">
            <v>9</v>
          </cell>
          <cell r="B149">
            <v>8</v>
          </cell>
          <cell r="C149" t="str">
            <v xml:space="preserve">AFAA53    </v>
          </cell>
          <cell r="D149" t="str">
            <v xml:space="preserve">SELLING EXPENSES                                  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52.374029999999998</v>
          </cell>
          <cell r="J149">
            <v>102.7174152</v>
          </cell>
          <cell r="K149">
            <v>102.80047620000001</v>
          </cell>
          <cell r="L149">
            <v>102.75491220000001</v>
          </cell>
          <cell r="M149">
            <v>102.72047459999999</v>
          </cell>
          <cell r="N149">
            <v>102.71859120000001</v>
          </cell>
          <cell r="O149">
            <v>102.71793659999999</v>
          </cell>
          <cell r="P149">
            <v>102.7394946</v>
          </cell>
        </row>
        <row r="150">
          <cell r="A150">
            <v>10</v>
          </cell>
          <cell r="B150">
            <v>8</v>
          </cell>
          <cell r="C150" t="str">
            <v xml:space="preserve">AAAT53    </v>
          </cell>
          <cell r="D150" t="str">
            <v xml:space="preserve">SALES                                             </v>
          </cell>
          <cell r="E150">
            <v>4.6259999999999999E-3</v>
          </cell>
          <cell r="F150">
            <v>2.9373E-2</v>
          </cell>
          <cell r="G150">
            <v>0</v>
          </cell>
          <cell r="H150">
            <v>0</v>
          </cell>
          <cell r="I150">
            <v>0</v>
          </cell>
          <cell r="J150">
            <v>-3.1814000000000002E-2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A151">
            <v>10</v>
          </cell>
          <cell r="B151">
            <v>8</v>
          </cell>
          <cell r="C151" t="str">
            <v xml:space="preserve">ABAT53    </v>
          </cell>
          <cell r="D151" t="str">
            <v xml:space="preserve">COST OF SALES                                     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A152">
            <v>10</v>
          </cell>
          <cell r="B152">
            <v>8</v>
          </cell>
          <cell r="C152" t="str">
            <v xml:space="preserve">ADAA53    </v>
          </cell>
          <cell r="D152" t="str">
            <v xml:space="preserve">DISTRIBUTION                                    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A153">
            <v>10</v>
          </cell>
          <cell r="B153">
            <v>8</v>
          </cell>
          <cell r="C153" t="str">
            <v xml:space="preserve">AFAA53    </v>
          </cell>
          <cell r="D153" t="str">
            <v xml:space="preserve">SELLING EXPENSES                                  </v>
          </cell>
          <cell r="E153">
            <v>0.45108500000000001</v>
          </cell>
          <cell r="F153">
            <v>0.2465</v>
          </cell>
          <cell r="G153">
            <v>6.5132999999999996E-2</v>
          </cell>
          <cell r="H153">
            <v>0.27900700000000001</v>
          </cell>
          <cell r="I153">
            <v>0.11100400000000001</v>
          </cell>
          <cell r="J153">
            <v>-7.4269999999999996E-3</v>
          </cell>
          <cell r="K153">
            <v>1.497384</v>
          </cell>
          <cell r="L153">
            <v>1.012508</v>
          </cell>
          <cell r="M153">
            <v>1.62914</v>
          </cell>
          <cell r="N153">
            <v>0.61806700000000003</v>
          </cell>
          <cell r="O153">
            <v>0.61104000000000003</v>
          </cell>
          <cell r="P153">
            <v>0.60119199999999995</v>
          </cell>
        </row>
        <row r="154">
          <cell r="A154">
            <v>14</v>
          </cell>
          <cell r="B154">
            <v>8</v>
          </cell>
          <cell r="C154" t="str">
            <v xml:space="preserve">AGAA53    </v>
          </cell>
          <cell r="D154" t="str">
            <v xml:space="preserve">GENERAL &amp; ADMIN                                   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>
            <v>75</v>
          </cell>
          <cell r="B155">
            <v>8</v>
          </cell>
          <cell r="C155" t="str">
            <v xml:space="preserve">AFAA53    </v>
          </cell>
          <cell r="D155" t="str">
            <v xml:space="preserve">SELLING EXPENSES                                  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2.5371549999999998</v>
          </cell>
          <cell r="O155">
            <v>0</v>
          </cell>
          <cell r="P155">
            <v>0</v>
          </cell>
        </row>
        <row r="156">
          <cell r="A156">
            <v>75</v>
          </cell>
          <cell r="B156">
            <v>8</v>
          </cell>
          <cell r="C156" t="str">
            <v xml:space="preserve">AGAA53    </v>
          </cell>
          <cell r="D156" t="str">
            <v xml:space="preserve">GENERAL &amp; ADMIN                                   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>
            <v>75</v>
          </cell>
          <cell r="B157">
            <v>8</v>
          </cell>
          <cell r="C157" t="str">
            <v xml:space="preserve">ALAD53    </v>
          </cell>
          <cell r="D157" t="str">
            <v xml:space="preserve">LOST CYLINDER INCOME                              </v>
          </cell>
          <cell r="E157">
            <v>0</v>
          </cell>
          <cell r="F157">
            <v>0</v>
          </cell>
          <cell r="G157">
            <v>0.6925</v>
          </cell>
          <cell r="H157">
            <v>0</v>
          </cell>
          <cell r="I157">
            <v>0</v>
          </cell>
          <cell r="J157">
            <v>0</v>
          </cell>
          <cell r="K157">
            <v>-4.6350000000000002E-3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>
            <v>76</v>
          </cell>
          <cell r="B158">
            <v>8</v>
          </cell>
          <cell r="C158" t="str">
            <v xml:space="preserve">AAAT53    </v>
          </cell>
          <cell r="D158" t="str">
            <v xml:space="preserve">SALES                                             </v>
          </cell>
          <cell r="E158">
            <v>27.618762</v>
          </cell>
          <cell r="F158">
            <v>29.087254000000001</v>
          </cell>
          <cell r="G158">
            <v>26.778072000000002</v>
          </cell>
          <cell r="H158">
            <v>27.184977</v>
          </cell>
          <cell r="I158">
            <v>15.281998</v>
          </cell>
          <cell r="J158">
            <v>8.5103299999999997</v>
          </cell>
          <cell r="K158">
            <v>8.064546</v>
          </cell>
          <cell r="L158">
            <v>9.4479450000000007</v>
          </cell>
          <cell r="M158">
            <v>8.5662590000000005</v>
          </cell>
          <cell r="N158">
            <v>8.6627799999999997</v>
          </cell>
          <cell r="O158">
            <v>7.279128</v>
          </cell>
          <cell r="P158">
            <v>3.3652829999999998</v>
          </cell>
        </row>
        <row r="159">
          <cell r="A159">
            <v>76</v>
          </cell>
          <cell r="B159">
            <v>8</v>
          </cell>
          <cell r="C159" t="str">
            <v xml:space="preserve">ABAT53    </v>
          </cell>
          <cell r="D159" t="str">
            <v xml:space="preserve">COST OF SALES                                     </v>
          </cell>
          <cell r="E159">
            <v>-29.771761000000001</v>
          </cell>
          <cell r="F159">
            <v>-31.291983999999999</v>
          </cell>
          <cell r="G159">
            <v>-28.688493000000001</v>
          </cell>
          <cell r="H159">
            <v>-20.922407</v>
          </cell>
          <cell r="I159">
            <v>-15.281998</v>
          </cell>
          <cell r="J159">
            <v>-8.5103299999999997</v>
          </cell>
          <cell r="K159">
            <v>-8.064546</v>
          </cell>
          <cell r="L159">
            <v>-9.4479450000000007</v>
          </cell>
          <cell r="M159">
            <v>-8.5662590000000005</v>
          </cell>
          <cell r="N159">
            <v>-8.6627799999999997</v>
          </cell>
          <cell r="O159">
            <v>-7.279128</v>
          </cell>
          <cell r="P159">
            <v>-3.3652829999999998</v>
          </cell>
        </row>
        <row r="160">
          <cell r="A160">
            <v>76</v>
          </cell>
          <cell r="B160">
            <v>8</v>
          </cell>
          <cell r="C160" t="str">
            <v xml:space="preserve">ADAA53    </v>
          </cell>
          <cell r="D160" t="str">
            <v xml:space="preserve">DISTRIBUTION                                      </v>
          </cell>
          <cell r="E160">
            <v>1.0545599999999999</v>
          </cell>
          <cell r="F160">
            <v>2.454904</v>
          </cell>
          <cell r="G160">
            <v>2.412172</v>
          </cell>
          <cell r="H160">
            <v>2.085661</v>
          </cell>
          <cell r="I160">
            <v>2.0580539999999998</v>
          </cell>
          <cell r="J160">
            <v>2.4694820000000002</v>
          </cell>
          <cell r="K160">
            <v>2.5441910000000001</v>
          </cell>
          <cell r="L160">
            <v>1.6233999999999998E-2</v>
          </cell>
          <cell r="M160">
            <v>0.19725400000000001</v>
          </cell>
          <cell r="N160">
            <v>0</v>
          </cell>
          <cell r="O160">
            <v>0</v>
          </cell>
          <cell r="P160">
            <v>-0.49149300000000001</v>
          </cell>
        </row>
        <row r="161">
          <cell r="A161">
            <v>76</v>
          </cell>
          <cell r="B161">
            <v>8</v>
          </cell>
          <cell r="C161" t="str">
            <v xml:space="preserve">AEAA53    </v>
          </cell>
          <cell r="D161" t="str">
            <v xml:space="preserve">DEMURRAGE                                         </v>
          </cell>
          <cell r="E161">
            <v>2.0952459999999999</v>
          </cell>
          <cell r="F161">
            <v>2.1488399999999999</v>
          </cell>
          <cell r="G161">
            <v>1.8470880000000001</v>
          </cell>
          <cell r="H161">
            <v>-6.0911739999999996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A162">
            <v>76</v>
          </cell>
          <cell r="B162">
            <v>8</v>
          </cell>
          <cell r="C162" t="str">
            <v xml:space="preserve">AFAA53    </v>
          </cell>
          <cell r="D162" t="str">
            <v xml:space="preserve">SELLING EXPENSES                                  </v>
          </cell>
          <cell r="E162">
            <v>-1.6199209999999999</v>
          </cell>
          <cell r="F162">
            <v>-2.69089</v>
          </cell>
          <cell r="G162">
            <v>-1.9014610000000001</v>
          </cell>
          <cell r="H162">
            <v>-1.9897389999999999</v>
          </cell>
          <cell r="I162">
            <v>-1.1953800000000001</v>
          </cell>
          <cell r="J162">
            <v>-0.56049800000000005</v>
          </cell>
          <cell r="K162">
            <v>-0.24434600000000001</v>
          </cell>
          <cell r="L162">
            <v>-3.9925540000000002</v>
          </cell>
          <cell r="M162">
            <v>-0.168659</v>
          </cell>
          <cell r="N162">
            <v>0</v>
          </cell>
          <cell r="O162">
            <v>0</v>
          </cell>
          <cell r="P162">
            <v>-5.6206990000000001</v>
          </cell>
        </row>
        <row r="163">
          <cell r="A163">
            <v>77</v>
          </cell>
          <cell r="B163">
            <v>8</v>
          </cell>
          <cell r="C163" t="str">
            <v xml:space="preserve">AAAT53    </v>
          </cell>
          <cell r="D163" t="str">
            <v xml:space="preserve">SALES                                             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2.2379609999999999</v>
          </cell>
        </row>
        <row r="164">
          <cell r="A164">
            <v>1</v>
          </cell>
          <cell r="B164">
            <v>9</v>
          </cell>
          <cell r="C164" t="str">
            <v xml:space="preserve">NBAA53    </v>
          </cell>
          <cell r="D164" t="str">
            <v xml:space="preserve">COST OF SALES N.DIV.                              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>
            <v>6</v>
          </cell>
          <cell r="B165">
            <v>9</v>
          </cell>
          <cell r="C165" t="str">
            <v xml:space="preserve">AAAT53    </v>
          </cell>
          <cell r="D165" t="str">
            <v xml:space="preserve">SALES                                           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A166">
            <v>15</v>
          </cell>
          <cell r="B166">
            <v>9</v>
          </cell>
          <cell r="C166" t="str">
            <v xml:space="preserve">AAAT53    </v>
          </cell>
          <cell r="D166" t="str">
            <v xml:space="preserve">SALES                                             </v>
          </cell>
          <cell r="E166">
            <v>-21.23338</v>
          </cell>
          <cell r="F166">
            <v>-17.462976999999999</v>
          </cell>
          <cell r="G166">
            <v>-14.013589</v>
          </cell>
          <cell r="H166">
            <v>-27.486778000000001</v>
          </cell>
          <cell r="I166">
            <v>-22.744219999999999</v>
          </cell>
          <cell r="J166">
            <v>-28.760487000000001</v>
          </cell>
          <cell r="K166">
            <v>-27.119392999999999</v>
          </cell>
          <cell r="L166">
            <v>-32.306559999999998</v>
          </cell>
          <cell r="M166">
            <v>-26.099761999999998</v>
          </cell>
          <cell r="N166">
            <v>-32.590349000000003</v>
          </cell>
          <cell r="O166">
            <v>-37.182476999999999</v>
          </cell>
          <cell r="P166">
            <v>-41.856039000000003</v>
          </cell>
        </row>
        <row r="167">
          <cell r="A167">
            <v>15</v>
          </cell>
          <cell r="B167">
            <v>9</v>
          </cell>
          <cell r="C167" t="str">
            <v xml:space="preserve">ABAT53    </v>
          </cell>
          <cell r="D167" t="str">
            <v xml:space="preserve">COST OF SALES                                     </v>
          </cell>
          <cell r="E167">
            <v>3.4391419999999999</v>
          </cell>
          <cell r="F167">
            <v>10.067206000000001</v>
          </cell>
          <cell r="G167">
            <v>3.4060609999999998</v>
          </cell>
          <cell r="H167">
            <v>3.9895350000000001</v>
          </cell>
          <cell r="I167">
            <v>2.8503250000000002</v>
          </cell>
          <cell r="J167">
            <v>3.6428050000000001</v>
          </cell>
          <cell r="K167">
            <v>11.400655</v>
          </cell>
          <cell r="L167">
            <v>11.512579000000001</v>
          </cell>
          <cell r="M167">
            <v>3.34849</v>
          </cell>
          <cell r="N167">
            <v>11.343151000000001</v>
          </cell>
          <cell r="O167">
            <v>5.9844369999999998</v>
          </cell>
          <cell r="P167">
            <v>5.0612519999999996</v>
          </cell>
        </row>
        <row r="168">
          <cell r="A168">
            <v>15</v>
          </cell>
          <cell r="B168">
            <v>9</v>
          </cell>
          <cell r="C168" t="str">
            <v xml:space="preserve">ADAA53    </v>
          </cell>
          <cell r="D168" t="str">
            <v xml:space="preserve">DISTRIBUTION                                      </v>
          </cell>
          <cell r="E168">
            <v>4.5693830000000002</v>
          </cell>
          <cell r="F168">
            <v>5.3586200000000002</v>
          </cell>
          <cell r="G168">
            <v>4.4788589999999999</v>
          </cell>
          <cell r="H168">
            <v>6.3194549999999996</v>
          </cell>
          <cell r="I168">
            <v>8.8908749999999994</v>
          </cell>
          <cell r="J168">
            <v>6.85853</v>
          </cell>
          <cell r="K168">
            <v>6.3411720000000003</v>
          </cell>
          <cell r="L168">
            <v>10.149335000000001</v>
          </cell>
          <cell r="M168">
            <v>8.3465969999999992</v>
          </cell>
          <cell r="N168">
            <v>7.7645179999999998</v>
          </cell>
          <cell r="O168">
            <v>7.4659959999999996</v>
          </cell>
          <cell r="P168">
            <v>9.2988040000000005</v>
          </cell>
        </row>
        <row r="169">
          <cell r="A169">
            <v>15</v>
          </cell>
          <cell r="B169">
            <v>9</v>
          </cell>
          <cell r="C169" t="str">
            <v xml:space="preserve">AFAA53    </v>
          </cell>
          <cell r="D169" t="str">
            <v xml:space="preserve">SELLING EXPENSES                                  </v>
          </cell>
          <cell r="E169">
            <v>2.7085379999999999</v>
          </cell>
          <cell r="F169">
            <v>3.8544969999999998</v>
          </cell>
          <cell r="G169">
            <v>2.9227310000000002</v>
          </cell>
          <cell r="H169">
            <v>4.1011160000000002</v>
          </cell>
          <cell r="I169">
            <v>3.4216229999999999</v>
          </cell>
          <cell r="J169">
            <v>4.0959279999999998</v>
          </cell>
          <cell r="K169">
            <v>0.81738699999999997</v>
          </cell>
          <cell r="L169">
            <v>5.6779080000000004</v>
          </cell>
          <cell r="M169">
            <v>4.6239030000000003</v>
          </cell>
          <cell r="N169">
            <v>4.3647080000000003</v>
          </cell>
          <cell r="O169">
            <v>5.1264130000000003</v>
          </cell>
          <cell r="P169">
            <v>6.3167489999999997</v>
          </cell>
        </row>
        <row r="170">
          <cell r="A170">
            <v>15</v>
          </cell>
          <cell r="B170">
            <v>9</v>
          </cell>
          <cell r="C170" t="str">
            <v xml:space="preserve">AGAA53    </v>
          </cell>
          <cell r="D170" t="str">
            <v xml:space="preserve">GENERAL &amp; ADMIN                                   </v>
          </cell>
          <cell r="E170">
            <v>5.9342119999999996</v>
          </cell>
          <cell r="F170">
            <v>8.2678829999999994</v>
          </cell>
          <cell r="G170">
            <v>5.6526329999999998</v>
          </cell>
          <cell r="H170">
            <v>6.0067069999999996</v>
          </cell>
          <cell r="I170">
            <v>6.0848129999999996</v>
          </cell>
          <cell r="J170">
            <v>3.7851309999999998</v>
          </cell>
          <cell r="K170">
            <v>7.3249940000000002</v>
          </cell>
          <cell r="L170">
            <v>7.8553280000000001</v>
          </cell>
          <cell r="M170">
            <v>7.4189080000000001</v>
          </cell>
          <cell r="N170">
            <v>6.9165970000000003</v>
          </cell>
          <cell r="O170">
            <v>7.569928</v>
          </cell>
          <cell r="P170">
            <v>6.9057279999999999</v>
          </cell>
        </row>
        <row r="171">
          <cell r="A171">
            <v>17</v>
          </cell>
          <cell r="B171">
            <v>9</v>
          </cell>
          <cell r="C171" t="str">
            <v xml:space="preserve">AAAT53    </v>
          </cell>
          <cell r="D171" t="str">
            <v xml:space="preserve">SALES                                             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>
            <v>17</v>
          </cell>
          <cell r="B172">
            <v>9</v>
          </cell>
          <cell r="C172" t="str">
            <v xml:space="preserve">ADAA53    </v>
          </cell>
          <cell r="D172" t="str">
            <v xml:space="preserve">DISTRIBUTION                                      </v>
          </cell>
          <cell r="E172">
            <v>5.5550000000000002E-2</v>
          </cell>
          <cell r="F172">
            <v>5.5550000000000002E-2</v>
          </cell>
          <cell r="G172">
            <v>5.5550000000000002E-2</v>
          </cell>
          <cell r="H172">
            <v>5.5550000000000002E-2</v>
          </cell>
          <cell r="I172">
            <v>5.5550000000000002E-2</v>
          </cell>
          <cell r="J172">
            <v>5.5550000000000002E-2</v>
          </cell>
          <cell r="K172">
            <v>5.5550000000000002E-2</v>
          </cell>
          <cell r="L172">
            <v>5.5550000000000002E-2</v>
          </cell>
          <cell r="M172">
            <v>5.5550000000000002E-2</v>
          </cell>
          <cell r="N172">
            <v>5.5550000000000002E-2</v>
          </cell>
          <cell r="O172">
            <v>5.5550000000000002E-2</v>
          </cell>
          <cell r="P172">
            <v>5.5550000000000002E-2</v>
          </cell>
        </row>
        <row r="173">
          <cell r="A173">
            <v>17</v>
          </cell>
          <cell r="B173">
            <v>9</v>
          </cell>
          <cell r="C173" t="str">
            <v xml:space="preserve">AEAA53    </v>
          </cell>
          <cell r="D173" t="str">
            <v xml:space="preserve">DEMURRAGE                                         </v>
          </cell>
          <cell r="E173">
            <v>0</v>
          </cell>
          <cell r="F173">
            <v>0</v>
          </cell>
          <cell r="G173">
            <v>-0.58413599999999999</v>
          </cell>
          <cell r="H173">
            <v>0</v>
          </cell>
          <cell r="I173">
            <v>0</v>
          </cell>
          <cell r="J173">
            <v>-0.58413599999999999</v>
          </cell>
          <cell r="K173">
            <v>0</v>
          </cell>
          <cell r="L173">
            <v>0</v>
          </cell>
          <cell r="M173">
            <v>-0.58413599999999999</v>
          </cell>
          <cell r="N173">
            <v>0</v>
          </cell>
          <cell r="O173">
            <v>0</v>
          </cell>
          <cell r="P173">
            <v>-0.58413599999999999</v>
          </cell>
        </row>
        <row r="174">
          <cell r="A174">
            <v>75</v>
          </cell>
          <cell r="B174">
            <v>9</v>
          </cell>
          <cell r="C174" t="str">
            <v xml:space="preserve">AAAAYW    </v>
          </cell>
          <cell r="D174" t="str">
            <v xml:space="preserve">Interco Sales Europe                              </v>
          </cell>
          <cell r="E174">
            <v>-3.1149770000000001</v>
          </cell>
          <cell r="F174">
            <v>-8.5132460000000005</v>
          </cell>
          <cell r="G174">
            <v>-5.3377699999999999</v>
          </cell>
          <cell r="H174">
            <v>-12.327204999999999</v>
          </cell>
          <cell r="I174">
            <v>-8.9293329999999997</v>
          </cell>
          <cell r="J174">
            <v>-8.0756069999999998</v>
          </cell>
          <cell r="K174">
            <v>-8.7413959999999999</v>
          </cell>
          <cell r="L174">
            <v>-5.3761900000000002</v>
          </cell>
          <cell r="M174">
            <v>-11.437105000000001</v>
          </cell>
          <cell r="N174">
            <v>-7.8662900000000002</v>
          </cell>
          <cell r="O174">
            <v>-10.86276</v>
          </cell>
          <cell r="P174">
            <v>-9.6188059999999993</v>
          </cell>
        </row>
        <row r="175">
          <cell r="A175">
            <v>75</v>
          </cell>
          <cell r="B175">
            <v>9</v>
          </cell>
          <cell r="C175" t="str">
            <v xml:space="preserve">AAAT53    </v>
          </cell>
          <cell r="D175" t="str">
            <v xml:space="preserve">SALES                                             </v>
          </cell>
          <cell r="E175">
            <v>3.1149770000000001</v>
          </cell>
          <cell r="F175">
            <v>8.5132460000000005</v>
          </cell>
          <cell r="G175">
            <v>5.3377699999999999</v>
          </cell>
          <cell r="H175">
            <v>12.327204999999999</v>
          </cell>
          <cell r="I175">
            <v>8.9293329999999997</v>
          </cell>
          <cell r="J175">
            <v>8.0756069999999998</v>
          </cell>
          <cell r="K175">
            <v>8.7413959999999999</v>
          </cell>
          <cell r="L175">
            <v>5.3761900000000002</v>
          </cell>
          <cell r="M175">
            <v>11.437105000000001</v>
          </cell>
          <cell r="N175">
            <v>7.8662900000000002</v>
          </cell>
          <cell r="O175">
            <v>10.86276</v>
          </cell>
          <cell r="P175">
            <v>9.6188059999999993</v>
          </cell>
        </row>
        <row r="176">
          <cell r="A176">
            <v>75</v>
          </cell>
          <cell r="B176">
            <v>9</v>
          </cell>
          <cell r="C176" t="str">
            <v xml:space="preserve">ABAAYW    </v>
          </cell>
          <cell r="D176" t="str">
            <v xml:space="preserve">Interco COS Europe                                </v>
          </cell>
          <cell r="E176">
            <v>3.1149770000000001</v>
          </cell>
          <cell r="F176">
            <v>8.5132460000000005</v>
          </cell>
          <cell r="G176">
            <v>5.3377699999999999</v>
          </cell>
          <cell r="H176">
            <v>12.327204999999999</v>
          </cell>
          <cell r="I176">
            <v>8.9293329999999997</v>
          </cell>
          <cell r="J176">
            <v>8.0756069999999998</v>
          </cell>
          <cell r="K176">
            <v>8.7413959999999999</v>
          </cell>
          <cell r="L176">
            <v>5.3761900000000002</v>
          </cell>
          <cell r="M176">
            <v>11.437105000000001</v>
          </cell>
          <cell r="N176">
            <v>7.8662900000000002</v>
          </cell>
          <cell r="O176">
            <v>10.86276</v>
          </cell>
          <cell r="P176">
            <v>9.6188059999999993</v>
          </cell>
        </row>
        <row r="177">
          <cell r="A177">
            <v>75</v>
          </cell>
          <cell r="B177">
            <v>9</v>
          </cell>
          <cell r="C177" t="str">
            <v xml:space="preserve">ABAT53    </v>
          </cell>
          <cell r="D177" t="str">
            <v xml:space="preserve">COST OF SALES                                     </v>
          </cell>
          <cell r="E177">
            <v>-1.5509770000000001</v>
          </cell>
          <cell r="F177">
            <v>-6.9492459999999996</v>
          </cell>
          <cell r="G177">
            <v>-3.773769999999999</v>
          </cell>
          <cell r="H177">
            <v>-8.0132049999999992</v>
          </cell>
          <cell r="I177">
            <v>-4.6153329999999997</v>
          </cell>
          <cell r="J177">
            <v>-3.7616070000000001</v>
          </cell>
          <cell r="K177">
            <v>-7.1773959999999999</v>
          </cell>
          <cell r="L177">
            <v>-12.062189999999999</v>
          </cell>
          <cell r="M177">
            <v>-9.8731050000000007</v>
          </cell>
          <cell r="N177">
            <v>-6.3022900000000002</v>
          </cell>
          <cell r="O177">
            <v>-9.2987599999999997</v>
          </cell>
          <cell r="P177">
            <v>-8.0548059999999992</v>
          </cell>
        </row>
        <row r="178">
          <cell r="A178">
            <v>75</v>
          </cell>
          <cell r="B178">
            <v>9</v>
          </cell>
          <cell r="C178" t="str">
            <v xml:space="preserve">ADAA53    </v>
          </cell>
          <cell r="D178" t="str">
            <v xml:space="preserve">DISTRIBUTION                                      </v>
          </cell>
          <cell r="E178">
            <v>1.323</v>
          </cell>
          <cell r="F178">
            <v>1.323</v>
          </cell>
          <cell r="G178">
            <v>1.3230000000000004</v>
          </cell>
          <cell r="H178">
            <v>4.0730000000000004</v>
          </cell>
          <cell r="I178">
            <v>4.0730000000000004</v>
          </cell>
          <cell r="J178">
            <v>4.0730000000000004</v>
          </cell>
          <cell r="K178">
            <v>1.323</v>
          </cell>
          <cell r="L178">
            <v>-6.9269999999999996</v>
          </cell>
          <cell r="M178">
            <v>1.323</v>
          </cell>
          <cell r="N178">
            <v>1.323</v>
          </cell>
          <cell r="O178">
            <v>1.323</v>
          </cell>
          <cell r="P178">
            <v>1.323</v>
          </cell>
        </row>
        <row r="179">
          <cell r="A179">
            <v>75</v>
          </cell>
          <cell r="B179">
            <v>9</v>
          </cell>
          <cell r="C179" t="str">
            <v xml:space="preserve">BBAT53    </v>
          </cell>
          <cell r="D179" t="str">
            <v xml:space="preserve">COST OF SALES                                     </v>
          </cell>
          <cell r="E179">
            <v>20.53</v>
          </cell>
          <cell r="F179">
            <v>20.53</v>
          </cell>
          <cell r="G179">
            <v>20.38</v>
          </cell>
          <cell r="H179">
            <v>20.382000000000001</v>
          </cell>
          <cell r="I179">
            <v>28.324000000000002</v>
          </cell>
          <cell r="J179">
            <v>28.373999999999999</v>
          </cell>
          <cell r="K179">
            <v>28.053000000000001</v>
          </cell>
          <cell r="L179">
            <v>28.053000000000001</v>
          </cell>
          <cell r="M179">
            <v>28.052</v>
          </cell>
          <cell r="N179">
            <v>28.053000000000001</v>
          </cell>
          <cell r="O179">
            <v>28.053000000000001</v>
          </cell>
          <cell r="P179">
            <v>28.053000000000001</v>
          </cell>
        </row>
        <row r="180">
          <cell r="A180">
            <v>75</v>
          </cell>
          <cell r="B180">
            <v>9</v>
          </cell>
          <cell r="C180" t="str">
            <v xml:space="preserve">NBAA53    </v>
          </cell>
          <cell r="D180" t="str">
            <v xml:space="preserve">COST OF SALES N.DIV.                              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237</v>
          </cell>
          <cell r="N180">
            <v>0</v>
          </cell>
          <cell r="O180">
            <v>0</v>
          </cell>
          <cell r="P180">
            <v>0</v>
          </cell>
        </row>
        <row r="181">
          <cell r="A181">
            <v>75</v>
          </cell>
          <cell r="B181">
            <v>9</v>
          </cell>
          <cell r="C181" t="str">
            <v xml:space="preserve">NDAA53    </v>
          </cell>
          <cell r="D181" t="str">
            <v xml:space="preserve">DISTRIBUTION N.DIVISION                           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42</v>
          </cell>
          <cell r="N181">
            <v>0</v>
          </cell>
          <cell r="O181">
            <v>0</v>
          </cell>
          <cell r="P181">
            <v>0</v>
          </cell>
        </row>
        <row r="182">
          <cell r="A182">
            <v>76</v>
          </cell>
          <cell r="B182">
            <v>9</v>
          </cell>
          <cell r="C182" t="str">
            <v xml:space="preserve">AAAT53    </v>
          </cell>
          <cell r="D182" t="str">
            <v xml:space="preserve">SALES                                             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>
            <v>76</v>
          </cell>
          <cell r="B183">
            <v>9</v>
          </cell>
          <cell r="C183" t="str">
            <v xml:space="preserve">ABAT53    </v>
          </cell>
          <cell r="D183" t="str">
            <v xml:space="preserve">COST OF SALES                                     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A184">
            <v>79</v>
          </cell>
          <cell r="B184">
            <v>9</v>
          </cell>
          <cell r="C184" t="str">
            <v xml:space="preserve">AAAT53    </v>
          </cell>
          <cell r="D184" t="str">
            <v xml:space="preserve">SALES                                             </v>
          </cell>
          <cell r="E184">
            <v>49.635252999999999</v>
          </cell>
          <cell r="F184">
            <v>18.431049999999999</v>
          </cell>
          <cell r="G184">
            <v>30.273192999999999</v>
          </cell>
          <cell r="H184">
            <v>23.203285000000001</v>
          </cell>
          <cell r="I184">
            <v>43.718563000000003</v>
          </cell>
          <cell r="J184">
            <v>31.558989</v>
          </cell>
          <cell r="K184">
            <v>17.484864000000002</v>
          </cell>
          <cell r="L184">
            <v>30.569127000000002</v>
          </cell>
          <cell r="M184">
            <v>45.243260999999997</v>
          </cell>
          <cell r="N184">
            <v>33.838943999999998</v>
          </cell>
          <cell r="O184">
            <v>28.664549000000001</v>
          </cell>
          <cell r="P184">
            <v>23.361249000000001</v>
          </cell>
        </row>
        <row r="185">
          <cell r="A185">
            <v>79</v>
          </cell>
          <cell r="B185">
            <v>9</v>
          </cell>
          <cell r="C185" t="str">
            <v xml:space="preserve">ABAT53    </v>
          </cell>
          <cell r="D185" t="str">
            <v xml:space="preserve">COST OF SALES                                     </v>
          </cell>
          <cell r="E185">
            <v>-49.635252999999999</v>
          </cell>
          <cell r="F185">
            <v>-18.431049999999999</v>
          </cell>
          <cell r="G185">
            <v>-38.953874999999996</v>
          </cell>
          <cell r="H185">
            <v>-44.464928999999998</v>
          </cell>
          <cell r="I185">
            <v>-55.197893000000001</v>
          </cell>
          <cell r="J185">
            <v>-42.644756999999998</v>
          </cell>
          <cell r="K185">
            <v>-24.762927000000001</v>
          </cell>
          <cell r="L185">
            <v>-50.448391000000001</v>
          </cell>
          <cell r="M185">
            <v>-52.842844999999997</v>
          </cell>
          <cell r="N185">
            <v>-40.488281000000001</v>
          </cell>
          <cell r="O185">
            <v>-35.335805999999998</v>
          </cell>
          <cell r="P185">
            <v>-31.295539999999999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&amp; Verify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 Merch vs PY"/>
      <sheetName val="NA Merch vs Bud"/>
      <sheetName val="NA Tonn vs PY"/>
      <sheetName val="NA Tonn vs Bud"/>
      <sheetName val="NA Ton Vol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 by cty"/>
      <sheetName val="Conso By pdt"/>
      <sheetName val="Conso Graph 1"/>
      <sheetName val="Conso Graph 2"/>
      <sheetName val="China"/>
      <sheetName val="S.E.A."/>
      <sheetName val="N.Asia"/>
      <sheetName val="Eq Aff"/>
      <sheetName val="Eq.Aff Graph"/>
      <sheetName val="Module1"/>
      <sheetName val="Module2"/>
    </sheetNames>
    <sheetDataSet>
      <sheetData sheetId="0">
        <row r="104">
          <cell r="B104" t="str">
            <v>FY04 December Major Factors, Actual vs. Prior Year ($MM)</v>
          </cell>
        </row>
        <row r="105">
          <cell r="J105" t="str">
            <v>Month</v>
          </cell>
        </row>
        <row r="106">
          <cell r="B106" t="str">
            <v>FY03 December Operating Income</v>
          </cell>
          <cell r="J106">
            <v>3.222</v>
          </cell>
        </row>
        <row r="107">
          <cell r="B107" t="str">
            <v>Currency/FX</v>
          </cell>
          <cell r="J107">
            <v>-3.4000000000000002E-2</v>
          </cell>
        </row>
        <row r="108">
          <cell r="B108" t="str">
            <v>Currency Adjusted Operating Income</v>
          </cell>
          <cell r="J108">
            <v>3.1880000000000002</v>
          </cell>
        </row>
        <row r="110">
          <cell r="B110" t="str">
            <v xml:space="preserve">Volume - </v>
          </cell>
          <cell r="J110">
            <v>0</v>
          </cell>
        </row>
        <row r="112">
          <cell r="B112" t="str">
            <v>Price/Mix -</v>
          </cell>
          <cell r="J112">
            <v>0</v>
          </cell>
        </row>
        <row r="114">
          <cell r="B114" t="str">
            <v>Costs -</v>
          </cell>
          <cell r="J114">
            <v>0</v>
          </cell>
        </row>
        <row r="116">
          <cell r="B116" t="str">
            <v xml:space="preserve">Overheads - </v>
          </cell>
          <cell r="J116">
            <v>0</v>
          </cell>
        </row>
        <row r="118">
          <cell r="B118" t="str">
            <v>TAF -</v>
          </cell>
          <cell r="J118">
            <v>0</v>
          </cell>
        </row>
        <row r="120">
          <cell r="B120" t="str">
            <v>Other (Inc)/Exp -</v>
          </cell>
          <cell r="J120">
            <v>-0.27</v>
          </cell>
        </row>
        <row r="121">
          <cell r="J121">
            <v>-0.27</v>
          </cell>
        </row>
        <row r="122">
          <cell r="B122" t="str">
            <v>FY04 December Operating Income</v>
          </cell>
          <cell r="J122">
            <v>2.9180000000000001</v>
          </cell>
        </row>
        <row r="123">
          <cell r="B123" t="str">
            <v>FY04 December Major Factors, Actual vs. Prior Year ($MM)</v>
          </cell>
        </row>
        <row r="124">
          <cell r="J124" t="str">
            <v>Month</v>
          </cell>
          <cell r="K124" t="str">
            <v>QTD</v>
          </cell>
        </row>
        <row r="125">
          <cell r="B125" t="str">
            <v>FY03 December Operating Income</v>
          </cell>
          <cell r="J125">
            <v>3.222</v>
          </cell>
          <cell r="K125">
            <v>11.535</v>
          </cell>
        </row>
        <row r="126">
          <cell r="B126" t="str">
            <v>Currency/FX</v>
          </cell>
          <cell r="J126">
            <v>0</v>
          </cell>
          <cell r="K126">
            <v>0</v>
          </cell>
        </row>
        <row r="127">
          <cell r="B127" t="str">
            <v>Currency Adjusted Operating Income</v>
          </cell>
          <cell r="J127">
            <v>3.222</v>
          </cell>
          <cell r="K127">
            <v>11.535</v>
          </cell>
        </row>
        <row r="129">
          <cell r="B129" t="str">
            <v xml:space="preserve">Volume - </v>
          </cell>
          <cell r="J129">
            <v>0</v>
          </cell>
          <cell r="K129">
            <v>0</v>
          </cell>
        </row>
        <row r="131">
          <cell r="B131" t="str">
            <v>Price/Mix -</v>
          </cell>
          <cell r="J131">
            <v>0</v>
          </cell>
          <cell r="K131">
            <v>0</v>
          </cell>
        </row>
        <row r="133">
          <cell r="B133" t="str">
            <v>Costs -</v>
          </cell>
          <cell r="J133">
            <v>0</v>
          </cell>
          <cell r="K133">
            <v>0</v>
          </cell>
        </row>
        <row r="135">
          <cell r="B135" t="str">
            <v xml:space="preserve">Overheads - </v>
          </cell>
          <cell r="J135">
            <v>0</v>
          </cell>
          <cell r="K135">
            <v>0</v>
          </cell>
        </row>
        <row r="137">
          <cell r="B137" t="str">
            <v>TAF -</v>
          </cell>
          <cell r="J137">
            <v>0</v>
          </cell>
          <cell r="K137">
            <v>0</v>
          </cell>
        </row>
        <row r="139">
          <cell r="B139" t="str">
            <v>Other (Inc)/Exp -</v>
          </cell>
          <cell r="J139">
            <v>-0.30399999999999983</v>
          </cell>
          <cell r="K139">
            <v>-0.57000000000000028</v>
          </cell>
        </row>
        <row r="140">
          <cell r="J140">
            <v>-0.30399999999999983</v>
          </cell>
          <cell r="K140">
            <v>-0.57000000000000028</v>
          </cell>
        </row>
        <row r="141">
          <cell r="B141" t="str">
            <v>FY04 December Operating Income</v>
          </cell>
          <cell r="J141">
            <v>2.9180000000000001</v>
          </cell>
          <cell r="K141">
            <v>10.965</v>
          </cell>
        </row>
        <row r="142">
          <cell r="B142" t="str">
            <v>FY04 Q1 Major Factors, Actual vs. Prior Year ($MM)</v>
          </cell>
          <cell r="L142" t="str">
            <v>FY04 Q1 Major Factors, Actual vs. Prior Quarter ($MM)</v>
          </cell>
        </row>
        <row r="143">
          <cell r="J143" t="str">
            <v>QTD</v>
          </cell>
          <cell r="U143" t="str">
            <v>QTD</v>
          </cell>
        </row>
        <row r="144">
          <cell r="B144" t="str">
            <v>FY03 Q1 Operating Income</v>
          </cell>
          <cell r="J144">
            <v>11.839</v>
          </cell>
          <cell r="L144" t="str">
            <v>FY03 Q4 Operating Income</v>
          </cell>
          <cell r="U144">
            <v>13.414999999999999</v>
          </cell>
        </row>
        <row r="145">
          <cell r="B145" t="str">
            <v>Currency/FX - Korea(+0.3); Tangshan hedge(+0.1)</v>
          </cell>
          <cell r="J145">
            <v>0.44800000000000001</v>
          </cell>
          <cell r="L145" t="str">
            <v>Currency/FX</v>
          </cell>
          <cell r="U145">
            <v>-0.18</v>
          </cell>
        </row>
        <row r="146">
          <cell r="B146" t="str">
            <v>Currency Adjusted Operating Income</v>
          </cell>
          <cell r="J146">
            <v>12.287000000000001</v>
          </cell>
          <cell r="L146" t="str">
            <v>Currency Adjusted Operating Income</v>
          </cell>
          <cell r="U146">
            <v>13.234999999999999</v>
          </cell>
        </row>
        <row r="148">
          <cell r="B148" t="str">
            <v xml:space="preserve">Volume - </v>
          </cell>
          <cell r="D148" t="str">
            <v>(+1.1) Liquid/bulk, up by 7% vs prior year due</v>
          </cell>
          <cell r="J148">
            <v>1.8089999999999999</v>
          </cell>
          <cell r="L148" t="str">
            <v xml:space="preserve">Volume - </v>
          </cell>
          <cell r="N148" t="str">
            <v>(+0.6) Liquid/bulk, up by 4% vs prior quarter</v>
          </cell>
          <cell r="U148">
            <v>1.964</v>
          </cell>
        </row>
        <row r="149">
          <cell r="D149" t="str">
            <v xml:space="preserve">to spot sales in Taiwan and SAP expansion in </v>
          </cell>
          <cell r="N149" t="str">
            <v>due to higher sales from Korea</v>
          </cell>
        </row>
        <row r="150">
          <cell r="D150" t="str">
            <v>China</v>
          </cell>
          <cell r="N150" t="str">
            <v>(+0.3) equipment sales to Taiwan</v>
          </cell>
        </row>
        <row r="151">
          <cell r="D151" t="str">
            <v>(+0.3) equipment sales to Taiwan</v>
          </cell>
          <cell r="N151" t="str">
            <v xml:space="preserve">(+0.9) Helium and NESG profit in Korea as compared to </v>
          </cell>
        </row>
        <row r="152">
          <cell r="D152" t="str">
            <v>(+0.9) Helium and NESG profit in Korea as</v>
          </cell>
          <cell r="N152" t="str">
            <v>prior year which was classified in Electronics</v>
          </cell>
        </row>
        <row r="153">
          <cell r="D153" t="str">
            <v xml:space="preserve">compred to prior year which was classified in </v>
          </cell>
          <cell r="N153" t="str">
            <v>(+0.3) higher onsite sales</v>
          </cell>
        </row>
        <row r="154">
          <cell r="D154" t="str">
            <v>Electronics</v>
          </cell>
          <cell r="N154" t="str">
            <v>(-0.3) lower Allentown Helium export to third</v>
          </cell>
        </row>
        <row r="155">
          <cell r="D155" t="str">
            <v>(+0.6) higher onsite sales from SEA and China</v>
          </cell>
          <cell r="N155" t="str">
            <v>parties in current year</v>
          </cell>
        </row>
        <row r="156">
          <cell r="D156" t="str">
            <v>(-0.7) lower Allentown Helium export to third</v>
          </cell>
          <cell r="N156" t="str">
            <v>(+0.1) higher tonnage sales</v>
          </cell>
        </row>
        <row r="157">
          <cell r="D157" t="str">
            <v>parties in current year</v>
          </cell>
        </row>
        <row r="158">
          <cell r="D158" t="str">
            <v xml:space="preserve">(-0.4) lower package gases sales from Taiwan; </v>
          </cell>
        </row>
        <row r="159">
          <cell r="D159" t="str">
            <v>offset partially by higher sales in Malaysia and</v>
          </cell>
        </row>
        <row r="160">
          <cell r="D160" t="str">
            <v>Beifen China</v>
          </cell>
        </row>
        <row r="162">
          <cell r="B162" t="str">
            <v>Price/Mix -</v>
          </cell>
          <cell r="D162" t="str">
            <v>Higher pricing from Southeast Asia</v>
          </cell>
          <cell r="J162">
            <v>0.2</v>
          </cell>
          <cell r="L162" t="str">
            <v>Price/Mix -</v>
          </cell>
          <cell r="N162" t="str">
            <v>Lower pricing from China</v>
          </cell>
          <cell r="U162">
            <v>-0.2</v>
          </cell>
        </row>
        <row r="164">
          <cell r="B164" t="str">
            <v>Costs -</v>
          </cell>
          <cell r="D164" t="str">
            <v xml:space="preserve">(+0.6)Korea due to MFO switch for liquid </v>
          </cell>
          <cell r="J164">
            <v>-1.5</v>
          </cell>
          <cell r="L164" t="str">
            <v>Costs -</v>
          </cell>
          <cell r="N164" t="str">
            <v xml:space="preserve">(+0.6)Korea due to MFO switch for liquid </v>
          </cell>
          <cell r="U164">
            <v>-1.3</v>
          </cell>
        </row>
        <row r="165">
          <cell r="D165" t="str">
            <v>backup cost to EPI</v>
          </cell>
          <cell r="N165" t="str">
            <v>backup cost to EPI</v>
          </cell>
        </row>
        <row r="166">
          <cell r="D166" t="str">
            <v>(+0.3) lower repair and painting cost in KIG in</v>
          </cell>
          <cell r="N166" t="str">
            <v>(+0.2) adjustment for residual credit and duty</v>
          </cell>
        </row>
        <row r="167">
          <cell r="D167" t="str">
            <v>current year</v>
          </cell>
          <cell r="N167" t="str">
            <v>refund not taken up in Korea</v>
          </cell>
        </row>
        <row r="168">
          <cell r="D168" t="str">
            <v>(+0.2) adjustment for residual credit and duty</v>
          </cell>
          <cell r="N168" t="str">
            <v xml:space="preserve">(-0.5) dismantling cost related to moving of </v>
          </cell>
        </row>
        <row r="169">
          <cell r="D169" t="str">
            <v>refund not taken up in Korea</v>
          </cell>
          <cell r="N169" t="str">
            <v>assets from Coden USA to Tanjung Korea</v>
          </cell>
        </row>
        <row r="170">
          <cell r="D170" t="str">
            <v xml:space="preserve">(-0.5) dismantling cost related to moving of </v>
          </cell>
          <cell r="N170" t="str">
            <v>(-0.4) MFO switch for COS in Korea</v>
          </cell>
        </row>
        <row r="171">
          <cell r="D171" t="str">
            <v>assets from Coden USA to Tanjung Korea</v>
          </cell>
          <cell r="N171" t="str">
            <v xml:space="preserve">(-0.3) extra cost at NEG start-up in APFujian </v>
          </cell>
        </row>
        <row r="172">
          <cell r="D172" t="str">
            <v xml:space="preserve">(-0.6) reclassification of engineering cost </v>
          </cell>
          <cell r="N172" t="str">
            <v xml:space="preserve">(-0.6) reclassification of engineering cost </v>
          </cell>
        </row>
        <row r="173">
          <cell r="D173" t="str">
            <v>to COS in Taiwan</v>
          </cell>
          <cell r="N173" t="str">
            <v>to COS in Taiwan</v>
          </cell>
        </row>
        <row r="174">
          <cell r="D174" t="str">
            <v>(-0.4) MFO switch for COS in Korea</v>
          </cell>
          <cell r="N174" t="str">
            <v>(-0.5) pocket switch for liquid backup cost</v>
          </cell>
        </row>
        <row r="175">
          <cell r="D175" t="str">
            <v xml:space="preserve">(-0.3) extra cost at NEG start-up in APFujian </v>
          </cell>
          <cell r="N175" t="str">
            <v>for Ulsan in prior quarter in Korea</v>
          </cell>
        </row>
        <row r="176">
          <cell r="D176" t="str">
            <v>(-0.3) higher maintenance cost in Northern China</v>
          </cell>
          <cell r="N176" t="str">
            <v>(+0.3) relcassification of penison expense from</v>
          </cell>
        </row>
        <row r="177">
          <cell r="D177" t="str">
            <v>(-0.4) hgher CDS/corporation cost allocation</v>
          </cell>
          <cell r="N177" t="str">
            <v>OIE to COS in Sanfu in prior quarter</v>
          </cell>
        </row>
        <row r="178">
          <cell r="D178" t="str">
            <v>(-0.1) excess insurance liability cost</v>
          </cell>
          <cell r="N178" t="str">
            <v>(-0.1) excess insurance liability cost</v>
          </cell>
        </row>
        <row r="182">
          <cell r="B182" t="str">
            <v xml:space="preserve">Overheads - </v>
          </cell>
          <cell r="D182" t="str">
            <v xml:space="preserve">(+0.9) Sanfu from reclassification of engineering cost </v>
          </cell>
          <cell r="J182">
            <v>-3.0000000000000027E-2</v>
          </cell>
          <cell r="L182" t="str">
            <v xml:space="preserve">Overheads - </v>
          </cell>
          <cell r="N182" t="str">
            <v xml:space="preserve">(+0.6) reclassification of engineering cost </v>
          </cell>
          <cell r="U182">
            <v>-8.5000000000000187E-2</v>
          </cell>
        </row>
        <row r="183">
          <cell r="D183" t="str">
            <v>cost to COS and MFO switch in Taiwan</v>
          </cell>
          <cell r="N183" t="str">
            <v>to COS in Taiwan</v>
          </cell>
        </row>
        <row r="184">
          <cell r="D184" t="str">
            <v xml:space="preserve">(+0.4) Korea due to lower expat cost and </v>
          </cell>
          <cell r="N184" t="str">
            <v>(+0.2) relcassification of penison expense from</v>
          </cell>
        </row>
        <row r="185">
          <cell r="D185" t="str">
            <v>reversal of bonus accrual</v>
          </cell>
          <cell r="N185" t="str">
            <v>OIE to SG&amp;A in Sanfu in prior quarter</v>
          </cell>
        </row>
        <row r="186">
          <cell r="D186" t="str">
            <v>(-0.8) higher regional office cost</v>
          </cell>
          <cell r="N186" t="str">
            <v>(+0.2) MFO swtich to Chemical in Taiwan</v>
          </cell>
        </row>
        <row r="187">
          <cell r="D187" t="str">
            <v>(-0.3) equity affiliates reclass in prior year</v>
          </cell>
          <cell r="N187" t="str">
            <v>(-0.6) higher regional office cost</v>
          </cell>
        </row>
        <row r="188">
          <cell r="D188" t="str">
            <v>(-0.1) SE cost relating to Thailand Copper</v>
          </cell>
          <cell r="N188" t="str">
            <v>(-0.3) equity affiliates reclass in prior year</v>
          </cell>
        </row>
        <row r="189">
          <cell r="D189" t="str">
            <v>(-0.1) INOX expat cost</v>
          </cell>
          <cell r="N189" t="str">
            <v>(-0.1) SE cost relating to Thailand Copper</v>
          </cell>
        </row>
        <row r="190">
          <cell r="N190" t="str">
            <v>(-0.1) INOX expat cost</v>
          </cell>
        </row>
        <row r="192">
          <cell r="B192" t="str">
            <v xml:space="preserve">Corporate charges - </v>
          </cell>
          <cell r="D192" t="str">
            <v>(-1.3) corporation cost; (-0.5) Group tax/Others</v>
          </cell>
          <cell r="J192">
            <v>-1.75</v>
          </cell>
          <cell r="L192" t="str">
            <v xml:space="preserve">Corporate charges - </v>
          </cell>
          <cell r="N192" t="str">
            <v>(-1.3) corporation cost; (-0.1) Group tax/Others</v>
          </cell>
          <cell r="U192">
            <v>-1.4</v>
          </cell>
        </row>
        <row r="194">
          <cell r="B194" t="str">
            <v xml:space="preserve">R&amp;D - </v>
          </cell>
          <cell r="J194">
            <v>-0.11700000000000001</v>
          </cell>
          <cell r="L194" t="str">
            <v xml:space="preserve">R&amp;D - </v>
          </cell>
          <cell r="U194">
            <v>-0.11700000000000001</v>
          </cell>
        </row>
        <row r="196">
          <cell r="B196" t="str">
            <v>Other (Inc)/Exp -</v>
          </cell>
          <cell r="D196" t="str">
            <v>(+0.3) TAF income</v>
          </cell>
          <cell r="J196">
            <v>6.599999999999917E-2</v>
          </cell>
          <cell r="L196" t="str">
            <v>Other (Inc)/Exp -</v>
          </cell>
          <cell r="N196" t="str">
            <v>(+0.2) TAF income</v>
          </cell>
          <cell r="U196">
            <v>-1.1319999999999995</v>
          </cell>
        </row>
        <row r="197">
          <cell r="D197" t="str">
            <v xml:space="preserve">(-0.1) gain from disposal of CO2 plant in </v>
          </cell>
          <cell r="N197" t="str">
            <v>(-0.2) cylinder lost compensation received in</v>
          </cell>
        </row>
        <row r="198">
          <cell r="D198" t="str">
            <v>Malaysia in prior year</v>
          </cell>
          <cell r="N198" t="str">
            <v>prior quarter in Malaysia</v>
          </cell>
        </row>
        <row r="199">
          <cell r="D199" t="str">
            <v>(-0.1) Others</v>
          </cell>
          <cell r="N199" t="str">
            <v>(-0.5) gain from sales of Helium plant in prior</v>
          </cell>
        </row>
        <row r="200">
          <cell r="N200" t="str">
            <v>quarter in APS</v>
          </cell>
        </row>
        <row r="201">
          <cell r="N201" t="str">
            <v>(-0.6) relcassification of penison expense from</v>
          </cell>
        </row>
        <row r="202">
          <cell r="N202" t="str">
            <v>OIE to COS/SG&amp;A in Sanfu in prior quarter</v>
          </cell>
        </row>
        <row r="203">
          <cell r="J203">
            <v>-1.322000000000001</v>
          </cell>
          <cell r="U203">
            <v>-2.2699999999999996</v>
          </cell>
        </row>
        <row r="204">
          <cell r="B204" t="str">
            <v>FY04 Q1 Operating Income</v>
          </cell>
          <cell r="J204">
            <v>10.965</v>
          </cell>
          <cell r="L204" t="str">
            <v>FY04 Q1 Operating Income</v>
          </cell>
          <cell r="U204">
            <v>10.965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@RDV"/>
      <sheetName val="Europe@BDV01"/>
      <sheetName val="EurCEAsum"/>
      <sheetName val="EurCEAlisting"/>
      <sheetName val="EurTroubleAssts"/>
      <sheetName val="EurWilton"/>
      <sheetName val="WiltonBackup"/>
      <sheetName val="EurPernis"/>
      <sheetName val="Pernis-backup"/>
      <sheetName val="EurASU3"/>
      <sheetName val="ASU3Backup"/>
      <sheetName val="Eurlostbizsum"/>
      <sheetName val="EurLostBizdetail"/>
      <sheetName val="EurBaseBiz"/>
      <sheetName val="EurMF"/>
      <sheetName val="Operating Leverage"/>
      <sheetName val="WWFranchPr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 Check"/>
      <sheetName val="WW FY00-FY02"/>
      <sheetName val="Worldwide FY00"/>
      <sheetName val="Worldwide FY01"/>
      <sheetName val="Worldwide FY02"/>
      <sheetName val="Europe"/>
      <sheetName val="B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split (2)"/>
      <sheetName val="Summary"/>
      <sheetName val="EU SUmm"/>
      <sheetName val="plansplit"/>
      <sheetName val="Alloc"/>
      <sheetName val="SRCO SSGA"/>
      <sheetName val="SRCO SCOS"/>
      <sheetName val="SRCO SDIS"/>
      <sheetName val="ApresSS (2)"/>
      <sheetName val="Eson"/>
      <sheetName val="Eson (2)"/>
      <sheetName val="ApresSS"/>
      <sheetName val="Plan"/>
      <sheetName val="ApresSUS"/>
      <sheetName val="Plan US"/>
      <sheetName val="Check"/>
      <sheetName val="Gmeb2"/>
      <sheetName val="Gmeb1"/>
      <sheetName val="srco schedule"/>
      <sheetName val="Sheet2 (2)"/>
      <sheetName val="srco schedule (2)"/>
      <sheetName val="Gmeb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4">
          <cell r="U4" t="str">
            <v>tot</v>
          </cell>
        </row>
        <row r="5">
          <cell r="B5" t="str">
            <v>TGCC18</v>
          </cell>
          <cell r="U5">
            <v>382053.2895833333</v>
          </cell>
        </row>
        <row r="6">
          <cell r="B6" t="str">
            <v>TGCF18</v>
          </cell>
          <cell r="U6">
            <v>538508.56041666656</v>
          </cell>
        </row>
        <row r="7">
          <cell r="B7" t="str">
            <v>TGCF44</v>
          </cell>
          <cell r="U7">
            <v>735.8241707132496</v>
          </cell>
        </row>
        <row r="8">
          <cell r="B8" t="str">
            <v>TGCC22</v>
          </cell>
          <cell r="U8">
            <v>16424.145833333332</v>
          </cell>
        </row>
        <row r="9">
          <cell r="B9" t="str">
            <v>TGCF22</v>
          </cell>
          <cell r="U9">
            <v>210972.61249999996</v>
          </cell>
        </row>
        <row r="10">
          <cell r="B10" t="str">
            <v>TGDH22</v>
          </cell>
          <cell r="U10">
            <v>78038.241666666669</v>
          </cell>
        </row>
        <row r="11">
          <cell r="B11" t="str">
            <v>TGCF46</v>
          </cell>
          <cell r="U11">
            <v>1526.1659992432367</v>
          </cell>
        </row>
        <row r="12">
          <cell r="B12" t="str">
            <v>TGCB19</v>
          </cell>
          <cell r="U12">
            <v>93691.481347867244</v>
          </cell>
        </row>
        <row r="13">
          <cell r="B13" t="str">
            <v>TGCC19</v>
          </cell>
          <cell r="U13">
            <v>263789.03957611817</v>
          </cell>
        </row>
        <row r="14">
          <cell r="B14" t="str">
            <v>TGCF19</v>
          </cell>
          <cell r="U14">
            <v>319984.89049225935</v>
          </cell>
        </row>
        <row r="15">
          <cell r="B15" t="str">
            <v>TGCC20</v>
          </cell>
          <cell r="U15">
            <v>159913.28769277444</v>
          </cell>
        </row>
        <row r="16">
          <cell r="B16" t="str">
            <v>TGCE20</v>
          </cell>
          <cell r="U16">
            <v>729013.01056004502</v>
          </cell>
        </row>
        <row r="17">
          <cell r="B17" t="str">
            <v>TGCF20</v>
          </cell>
          <cell r="U17">
            <v>392051.25200799998</v>
          </cell>
        </row>
        <row r="18">
          <cell r="B18" t="str">
            <v>TGCC01</v>
          </cell>
          <cell r="U18">
            <v>327510.89583333331</v>
          </cell>
        </row>
        <row r="19">
          <cell r="B19" t="str">
            <v>TGCE01</v>
          </cell>
          <cell r="U19">
            <v>482030.14166666666</v>
          </cell>
        </row>
        <row r="20">
          <cell r="B20" t="str">
            <v>TGCB25</v>
          </cell>
          <cell r="U20">
            <v>311751.13124999998</v>
          </cell>
        </row>
        <row r="21">
          <cell r="B21" t="str">
            <v>TGCC25</v>
          </cell>
          <cell r="U21">
            <v>770037.91041666665</v>
          </cell>
        </row>
        <row r="22">
          <cell r="B22" t="str">
            <v>TGCF25</v>
          </cell>
          <cell r="U22">
            <v>1699593.3127442533</v>
          </cell>
        </row>
        <row r="23">
          <cell r="B23" t="str">
            <v>TGCM25</v>
          </cell>
          <cell r="U23">
            <v>551666.91666666663</v>
          </cell>
        </row>
        <row r="24">
          <cell r="B24" t="str">
            <v>TGCR25</v>
          </cell>
          <cell r="U24">
            <v>221610.72913883679</v>
          </cell>
        </row>
        <row r="25">
          <cell r="B25" t="str">
            <v>TGCS25</v>
          </cell>
          <cell r="U25">
            <v>587818.07500000007</v>
          </cell>
        </row>
        <row r="26">
          <cell r="B26" t="str">
            <v>YGCC25</v>
          </cell>
          <cell r="U26">
            <v>2043349.1270833332</v>
          </cell>
        </row>
        <row r="27">
          <cell r="B27" t="str">
            <v>TGCF90</v>
          </cell>
          <cell r="U27">
            <v>114180.45400124998</v>
          </cell>
        </row>
        <row r="28">
          <cell r="B28" t="str">
            <v>TOTCC</v>
          </cell>
          <cell r="U28">
            <v>10296250.49564803</v>
          </cell>
        </row>
        <row r="29">
          <cell r="B29" t="str">
            <v>APL</v>
          </cell>
          <cell r="U29">
            <v>872290.49374999991</v>
          </cell>
        </row>
        <row r="30">
          <cell r="B30" t="str">
            <v>TGCD25</v>
          </cell>
          <cell r="U30">
            <v>872290.49374999991</v>
          </cell>
        </row>
        <row r="31">
          <cell r="B31" t="str">
            <v>TOTCC</v>
          </cell>
          <cell r="U31">
            <v>872290.49374999991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s"/>
      <sheetName val="Brochure"/>
      <sheetName val="non energy costs"/>
      <sheetName val="new stuff"/>
      <sheetName val="POWER COST"/>
      <sheetName val="energy"/>
      <sheetName val="LIDA"/>
      <sheetName val="Cover etc."/>
      <sheetName val="BS"/>
      <sheetName val="OPSBRO99Rev1"/>
      <sheetName val="Gmeb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erion load FY03 P&amp;L"/>
      <sheetName val="WW Electronics P&amp;L"/>
      <sheetName val="50% versus Sumbitted"/>
      <sheetName val="Volume and Trend Slide"/>
      <sheetName val="Data Sheet"/>
      <sheetName val="Overheads"/>
      <sheetName val="ESG"/>
      <sheetName val="Tonnage"/>
      <sheetName val="APEC"/>
      <sheetName val="Equipment"/>
      <sheetName val="Services"/>
      <sheetName val="Chart3"/>
      <sheetName val="Graph Data"/>
      <sheetName val="NF3,WF6,TEOS"/>
      <sheetName val="OP Plan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Lost PGG"/>
      <sheetName val="Product Qtr P&amp;L Trends (ContMe)"/>
      <sheetName val="Sheet2"/>
      <sheetName val="extracts"/>
      <sheetName val="Apcons Op Inc"/>
      <sheetName val="ApresSS"/>
      <sheetName val="Plan"/>
      <sheetName val="Redollarise to BDV05"/>
    </sheetNames>
    <sheetDataSet>
      <sheetData sheetId="0" refreshError="1">
        <row r="35">
          <cell r="C35">
            <v>0.90854999999999997</v>
          </cell>
        </row>
        <row r="36">
          <cell r="C36">
            <v>2.6020000000000001E-2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COMP.XLS"/>
      <sheetName val="Macro2"/>
      <sheetName val="BUDGET - AS REPORTED"/>
      <sheetName val="SPECIAL ITEMS"/>
      <sheetName val="VARIANCE.XLS"/>
      <sheetName val="EPS_IBU"/>
      <sheetName val="Sheet1"/>
      <sheetName val="non energy costs"/>
      <sheetName val="Summary"/>
      <sheetName val="NewLost PG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xchange Rates"/>
      <sheetName val="Ret00"/>
      <sheetName val="Ret01"/>
    </sheetNames>
    <sheetDataSet>
      <sheetData sheetId="0"/>
      <sheetData sheetId="1"/>
      <sheetData sheetId="2" refreshError="1">
        <row r="4">
          <cell r="A4" t="str">
            <v>APL</v>
          </cell>
        </row>
        <row r="5">
          <cell r="A5" t="str">
            <v>APIL</v>
          </cell>
        </row>
        <row r="6">
          <cell r="A6" t="str">
            <v>APG</v>
          </cell>
        </row>
        <row r="7">
          <cell r="A7" t="str">
            <v>APSA</v>
          </cell>
        </row>
        <row r="8">
          <cell r="A8" t="str">
            <v>APSC</v>
          </cell>
        </row>
        <row r="9">
          <cell r="A9" t="str">
            <v>PEC</v>
          </cell>
        </row>
        <row r="10">
          <cell r="A10" t="str">
            <v>PROD</v>
          </cell>
        </row>
        <row r="11">
          <cell r="A11" t="str">
            <v>FRUS</v>
          </cell>
        </row>
        <row r="12">
          <cell r="A12" t="str">
            <v>PROL</v>
          </cell>
        </row>
        <row r="13">
          <cell r="A13" t="str">
            <v>PROM</v>
          </cell>
        </row>
        <row r="14">
          <cell r="A14" t="str">
            <v>APNE</v>
          </cell>
        </row>
        <row r="15">
          <cell r="A15" t="str">
            <v>APNL</v>
          </cell>
        </row>
        <row r="16">
          <cell r="A16" t="str">
            <v>APNZ</v>
          </cell>
        </row>
        <row r="17">
          <cell r="A17" t="str">
            <v>AMU</v>
          </cell>
        </row>
        <row r="18">
          <cell r="A18" t="str">
            <v>APUT</v>
          </cell>
        </row>
        <row r="19">
          <cell r="A19" t="str">
            <v>APA</v>
          </cell>
        </row>
        <row r="20">
          <cell r="A20" t="str">
            <v>APIS</v>
          </cell>
        </row>
        <row r="21">
          <cell r="A21" t="str">
            <v>APCS</v>
          </cell>
        </row>
        <row r="22">
          <cell r="A22" t="str">
            <v>APME</v>
          </cell>
        </row>
        <row r="23">
          <cell r="A23" t="str">
            <v>APKG</v>
          </cell>
        </row>
        <row r="24">
          <cell r="A24" t="str">
            <v>GCAS</v>
          </cell>
        </row>
        <row r="25">
          <cell r="A25" t="str">
            <v>EULA</v>
          </cell>
        </row>
        <row r="26">
          <cell r="A26" t="str">
            <v>EULB</v>
          </cell>
        </row>
        <row r="27">
          <cell r="A27" t="str">
            <v>EULC</v>
          </cell>
        </row>
        <row r="28">
          <cell r="A28" t="str">
            <v>EULD</v>
          </cell>
        </row>
        <row r="29">
          <cell r="A29" t="str">
            <v>EULE</v>
          </cell>
        </row>
        <row r="30">
          <cell r="A30" t="str">
            <v>EULF</v>
          </cell>
        </row>
        <row r="31">
          <cell r="A31" t="str">
            <v>EULP</v>
          </cell>
        </row>
        <row r="32">
          <cell r="A32" t="str">
            <v>EULR</v>
          </cell>
        </row>
        <row r="33">
          <cell r="A33" t="str">
            <v>EUMA</v>
          </cell>
        </row>
        <row r="34">
          <cell r="A34" t="str">
            <v>EUMB</v>
          </cell>
        </row>
        <row r="35">
          <cell r="A35" t="str">
            <v>EUMC</v>
          </cell>
        </row>
        <row r="36">
          <cell r="A36" t="str">
            <v>EUMD</v>
          </cell>
        </row>
        <row r="37">
          <cell r="A37" t="str">
            <v>EUME</v>
          </cell>
        </row>
        <row r="38">
          <cell r="A38" t="str">
            <v>EUMF</v>
          </cell>
        </row>
        <row r="39">
          <cell r="A39" t="str">
            <v>EUMI</v>
          </cell>
        </row>
        <row r="40">
          <cell r="A40" t="str">
            <v>EUMH</v>
          </cell>
        </row>
        <row r="41">
          <cell r="A41" t="str">
            <v>EUMR</v>
          </cell>
        </row>
        <row r="42">
          <cell r="A42" t="str">
            <v>EUMY</v>
          </cell>
        </row>
        <row r="43">
          <cell r="A43" t="str">
            <v>EUMZ</v>
          </cell>
        </row>
        <row r="44">
          <cell r="A44" t="str">
            <v>APOZ</v>
          </cell>
        </row>
        <row r="45">
          <cell r="A45" t="str">
            <v>APOL</v>
          </cell>
        </row>
        <row r="46">
          <cell r="A46" t="str">
            <v>EUKW</v>
          </cell>
        </row>
        <row r="47">
          <cell r="A47" t="str">
            <v>APCK</v>
          </cell>
        </row>
        <row r="48">
          <cell r="A48" t="str">
            <v>APKS</v>
          </cell>
        </row>
        <row r="49">
          <cell r="A49" t="str">
            <v>EUKA</v>
          </cell>
        </row>
        <row r="50">
          <cell r="A50" t="str">
            <v>EUKB</v>
          </cell>
        </row>
        <row r="51">
          <cell r="A51" t="str">
            <v>EUKC</v>
          </cell>
        </row>
        <row r="52">
          <cell r="A52" t="str">
            <v>EUKD</v>
          </cell>
        </row>
        <row r="53">
          <cell r="A53" t="str">
            <v>EUKE</v>
          </cell>
        </row>
        <row r="54">
          <cell r="A54" t="str">
            <v>EUKF</v>
          </cell>
        </row>
        <row r="55">
          <cell r="A55" t="str">
            <v>EUNL</v>
          </cell>
        </row>
        <row r="56">
          <cell r="A56" t="str">
            <v>EUMK</v>
          </cell>
        </row>
        <row r="57">
          <cell r="A57" t="str">
            <v>EUNA</v>
          </cell>
        </row>
        <row r="58">
          <cell r="A58" t="str">
            <v>EUNC</v>
          </cell>
        </row>
        <row r="59">
          <cell r="A59" t="str">
            <v>IBCM</v>
          </cell>
        </row>
        <row r="60">
          <cell r="A60" t="str">
            <v>IDSA</v>
          </cell>
        </row>
        <row r="61">
          <cell r="A61" t="str">
            <v>OTC</v>
          </cell>
        </row>
        <row r="62">
          <cell r="A62" t="str">
            <v>APGK</v>
          </cell>
        </row>
        <row r="63">
          <cell r="A63" t="str">
            <v>APGC</v>
          </cell>
        </row>
        <row r="64">
          <cell r="A64" t="str">
            <v>EUJA</v>
          </cell>
        </row>
        <row r="65">
          <cell r="A65" t="str">
            <v>EUJB</v>
          </cell>
        </row>
        <row r="66">
          <cell r="A66" t="str">
            <v>EUJD</v>
          </cell>
        </row>
        <row r="67">
          <cell r="A67" t="str">
            <v>EUJE</v>
          </cell>
        </row>
        <row r="68">
          <cell r="A68" t="str">
            <v>EUPA</v>
          </cell>
        </row>
        <row r="69">
          <cell r="A69" t="str">
            <v>EUPH</v>
          </cell>
        </row>
        <row r="70">
          <cell r="A70" t="str">
            <v>EUPJ</v>
          </cell>
        </row>
        <row r="71">
          <cell r="A71" t="str">
            <v>EUPT</v>
          </cell>
        </row>
        <row r="72">
          <cell r="A72" t="str">
            <v>APE_Mgmt</v>
          </cell>
        </row>
      </sheetData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 P&amp;L"/>
      <sheetName val="Dep adj"/>
      <sheetName val="working"/>
    </sheetNames>
    <sheetDataSet>
      <sheetData sheetId="0"/>
      <sheetData sheetId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r 1 98"/>
      <sheetName val="Q_COMP.XLS"/>
      <sheetName val="genmeg"/>
    </sheetNames>
    <sheetDataSet>
      <sheetData sheetId="0" refreshError="1">
        <row r="30">
          <cell r="B30">
            <v>1.6677999999999999</v>
          </cell>
        </row>
        <row r="31">
          <cell r="B31">
            <v>1.3908</v>
          </cell>
        </row>
        <row r="32">
          <cell r="B32">
            <v>0.16439999999999999</v>
          </cell>
        </row>
        <row r="33">
          <cell r="B33">
            <v>0.56000000000000005</v>
          </cell>
        </row>
        <row r="34">
          <cell r="B34">
            <v>0.48649999999999999</v>
          </cell>
        </row>
        <row r="35">
          <cell r="B35">
            <v>0.55069999999999997</v>
          </cell>
        </row>
        <row r="36">
          <cell r="B36">
            <v>1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#3"/>
      <sheetName val="EAApres"/>
      <sheetName val="EA"/>
      <sheetName val="Total Equity"/>
      <sheetName val="PG Equity Aff"/>
      <sheetName val="GIM Equity Aff"/>
      <sheetName val="Nondiv Equity Aff "/>
      <sheetName val="Plan"/>
      <sheetName val="Total (3)"/>
      <sheetName val="Bulk UK (3)"/>
      <sheetName val="Bulk Cont (3)"/>
      <sheetName val="UKPack (3)"/>
      <sheetName val="ContPack (3)"/>
      <sheetName val="Helium(3)"/>
      <sheetName val="Homecare (3)"/>
      <sheetName val="Carburos (3)"/>
      <sheetName val="Cbulk (3)"/>
      <sheetName val="CPG (3)"/>
      <sheetName val="Med (3)"/>
      <sheetName val="GIM (3)"/>
      <sheetName val="Nondiv (3)"/>
      <sheetName val="Sumary"/>
      <sheetName val="Sumary FullyCosted"/>
      <sheetName val="Sheet1"/>
      <sheetName val="PACK"/>
      <sheetName val="FY03 (2)"/>
      <sheetName val="SS2vPr Yr&amp;Plan (2)"/>
      <sheetName val="Overheadsincl"/>
      <sheetName val="Europe Gas"/>
      <sheetName val="SS2 "/>
      <sheetName val="Rec"/>
      <sheetName val="Total"/>
      <sheetName val="Bulkcont"/>
      <sheetName val="BulkUK"/>
      <sheetName val="UKpack"/>
      <sheetName val="Contpack"/>
      <sheetName val="Carburos"/>
      <sheetName val="CBulk"/>
      <sheetName val="CPG"/>
      <sheetName val="CMED"/>
      <sheetName val="Helium"/>
      <sheetName val="GIM"/>
      <sheetName val="Homecare"/>
      <sheetName val="Nondiv"/>
      <sheetName val="EsconEur Op Inc"/>
      <sheetName val="EsconEurBus"/>
      <sheetName val="ASalestot"/>
      <sheetName val="ASales"/>
      <sheetName val="Ademurrage"/>
      <sheetName val="ACO1op"/>
      <sheetName val="ACO1busop"/>
      <sheetName val="ADP"/>
      <sheetName val="AOverheads"/>
      <sheetName val="ABusop"/>
      <sheetName val="AEuro"/>
      <sheetName val="AEuroOVER"/>
      <sheetName val="AUS"/>
      <sheetName val="AUSover"/>
      <sheetName val="AUSrd"/>
      <sheetName val="AUS (2)"/>
      <sheetName val="ENon"/>
      <sheetName val="ENon (2)"/>
      <sheetName val="eupa"/>
      <sheetName val="SS3vPr Yr&amp;Plan"/>
      <sheetName val="SS3 EUSS"/>
      <sheetName val="AEuro (2)"/>
    </sheetNames>
    <sheetDataSet>
      <sheetData sheetId="0" refreshError="1"/>
      <sheetData sheetId="1" refreshError="1">
        <row r="1">
          <cell r="D1" t="str">
            <v>Eq Affil Income/Loss</v>
          </cell>
          <cell r="E1" t="str">
            <v>DataType</v>
          </cell>
        </row>
        <row r="3">
          <cell r="E3" t="str">
            <v>AC02</v>
          </cell>
          <cell r="F3" t="str">
            <v>AC02</v>
          </cell>
          <cell r="G3" t="str">
            <v>AC02</v>
          </cell>
          <cell r="H3" t="str">
            <v>AC02</v>
          </cell>
        </row>
        <row r="4">
          <cell r="E4" t="str">
            <v>October</v>
          </cell>
          <cell r="F4" t="str">
            <v>November</v>
          </cell>
          <cell r="G4" t="str">
            <v>December</v>
          </cell>
          <cell r="H4" t="str">
            <v>Quarter 1</v>
          </cell>
        </row>
        <row r="5">
          <cell r="B5" t="str">
            <v>USD BD02</v>
          </cell>
          <cell r="C5" t="str">
            <v>Europe</v>
          </cell>
          <cell r="D5" t="str">
            <v>Pack Gases</v>
          </cell>
          <cell r="E5">
            <v>-203.86186500000002</v>
          </cell>
          <cell r="F5">
            <v>-98.509625</v>
          </cell>
          <cell r="G5">
            <v>-64.063845000000001</v>
          </cell>
          <cell r="H5">
            <v>-366.43533500000001</v>
          </cell>
        </row>
        <row r="6">
          <cell r="B6" t="str">
            <v>USD BD02</v>
          </cell>
          <cell r="C6" t="str">
            <v>Europe</v>
          </cell>
          <cell r="D6" t="str">
            <v>PL45 GI/Metals Tonnage</v>
          </cell>
          <cell r="E6">
            <v>-510.24327770000002</v>
          </cell>
          <cell r="F6">
            <v>192.61793785</v>
          </cell>
          <cell r="G6">
            <v>0</v>
          </cell>
          <cell r="H6">
            <v>-317.62533985000005</v>
          </cell>
        </row>
        <row r="7">
          <cell r="B7" t="str">
            <v>USD BD02</v>
          </cell>
          <cell r="C7" t="str">
            <v>Europe</v>
          </cell>
          <cell r="D7" t="str">
            <v>PL39 Gases Misc</v>
          </cell>
          <cell r="E7">
            <v>-3.3390121050000001</v>
          </cell>
          <cell r="F7">
            <v>-3.9437338995000002</v>
          </cell>
          <cell r="G7">
            <v>-3.3390121050000001</v>
          </cell>
          <cell r="H7">
            <v>-10.6217581095</v>
          </cell>
        </row>
        <row r="8">
          <cell r="B8" t="str">
            <v>USD BD02</v>
          </cell>
          <cell r="C8" t="str">
            <v>Europe</v>
          </cell>
          <cell r="D8" t="str">
            <v>PL43 CPI Tonnage</v>
          </cell>
          <cell r="E8">
            <v>70.363018169999989</v>
          </cell>
          <cell r="F8">
            <v>183.0554262675</v>
          </cell>
          <cell r="G8">
            <v>-180.371742192</v>
          </cell>
          <cell r="H8">
            <v>73.046702245500001</v>
          </cell>
        </row>
      </sheetData>
      <sheetData sheetId="2" refreshError="1">
        <row r="1">
          <cell r="E1" t="str">
            <v>Income from Equity Affiliates</v>
          </cell>
        </row>
        <row r="2">
          <cell r="F2" t="str">
            <v>AC02</v>
          </cell>
          <cell r="G2" t="str">
            <v>AC02</v>
          </cell>
          <cell r="H2" t="str">
            <v>AC02</v>
          </cell>
          <cell r="I2" t="str">
            <v>AC02</v>
          </cell>
          <cell r="J2" t="str">
            <v>AC02</v>
          </cell>
          <cell r="K2" t="str">
            <v>AC02</v>
          </cell>
          <cell r="L2" t="str">
            <v>AC02</v>
          </cell>
        </row>
        <row r="3">
          <cell r="F3" t="str">
            <v>October</v>
          </cell>
          <cell r="G3" t="str">
            <v>November</v>
          </cell>
          <cell r="H3" t="str">
            <v>December</v>
          </cell>
          <cell r="I3" t="str">
            <v>Quarter 1</v>
          </cell>
          <cell r="J3" t="str">
            <v>January</v>
          </cell>
          <cell r="K3" t="str">
            <v>February</v>
          </cell>
          <cell r="L3" t="str">
            <v>March</v>
          </cell>
        </row>
        <row r="5">
          <cell r="C5" t="str">
            <v>EUPT</v>
          </cell>
          <cell r="D5" t="str">
            <v>Gases &amp; Equip</v>
          </cell>
          <cell r="F5">
            <v>63.552692339999993</v>
          </cell>
          <cell r="G5">
            <v>69.69918779999999</v>
          </cell>
          <cell r="H5">
            <v>108.69576029999999</v>
          </cell>
          <cell r="I5">
            <v>241.94764043999996</v>
          </cell>
          <cell r="J5">
            <v>82.973699999999994</v>
          </cell>
          <cell r="K5">
            <v>105.97467087</v>
          </cell>
          <cell r="L5">
            <v>140.77878920999999</v>
          </cell>
        </row>
        <row r="6">
          <cell r="C6" t="str">
            <v>EUPH</v>
          </cell>
          <cell r="D6" t="str">
            <v>Gases &amp; Equip</v>
          </cell>
          <cell r="F6">
            <v>1013.3087370000001</v>
          </cell>
          <cell r="G6">
            <v>1013.3087370000001</v>
          </cell>
          <cell r="H6">
            <v>1149.593102</v>
          </cell>
          <cell r="I6">
            <v>3176.2105760000004</v>
          </cell>
          <cell r="J6">
            <v>-3176.2105759999999</v>
          </cell>
          <cell r="K6">
            <v>0</v>
          </cell>
          <cell r="L6">
            <v>0</v>
          </cell>
        </row>
        <row r="7">
          <cell r="C7" t="str">
            <v>EUPA</v>
          </cell>
          <cell r="D7" t="str">
            <v>Gases &amp; Equip</v>
          </cell>
          <cell r="F7">
            <v>25.9498</v>
          </cell>
          <cell r="G7">
            <v>-16.745000000000001</v>
          </cell>
          <cell r="H7">
            <v>-7.3780000000000001</v>
          </cell>
          <cell r="I7">
            <v>1.8267999999999986</v>
          </cell>
          <cell r="J7">
            <v>-24.97</v>
          </cell>
          <cell r="K7">
            <v>-4.3010000000000002</v>
          </cell>
          <cell r="L7">
            <v>-70.707000000000008</v>
          </cell>
        </row>
        <row r="8">
          <cell r="C8" t="str">
            <v>EUPB</v>
          </cell>
          <cell r="D8" t="str">
            <v>Gases &amp; Equip</v>
          </cell>
          <cell r="F8">
            <v>-26.627523</v>
          </cell>
          <cell r="G8">
            <v>-15.986551100000002</v>
          </cell>
          <cell r="H8">
            <v>-15.805879699999998</v>
          </cell>
          <cell r="I8">
            <v>-58.419953800000002</v>
          </cell>
          <cell r="J8">
            <v>-19.602846899999999</v>
          </cell>
          <cell r="K8">
            <v>-16.251822600000001</v>
          </cell>
          <cell r="L8">
            <v>12.611150499999999</v>
          </cell>
        </row>
        <row r="9">
          <cell r="C9" t="str">
            <v>EUPU</v>
          </cell>
          <cell r="D9" t="str">
            <v>Gases &amp; Equip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4264.3637475255</v>
          </cell>
          <cell r="K9">
            <v>1086.6258</v>
          </cell>
          <cell r="L9">
            <v>5780.1950999999999</v>
          </cell>
        </row>
        <row r="11">
          <cell r="C11" t="str">
            <v>Spain</v>
          </cell>
          <cell r="D11" t="str">
            <v>Gases &amp; Equip</v>
          </cell>
          <cell r="F11">
            <v>3.3390121050000001</v>
          </cell>
          <cell r="G11">
            <v>3.9437338994999993</v>
          </cell>
          <cell r="H11">
            <v>3.3390121050000001</v>
          </cell>
          <cell r="I11">
            <v>10.6217581095</v>
          </cell>
          <cell r="J11">
            <v>11.337450201000001</v>
          </cell>
          <cell r="K11">
            <v>28.457739382499998</v>
          </cell>
          <cell r="L11">
            <v>15.029152330500001</v>
          </cell>
        </row>
        <row r="12">
          <cell r="C12" t="str">
            <v>Great Britain</v>
          </cell>
          <cell r="D12" t="str">
            <v>Gases &amp; Equip</v>
          </cell>
          <cell r="F12">
            <v>557.56197770000006</v>
          </cell>
          <cell r="G12">
            <v>-148.16703785000001</v>
          </cell>
          <cell r="H12">
            <v>38.715299999999999</v>
          </cell>
          <cell r="I12">
            <v>448.11023985000003</v>
          </cell>
          <cell r="J12">
            <v>234.51004329999998</v>
          </cell>
          <cell r="K12">
            <v>146.85717020000001</v>
          </cell>
          <cell r="L12">
            <v>185.6527686</v>
          </cell>
        </row>
        <row r="13">
          <cell r="C13" t="str">
            <v>Netherlands</v>
          </cell>
          <cell r="D13" t="str">
            <v>Gases &amp; Equip</v>
          </cell>
          <cell r="F13">
            <v>-70.363018169999989</v>
          </cell>
          <cell r="G13">
            <v>-183.0554262675</v>
          </cell>
          <cell r="H13">
            <v>180.371742192</v>
          </cell>
          <cell r="I13">
            <v>-73.046702245500001</v>
          </cell>
          <cell r="J13">
            <v>149.436268848</v>
          </cell>
          <cell r="K13">
            <v>95.575889398499996</v>
          </cell>
          <cell r="L13">
            <v>94.847804685</v>
          </cell>
        </row>
        <row r="14">
          <cell r="C14" t="str">
            <v>Germany</v>
          </cell>
          <cell r="D14" t="str">
            <v>Gases &amp; Equip</v>
          </cell>
          <cell r="F14">
            <v>156.54316500000002</v>
          </cell>
          <cell r="G14">
            <v>54.058724999999995</v>
          </cell>
          <cell r="H14">
            <v>25.348545000000001</v>
          </cell>
          <cell r="I14">
            <v>235.95043500000003</v>
          </cell>
          <cell r="J14">
            <v>54.029824024500002</v>
          </cell>
          <cell r="K14">
            <v>139.44243689999999</v>
          </cell>
          <cell r="L14">
            <v>60.964086590999997</v>
          </cell>
        </row>
        <row r="15">
          <cell r="C15" t="str">
            <v>Mgmt Entities</v>
          </cell>
          <cell r="D15" t="str">
            <v>Gases &amp; Equip</v>
          </cell>
          <cell r="F15">
            <v>1723.2648429750002</v>
          </cell>
          <cell r="G15">
            <v>777.05636848200004</v>
          </cell>
          <cell r="H15">
            <v>1482.8795818970002</v>
          </cell>
          <cell r="I15">
            <v>3983.2007933540003</v>
          </cell>
          <cell r="J15">
            <v>1575.8676109989992</v>
          </cell>
          <cell r="K15">
            <v>1582.3808841510001</v>
          </cell>
          <cell r="L15">
            <v>6219.3718519164995</v>
          </cell>
        </row>
        <row r="17">
          <cell r="F17">
            <v>1079.522718445</v>
          </cell>
          <cell r="G17">
            <v>1054.2201075995001</v>
          </cell>
          <cell r="H17">
            <v>1238.443994705</v>
          </cell>
          <cell r="I17">
            <v>3372.1868207495004</v>
          </cell>
          <cell r="J17">
            <v>1137.8914748265004</v>
          </cell>
          <cell r="K17">
            <v>1200.5053876525001</v>
          </cell>
          <cell r="L17">
            <v>5877.9071920405004</v>
          </cell>
        </row>
        <row r="18">
          <cell r="F18">
            <v>1723.2648429750002</v>
          </cell>
          <cell r="G18">
            <v>777.05636848200004</v>
          </cell>
          <cell r="H18">
            <v>1482.8795818970002</v>
          </cell>
          <cell r="I18">
            <v>3983.2007933540008</v>
          </cell>
          <cell r="J18">
            <v>1575.8676109990004</v>
          </cell>
          <cell r="K18">
            <v>1582.3808841510001</v>
          </cell>
          <cell r="L18">
            <v>6219.3718519164995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</sheetData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(EAP)-D"/>
      <sheetName val="KEY"/>
      <sheetName val="Index"/>
      <sheetName val="Genenal"/>
      <sheetName val="Sales Status"/>
      <sheetName val="Sales (NAP EAP)"/>
      <sheetName val="Direct  Profit"/>
      <sheetName val="EA"/>
      <sheetName val="EAAp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-Metal (2)"/>
      <sheetName val="LASA"/>
      <sheetName val="Prod Dev"/>
      <sheetName val="Prod Mgmt (2)"/>
      <sheetName val="CPI"/>
      <sheetName val="ELEC"/>
      <sheetName val="ASIA"/>
      <sheetName val="Helium"/>
      <sheetName val="Elec-Europ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RawData"/>
      <sheetName val="Data (2)"/>
      <sheetName val="Data"/>
      <sheetName val="Summary Consol"/>
      <sheetName val="Equity Aff"/>
      <sheetName val="SE Asia"/>
      <sheetName val="China"/>
      <sheetName val="KIG-GG-X"/>
      <sheetName val="BIG-GG-X"/>
      <sheetName val="UAPI-GG-X"/>
      <sheetName val="UAPI-LL-X"/>
      <sheetName val="UAPI-LA-X"/>
      <sheetName val="API-GG-X"/>
      <sheetName val="API-LL-X"/>
      <sheetName val="API-LA-X"/>
      <sheetName val="TOTAL-LL (2)-X"/>
      <sheetName val="TOTAL-LA (2)-X"/>
      <sheetName val="TOTAL-GG (2)-X"/>
      <sheetName val="TOTAL-CH-X"/>
      <sheetName val="CPI"/>
      <sheetName val="PRODCLAS-PYYear"/>
    </sheetNames>
    <sheetDataSet>
      <sheetData sheetId="0" refreshError="1">
        <row r="2">
          <cell r="T2" t="str">
            <v>GAN</v>
          </cell>
          <cell r="U2">
            <v>5</v>
          </cell>
          <cell r="V2" t="str">
            <v>K Ltr</v>
          </cell>
          <cell r="W2">
            <v>2</v>
          </cell>
        </row>
        <row r="3">
          <cell r="C3">
            <v>1.142E-3</v>
          </cell>
          <cell r="D3">
            <v>1.1419999999999999</v>
          </cell>
          <cell r="E3">
            <v>1.3550135501355014E-3</v>
          </cell>
          <cell r="F3">
            <v>1.4299999999999998E-3</v>
          </cell>
          <cell r="G3">
            <v>1.43</v>
          </cell>
          <cell r="H3">
            <v>1.2658227848101264</v>
          </cell>
          <cell r="I3">
            <v>1</v>
          </cell>
          <cell r="P3" t="str">
            <v>API</v>
          </cell>
          <cell r="Q3" t="str">
            <v>API</v>
          </cell>
          <cell r="R3" t="str">
            <v>S</v>
          </cell>
          <cell r="T3" t="str">
            <v>GOX</v>
          </cell>
          <cell r="U3">
            <v>4</v>
          </cell>
          <cell r="V3" t="str">
            <v>K NM3</v>
          </cell>
          <cell r="W3">
            <v>5</v>
          </cell>
        </row>
        <row r="4">
          <cell r="C4">
            <v>8.0800000000000002E-4</v>
          </cell>
          <cell r="D4">
            <v>0.80800000000000005</v>
          </cell>
          <cell r="E4">
            <v>1.1848341232227489E-3</v>
          </cell>
          <cell r="F4">
            <v>1.25E-3</v>
          </cell>
          <cell r="G4">
            <v>1.25</v>
          </cell>
          <cell r="H4">
            <v>1.1074197120708749</v>
          </cell>
          <cell r="I4">
            <v>1</v>
          </cell>
          <cell r="P4" t="str">
            <v>APNJL</v>
          </cell>
          <cell r="Q4" t="str">
            <v>APNJL</v>
          </cell>
          <cell r="R4" t="str">
            <v>S</v>
          </cell>
          <cell r="T4" t="str">
            <v>LAR</v>
          </cell>
          <cell r="U4">
            <v>3</v>
          </cell>
          <cell r="V4" t="str">
            <v>K SM3</v>
          </cell>
          <cell r="W4">
            <v>6</v>
          </cell>
        </row>
        <row r="5">
          <cell r="C5">
            <v>1.3929999999999999E-3</v>
          </cell>
          <cell r="D5">
            <v>1.393</v>
          </cell>
          <cell r="E5">
            <v>1.6920473773265651E-3</v>
          </cell>
          <cell r="F5">
            <v>1.784E-3</v>
          </cell>
          <cell r="G5">
            <v>1.784</v>
          </cell>
          <cell r="H5">
            <v>1.5797788309636651</v>
          </cell>
          <cell r="I5">
            <v>1</v>
          </cell>
          <cell r="P5" t="str">
            <v>APS</v>
          </cell>
          <cell r="Q5" t="str">
            <v>APS</v>
          </cell>
          <cell r="R5" t="str">
            <v>S</v>
          </cell>
          <cell r="T5" t="str">
            <v>LIN</v>
          </cell>
          <cell r="U5">
            <v>2</v>
          </cell>
          <cell r="V5" t="str">
            <v>Ltr</v>
          </cell>
          <cell r="W5">
            <v>1</v>
          </cell>
        </row>
        <row r="6">
          <cell r="C6">
            <v>1.142E-3</v>
          </cell>
          <cell r="D6">
            <v>1.1419999999999999</v>
          </cell>
          <cell r="E6">
            <v>1.3550135501355014E-3</v>
          </cell>
          <cell r="F6">
            <v>1.4299999999999998E-3</v>
          </cell>
          <cell r="G6">
            <v>1.43</v>
          </cell>
          <cell r="I6">
            <v>1</v>
          </cell>
          <cell r="P6" t="str">
            <v>BIG</v>
          </cell>
          <cell r="Q6" t="str">
            <v>BIG</v>
          </cell>
          <cell r="R6" t="str">
            <v>S</v>
          </cell>
          <cell r="T6" t="str">
            <v>LOX</v>
          </cell>
          <cell r="U6">
            <v>1</v>
          </cell>
          <cell r="V6" t="str">
            <v>M3</v>
          </cell>
          <cell r="W6">
            <v>3</v>
          </cell>
        </row>
        <row r="7">
          <cell r="C7">
            <v>8.0800000000000002E-4</v>
          </cell>
          <cell r="D7">
            <v>0.80800000000000005</v>
          </cell>
          <cell r="E7">
            <v>1.1848341232227489E-3</v>
          </cell>
          <cell r="F7">
            <v>1.25E-3</v>
          </cell>
          <cell r="G7">
            <v>1.25</v>
          </cell>
          <cell r="I7">
            <v>1</v>
          </cell>
          <cell r="P7" t="str">
            <v>CWIG</v>
          </cell>
          <cell r="Q7" t="str">
            <v>CWIGPRC/SAP</v>
          </cell>
          <cell r="R7" t="str">
            <v>S</v>
          </cell>
          <cell r="V7" t="str">
            <v>MT</v>
          </cell>
          <cell r="W7">
            <v>7</v>
          </cell>
        </row>
        <row r="8">
          <cell r="P8" t="str">
            <v>EAP</v>
          </cell>
          <cell r="Q8" t="str">
            <v>EAP</v>
          </cell>
          <cell r="R8" t="str">
            <v>S</v>
          </cell>
          <cell r="V8" t="str">
            <v>NM3</v>
          </cell>
          <cell r="W8">
            <v>4</v>
          </cell>
        </row>
        <row r="9">
          <cell r="P9" t="str">
            <v>KIG</v>
          </cell>
          <cell r="Q9" t="str">
            <v>KIG</v>
          </cell>
          <cell r="R9" t="str">
            <v>S</v>
          </cell>
        </row>
        <row r="10">
          <cell r="P10" t="str">
            <v>NAP</v>
          </cell>
          <cell r="Q10" t="str">
            <v>NAP</v>
          </cell>
          <cell r="R10" t="str">
            <v>S</v>
          </cell>
        </row>
        <row r="11">
          <cell r="P11" t="str">
            <v>SANFU</v>
          </cell>
          <cell r="Q11" t="str">
            <v>SANFU</v>
          </cell>
          <cell r="R11" t="str">
            <v>A</v>
          </cell>
        </row>
        <row r="12">
          <cell r="P12" t="str">
            <v>SAP</v>
          </cell>
          <cell r="Q12" t="str">
            <v>CWIGPRC/SAP</v>
          </cell>
          <cell r="R12" t="str">
            <v>S</v>
          </cell>
        </row>
        <row r="13">
          <cell r="P13" t="str">
            <v>APSTB</v>
          </cell>
          <cell r="Q13" t="str">
            <v>APSTB</v>
          </cell>
          <cell r="R13" t="str">
            <v>S</v>
          </cell>
        </row>
        <row r="14">
          <cell r="P14" t="str">
            <v>UAPI</v>
          </cell>
          <cell r="Q14" t="str">
            <v>UAPI</v>
          </cell>
          <cell r="R14" t="str">
            <v>A</v>
          </cell>
        </row>
        <row r="15">
          <cell r="P15" t="str">
            <v>APSHL</v>
          </cell>
          <cell r="Q15" t="str">
            <v>APSHL</v>
          </cell>
          <cell r="R15" t="str">
            <v>S</v>
          </cell>
        </row>
        <row r="16">
          <cell r="P16" t="str">
            <v>SAP(ZH)</v>
          </cell>
          <cell r="Q16" t="str">
            <v>SAP(ZH)</v>
          </cell>
          <cell r="R16" t="str">
            <v>S</v>
          </cell>
        </row>
      </sheetData>
      <sheetData sheetId="1"/>
      <sheetData sheetId="2"/>
      <sheetData sheetId="3" refreshError="1">
        <row r="73">
          <cell r="N73" t="str">
            <v>SANFU</v>
          </cell>
        </row>
        <row r="74">
          <cell r="N74" t="str">
            <v>LOX</v>
          </cell>
          <cell r="O74">
            <v>139.24050632911391</v>
          </cell>
          <cell r="P74">
            <v>158.86075949367086</v>
          </cell>
          <cell r="Q74">
            <v>176.49789029535862</v>
          </cell>
          <cell r="R74">
            <v>160.21097046413499</v>
          </cell>
          <cell r="S74">
            <v>191.43459915611811</v>
          </cell>
          <cell r="T74">
            <v>188.48101265822783</v>
          </cell>
          <cell r="U74">
            <v>219.32489451476792</v>
          </cell>
          <cell r="V74">
            <v>196.45569620253164</v>
          </cell>
          <cell r="W74">
            <v>171.94092827004218</v>
          </cell>
          <cell r="X74">
            <v>170.54852320675101</v>
          </cell>
          <cell r="Y74">
            <v>166.20253164556962</v>
          </cell>
          <cell r="Z74">
            <v>179.15611814345991</v>
          </cell>
          <cell r="AA74">
            <v>173.62869198312234</v>
          </cell>
          <cell r="AB74">
            <v>181.18143459915609</v>
          </cell>
          <cell r="AC74">
            <v>163.33333333333331</v>
          </cell>
          <cell r="AD74">
            <v>173.79746835443035</v>
          </cell>
          <cell r="AE74">
            <v>206.54008438818565</v>
          </cell>
          <cell r="AF74">
            <v>217.59493670886073</v>
          </cell>
          <cell r="AG74">
            <v>220.29535864978899</v>
          </cell>
          <cell r="AH74">
            <v>193.03797468354429</v>
          </cell>
          <cell r="AI74">
            <v>153.37552742616032</v>
          </cell>
          <cell r="AJ74">
            <v>221.64556962025316</v>
          </cell>
          <cell r="AK74">
            <v>217.93248945147675</v>
          </cell>
          <cell r="AL74">
            <v>215.27426160337552</v>
          </cell>
          <cell r="AM74">
            <v>223.08016877637129</v>
          </cell>
          <cell r="AN74">
            <v>220.16877637130798</v>
          </cell>
          <cell r="AO74">
            <v>210.25316455696199</v>
          </cell>
          <cell r="AP74">
            <v>174.68354430379745</v>
          </cell>
          <cell r="AQ74">
            <v>206.16033755274259</v>
          </cell>
          <cell r="AR74">
            <v>200.33755274261603</v>
          </cell>
          <cell r="AS74">
            <v>268.35443037974682</v>
          </cell>
          <cell r="AT74">
            <v>222.82564311964063</v>
          </cell>
          <cell r="AU74">
            <v>157.04932343954601</v>
          </cell>
          <cell r="AV74">
            <v>217.80318497345854</v>
          </cell>
          <cell r="AW74">
            <v>212.74261603375527</v>
          </cell>
          <cell r="AX74">
            <v>232.21723152307064</v>
          </cell>
          <cell r="AY74">
            <v>276.8354430379747</v>
          </cell>
          <cell r="AZ74">
            <v>256.18619844834626</v>
          </cell>
          <cell r="BA74">
            <v>231.07390771743567</v>
          </cell>
          <cell r="BB74">
            <v>219.15611814345991</v>
          </cell>
          <cell r="BC74">
            <v>207.75826868109431</v>
          </cell>
          <cell r="BD74">
            <v>195.14767932489448</v>
          </cell>
          <cell r="BE74">
            <v>195.71253572886891</v>
          </cell>
          <cell r="BF74">
            <v>161.53532053899548</v>
          </cell>
          <cell r="BG74">
            <v>183.4538878842676</v>
          </cell>
          <cell r="BH74">
            <v>181.54348713760714</v>
          </cell>
          <cell r="BI74">
            <v>165.4008438818565</v>
          </cell>
          <cell r="BJ74">
            <v>153.85871784401795</v>
          </cell>
          <cell r="BK74">
            <v>144.17721518987341</v>
          </cell>
          <cell r="BL74">
            <v>146.26378113515719</v>
          </cell>
          <cell r="BM74">
            <v>191.34340547162105</v>
          </cell>
          <cell r="BN74">
            <v>197.89029535864978</v>
          </cell>
          <cell r="BO74">
            <v>183.70763576970188</v>
          </cell>
          <cell r="BP74">
            <v>156.37130801687761</v>
          </cell>
          <cell r="BQ74">
            <v>163.20947325438954</v>
          </cell>
          <cell r="BR74">
            <v>153.28705594120046</v>
          </cell>
          <cell r="BS74">
            <v>131.28390596745024</v>
          </cell>
          <cell r="BT74">
            <v>161.57615353205387</v>
          </cell>
          <cell r="BU74">
            <v>166.07594936708858</v>
          </cell>
          <cell r="BV74">
            <v>172.35606369946916</v>
          </cell>
          <cell r="BW74">
            <v>165.14767932489451</v>
          </cell>
          <cell r="BX74">
            <v>177.29685585953447</v>
          </cell>
          <cell r="BY74">
            <v>175.45937117190689</v>
          </cell>
          <cell r="BZ74">
            <v>173.58649789029533</v>
          </cell>
          <cell r="CA74">
            <v>202.08248264597793</v>
          </cell>
          <cell r="CB74">
            <v>211.68776371308013</v>
          </cell>
          <cell r="CC74">
            <v>159.24867292772558</v>
          </cell>
          <cell r="CD74">
            <v>194.89587586770108</v>
          </cell>
          <cell r="CE74">
            <v>165.18987341772151</v>
          </cell>
          <cell r="CF74">
            <v>195.95753368721927</v>
          </cell>
          <cell r="CG74">
            <v>182.36286919831221</v>
          </cell>
          <cell r="CH74">
            <v>287.46427113107387</v>
          </cell>
          <cell r="CI74">
            <v>0</v>
          </cell>
          <cell r="CJ74">
            <v>0</v>
          </cell>
          <cell r="CK74">
            <v>0</v>
          </cell>
          <cell r="CL74">
            <v>192.60869565217391</v>
          </cell>
          <cell r="CM74">
            <v>139.46666666666667</v>
          </cell>
          <cell r="CN74">
            <v>183.92307692307693</v>
          </cell>
          <cell r="CO74">
            <v>209.20652173913044</v>
          </cell>
          <cell r="CP74">
            <v>202.01369863013699</v>
          </cell>
          <cell r="CQ74">
            <v>206.72054794520548</v>
          </cell>
        </row>
        <row r="75">
          <cell r="N75" t="str">
            <v>LIN</v>
          </cell>
          <cell r="O75">
            <v>379.91878922111482</v>
          </cell>
          <cell r="P75">
            <v>441.49132521225545</v>
          </cell>
          <cell r="Q75">
            <v>412.18161683277964</v>
          </cell>
          <cell r="R75">
            <v>366.92506459948322</v>
          </cell>
          <cell r="S75">
            <v>377.88851974898483</v>
          </cell>
          <cell r="T75">
            <v>384.828349944629</v>
          </cell>
          <cell r="U75">
            <v>394.05684754521968</v>
          </cell>
          <cell r="V75">
            <v>326.35658914728685</v>
          </cell>
          <cell r="W75">
            <v>355.48172757475083</v>
          </cell>
          <cell r="X75">
            <v>377.88851974898483</v>
          </cell>
          <cell r="Y75">
            <v>363.63971945367297</v>
          </cell>
          <cell r="Z75">
            <v>406.79217423403469</v>
          </cell>
          <cell r="AA75">
            <v>377.33480989294941</v>
          </cell>
          <cell r="AB75">
            <v>454.22665190107051</v>
          </cell>
          <cell r="AC75">
            <v>521.41011443337027</v>
          </cell>
          <cell r="AD75">
            <v>459.72683647102252</v>
          </cell>
          <cell r="AE75">
            <v>503.72831303063862</v>
          </cell>
          <cell r="AF75">
            <v>467.03580657069028</v>
          </cell>
          <cell r="AG75">
            <v>498.96640826873386</v>
          </cell>
          <cell r="AH75">
            <v>515.83610188261343</v>
          </cell>
          <cell r="AI75">
            <v>347.28682170542635</v>
          </cell>
          <cell r="AJ75">
            <v>400.51679586563307</v>
          </cell>
          <cell r="AK75">
            <v>400.62753783684013</v>
          </cell>
          <cell r="AL75">
            <v>414.43337024732375</v>
          </cell>
          <cell r="AM75">
            <v>483.3887043189369</v>
          </cell>
          <cell r="AN75">
            <v>456.62606127722404</v>
          </cell>
          <cell r="AO75">
            <v>460.83425618309337</v>
          </cell>
          <cell r="AP75">
            <v>422.48062015503876</v>
          </cell>
          <cell r="AQ75">
            <v>457.80730897009965</v>
          </cell>
          <cell r="AR75">
            <v>488.00295311923219</v>
          </cell>
          <cell r="AS75">
            <v>539.05500184569951</v>
          </cell>
          <cell r="AT75">
            <v>546.06508770049652</v>
          </cell>
          <cell r="AU75">
            <v>479.47454844006569</v>
          </cell>
          <cell r="AV75">
            <v>568.2134819419141</v>
          </cell>
          <cell r="AW75">
            <v>564.89479512735329</v>
          </cell>
          <cell r="AX75">
            <v>597.00639445575678</v>
          </cell>
          <cell r="AY75">
            <v>578.95902547065339</v>
          </cell>
          <cell r="AZ75">
            <v>626.12081591826529</v>
          </cell>
          <cell r="BA75">
            <v>607.93769871039194</v>
          </cell>
          <cell r="BB75">
            <v>630.82318198597261</v>
          </cell>
          <cell r="BC75">
            <v>633.33690565498512</v>
          </cell>
          <cell r="BD75">
            <v>650.68290882244378</v>
          </cell>
          <cell r="BE75">
            <v>652.55599614189259</v>
          </cell>
          <cell r="BF75">
            <v>543.20723037902326</v>
          </cell>
          <cell r="BG75">
            <v>568.50181933238412</v>
          </cell>
          <cell r="BH75">
            <v>628.08559282677811</v>
          </cell>
          <cell r="BI75">
            <v>591.39904023624956</v>
          </cell>
          <cell r="BJ75">
            <v>597.3279034044225</v>
          </cell>
          <cell r="BK75">
            <v>598.04355850867478</v>
          </cell>
          <cell r="BL75">
            <v>538.67038188118465</v>
          </cell>
          <cell r="BM75">
            <v>572.75033043975282</v>
          </cell>
          <cell r="BN75">
            <v>581.39534883720933</v>
          </cell>
          <cell r="BO75">
            <v>614.54649376629868</v>
          </cell>
          <cell r="BP75">
            <v>702.10409745293464</v>
          </cell>
          <cell r="BQ75">
            <v>572.96466973886322</v>
          </cell>
          <cell r="BR75">
            <v>560.89022255563896</v>
          </cell>
          <cell r="BS75">
            <v>525.31245056161993</v>
          </cell>
          <cell r="BT75">
            <v>600.68588575715353</v>
          </cell>
          <cell r="BU75">
            <v>614.58102620893317</v>
          </cell>
          <cell r="BV75">
            <v>546.77955203086492</v>
          </cell>
          <cell r="BW75">
            <v>634.14544112218528</v>
          </cell>
          <cell r="BX75">
            <v>686.81456078305291</v>
          </cell>
          <cell r="BY75">
            <v>632.76533419069051</v>
          </cell>
          <cell r="BZ75">
            <v>618.45699520118126</v>
          </cell>
          <cell r="CA75">
            <v>629.30018218840428</v>
          </cell>
          <cell r="CB75">
            <v>655.33407161314142</v>
          </cell>
          <cell r="CC75">
            <v>565.46279426999604</v>
          </cell>
          <cell r="CD75">
            <v>599.97142142678524</v>
          </cell>
          <cell r="CE75">
            <v>569.64878974845749</v>
          </cell>
          <cell r="CF75">
            <v>571.75008037723717</v>
          </cell>
          <cell r="CG75">
            <v>651.05204872646732</v>
          </cell>
          <cell r="CH75">
            <v>608.18776122602083</v>
          </cell>
          <cell r="CI75">
            <v>0</v>
          </cell>
          <cell r="CJ75">
            <v>0</v>
          </cell>
          <cell r="CK75">
            <v>0</v>
          </cell>
          <cell r="CL75">
            <v>682.79347826086962</v>
          </cell>
          <cell r="CM75">
            <v>521.62222222222226</v>
          </cell>
          <cell r="CN75">
            <v>687.8131868131868</v>
          </cell>
          <cell r="CO75">
            <v>782.39130434782612</v>
          </cell>
          <cell r="CP75">
            <v>781.66575342465751</v>
          </cell>
          <cell r="CQ75">
            <v>838.61917808219175</v>
          </cell>
        </row>
        <row r="76">
          <cell r="N76" t="str">
            <v>LAR</v>
          </cell>
          <cell r="O76">
            <v>8.2675092153765135</v>
          </cell>
          <cell r="P76">
            <v>7.7409162717219591</v>
          </cell>
          <cell r="Q76">
            <v>9.2680358083201693</v>
          </cell>
          <cell r="R76">
            <v>9.0047393364928912</v>
          </cell>
          <cell r="S76">
            <v>9.3206951026856242</v>
          </cell>
          <cell r="T76">
            <v>8.4781463928383367</v>
          </cell>
          <cell r="U76">
            <v>9.8472880463401786</v>
          </cell>
          <cell r="V76">
            <v>7.3723012111637711</v>
          </cell>
          <cell r="W76">
            <v>9.426013691416534</v>
          </cell>
          <cell r="X76">
            <v>10.268562401263823</v>
          </cell>
          <cell r="Y76">
            <v>9.5839915745129023</v>
          </cell>
          <cell r="Z76">
            <v>9.426013691416534</v>
          </cell>
          <cell r="AA76">
            <v>10.479199578725646</v>
          </cell>
          <cell r="AB76">
            <v>16.85097419694576</v>
          </cell>
          <cell r="AC76">
            <v>14.06003159557662</v>
          </cell>
          <cell r="AD76">
            <v>16.956292785676673</v>
          </cell>
          <cell r="AE76">
            <v>11.163770405476566</v>
          </cell>
          <cell r="AF76">
            <v>11.848341232227488</v>
          </cell>
          <cell r="AG76">
            <v>13.006845708267511</v>
          </cell>
          <cell r="AH76">
            <v>13.954713006845708</v>
          </cell>
          <cell r="AI76">
            <v>11.005792522380201</v>
          </cell>
          <cell r="AJ76">
            <v>14.902580305423907</v>
          </cell>
          <cell r="AK76">
            <v>13.796735123749341</v>
          </cell>
          <cell r="AL76">
            <v>12.954186413902054</v>
          </cell>
          <cell r="AM76">
            <v>13.58609794628752</v>
          </cell>
          <cell r="AN76">
            <v>13.58609794628752</v>
          </cell>
          <cell r="AO76">
            <v>13.217482885729332</v>
          </cell>
          <cell r="AP76">
            <v>11.269088994207477</v>
          </cell>
          <cell r="AQ76">
            <v>14.218009478672986</v>
          </cell>
          <cell r="AR76">
            <v>10.953133228014744</v>
          </cell>
          <cell r="AS76">
            <v>15.534491837809375</v>
          </cell>
          <cell r="AT76">
            <v>12.332467003006677</v>
          </cell>
          <cell r="AU76">
            <v>11.167402080950048</v>
          </cell>
          <cell r="AV76">
            <v>15.695867094735769</v>
          </cell>
          <cell r="AW76">
            <v>14.06003159557662</v>
          </cell>
          <cell r="AX76">
            <v>14.167048871222546</v>
          </cell>
          <cell r="AY76">
            <v>17.482885729331226</v>
          </cell>
          <cell r="AZ76">
            <v>13.912245833970342</v>
          </cell>
          <cell r="BA76">
            <v>18.447739897059574</v>
          </cell>
          <cell r="BB76">
            <v>15.113217482885728</v>
          </cell>
          <cell r="BC76">
            <v>16.918921673546347</v>
          </cell>
          <cell r="BD76">
            <v>16.798314902580305</v>
          </cell>
          <cell r="BE76">
            <v>19.721755083320595</v>
          </cell>
          <cell r="BF76">
            <v>15.237221627681802</v>
          </cell>
          <cell r="BG76">
            <v>16.869781087790567</v>
          </cell>
          <cell r="BH76">
            <v>17.122764103348111</v>
          </cell>
          <cell r="BI76">
            <v>13.638757240652975</v>
          </cell>
          <cell r="BJ76">
            <v>16.511236813942823</v>
          </cell>
          <cell r="BK76">
            <v>14.586624539231174</v>
          </cell>
          <cell r="BL76">
            <v>15.441064057483564</v>
          </cell>
          <cell r="BM76">
            <v>14.829536768078276</v>
          </cell>
          <cell r="BN76">
            <v>13.58609794628752</v>
          </cell>
          <cell r="BO76">
            <v>20.384242980176325</v>
          </cell>
          <cell r="BP76">
            <v>18.904686677198526</v>
          </cell>
          <cell r="BQ76">
            <v>17.122764103348111</v>
          </cell>
          <cell r="BR76">
            <v>18.702542934311776</v>
          </cell>
          <cell r="BS76">
            <v>13.371699390656735</v>
          </cell>
          <cell r="BT76">
            <v>18.549661111960454</v>
          </cell>
          <cell r="BU76">
            <v>19.641916798314902</v>
          </cell>
          <cell r="BV76">
            <v>15.644906487285327</v>
          </cell>
          <cell r="BW76">
            <v>17.798841495523963</v>
          </cell>
          <cell r="BX76">
            <v>18.804464149212659</v>
          </cell>
          <cell r="BY76">
            <v>20.84288844723029</v>
          </cell>
          <cell r="BZ76">
            <v>20.695102685624011</v>
          </cell>
          <cell r="CA76">
            <v>18.24389746725781</v>
          </cell>
          <cell r="CB76">
            <v>20.85308056872038</v>
          </cell>
          <cell r="CC76">
            <v>18.447739897059574</v>
          </cell>
          <cell r="CD76">
            <v>20.333282372725883</v>
          </cell>
          <cell r="CE76">
            <v>17.546829158203568</v>
          </cell>
          <cell r="CF76">
            <v>18.549661111960454</v>
          </cell>
          <cell r="CG76">
            <v>21.484992101105846</v>
          </cell>
          <cell r="CH76">
            <v>19.212149008816187</v>
          </cell>
          <cell r="CI76">
            <v>0</v>
          </cell>
          <cell r="CJ76">
            <v>0</v>
          </cell>
          <cell r="CK76">
            <v>0</v>
          </cell>
          <cell r="CL76">
            <v>20.804347826086957</v>
          </cell>
          <cell r="CM76">
            <v>15.677777777777777</v>
          </cell>
          <cell r="CN76">
            <v>20.670329670329672</v>
          </cell>
          <cell r="CO76">
            <v>23.521739130434781</v>
          </cell>
          <cell r="CP76">
            <v>23.337671232876712</v>
          </cell>
          <cell r="CQ76">
            <v>23.653424657534245</v>
          </cell>
        </row>
        <row r="77">
          <cell r="O77">
            <v>527.42680476560531</v>
          </cell>
          <cell r="P77">
            <v>608.09300097764822</v>
          </cell>
          <cell r="Q77">
            <v>597.94754293645849</v>
          </cell>
          <cell r="R77">
            <v>536.14077440011113</v>
          </cell>
          <cell r="S77">
            <v>578.64381400778859</v>
          </cell>
          <cell r="T77">
            <v>581.78750899569513</v>
          </cell>
          <cell r="U77">
            <v>623.22903010632774</v>
          </cell>
          <cell r="V77">
            <v>530.18458656098221</v>
          </cell>
          <cell r="W77">
            <v>536.84866953620951</v>
          </cell>
          <cell r="X77">
            <v>558.70560535699963</v>
          </cell>
          <cell r="Y77">
            <v>539.4262426737555</v>
          </cell>
          <cell r="Z77">
            <v>595.3743060689111</v>
          </cell>
          <cell r="AA77">
            <v>561.44270145479743</v>
          </cell>
          <cell r="AB77">
            <v>652.25906069717234</v>
          </cell>
          <cell r="AC77">
            <v>698.80347936228031</v>
          </cell>
          <cell r="AD77">
            <v>650.4805976111295</v>
          </cell>
          <cell r="AE77">
            <v>721.4321678243009</v>
          </cell>
          <cell r="AF77">
            <v>696.47908451177852</v>
          </cell>
          <cell r="AG77">
            <v>732.2686126267904</v>
          </cell>
          <cell r="AH77">
            <v>722.82878957300352</v>
          </cell>
          <cell r="AI77">
            <v>511.66814165396687</v>
          </cell>
          <cell r="AJ77">
            <v>637.06494579131015</v>
          </cell>
          <cell r="AK77">
            <v>632.35676241206625</v>
          </cell>
          <cell r="AL77">
            <v>642.66181826460138</v>
          </cell>
          <cell r="AM77">
            <v>720.05497104159576</v>
          </cell>
          <cell r="AN77">
            <v>690.38093559481956</v>
          </cell>
          <cell r="AO77">
            <v>684.30490362578462</v>
          </cell>
          <cell r="AP77">
            <v>608.43325345304368</v>
          </cell>
          <cell r="AQ77">
            <v>678.18565600151521</v>
          </cell>
          <cell r="AR77">
            <v>699.29363908986295</v>
          </cell>
          <cell r="AS77">
            <v>822.94392406325574</v>
          </cell>
          <cell r="AT77">
            <v>781.22319782314378</v>
          </cell>
          <cell r="AU77">
            <v>647.69127396056183</v>
          </cell>
          <cell r="AV77">
            <v>801.71253401010836</v>
          </cell>
          <cell r="AW77">
            <v>791.69744275668518</v>
          </cell>
          <cell r="AX77">
            <v>843.39067485004989</v>
          </cell>
          <cell r="AY77">
            <v>873.27735423795934</v>
          </cell>
          <cell r="AZ77">
            <v>896.21926020058197</v>
          </cell>
          <cell r="BA77">
            <v>857.45934632488718</v>
          </cell>
          <cell r="BB77">
            <v>865.09251761231826</v>
          </cell>
          <cell r="BC77">
            <v>858.01409600962586</v>
          </cell>
          <cell r="BD77">
            <v>862.62890304991856</v>
          </cell>
          <cell r="BE77">
            <v>867.99028695408208</v>
          </cell>
          <cell r="BF77">
            <v>719.9797725457006</v>
          </cell>
          <cell r="BG77">
            <v>768.82548830444227</v>
          </cell>
          <cell r="BH77">
            <v>826.75184406773337</v>
          </cell>
          <cell r="BI77">
            <v>770.43864135875901</v>
          </cell>
          <cell r="BJ77">
            <v>767.69785806238326</v>
          </cell>
          <cell r="BK77">
            <v>756.80739823777935</v>
          </cell>
          <cell r="BL77">
            <v>700.37522707382539</v>
          </cell>
          <cell r="BM77">
            <v>778.92327267945211</v>
          </cell>
          <cell r="BN77">
            <v>792.87174214214656</v>
          </cell>
          <cell r="BO77">
            <v>818.6383725161769</v>
          </cell>
          <cell r="BP77">
            <v>877.38009214701083</v>
          </cell>
          <cell r="BQ77">
            <v>753.29690709660088</v>
          </cell>
          <cell r="BR77">
            <v>732.87982143115119</v>
          </cell>
          <cell r="BS77">
            <v>669.96805591972691</v>
          </cell>
          <cell r="BT77">
            <v>780.81170040116785</v>
          </cell>
          <cell r="BU77">
            <v>800.29889237433667</v>
          </cell>
          <cell r="BV77">
            <v>734.78052221761936</v>
          </cell>
          <cell r="BW77">
            <v>817.0919619426038</v>
          </cell>
          <cell r="BX77">
            <v>882.91588079180008</v>
          </cell>
          <cell r="BY77">
            <v>829.06759380982771</v>
          </cell>
          <cell r="BZ77">
            <v>812.73859577710061</v>
          </cell>
          <cell r="CA77">
            <v>849.62656230164009</v>
          </cell>
          <cell r="CB77">
            <v>887.87491589494198</v>
          </cell>
          <cell r="CC77">
            <v>743.15920709478121</v>
          </cell>
          <cell r="CD77">
            <v>815.2005796672122</v>
          </cell>
          <cell r="CE77">
            <v>752.38549232438254</v>
          </cell>
          <cell r="CF77">
            <v>786.2572751764169</v>
          </cell>
          <cell r="CG77">
            <v>854.89991002588533</v>
          </cell>
          <cell r="CH77">
            <v>914.86418136591078</v>
          </cell>
          <cell r="CI77">
            <v>0</v>
          </cell>
          <cell r="CJ77">
            <v>0</v>
          </cell>
          <cell r="CK77">
            <v>0</v>
          </cell>
          <cell r="CL77">
            <v>896.20652173913049</v>
          </cell>
          <cell r="CM77">
            <v>676.76666666666677</v>
          </cell>
          <cell r="CN77">
            <v>892.4065934065934</v>
          </cell>
          <cell r="CO77">
            <v>1015.1195652173913</v>
          </cell>
          <cell r="CP77">
            <v>1007.0171232876712</v>
          </cell>
          <cell r="CQ77">
            <v>1068.9931506849316</v>
          </cell>
        </row>
        <row r="80">
          <cell r="N80" t="str">
            <v>KIG</v>
          </cell>
        </row>
        <row r="81">
          <cell r="N81" t="str">
            <v>LOX</v>
          </cell>
          <cell r="O81">
            <v>221.57654999999997</v>
          </cell>
          <cell r="P81">
            <v>205.31561199999999</v>
          </cell>
          <cell r="Q81">
            <v>197.30257866666665</v>
          </cell>
          <cell r="R81">
            <v>230.09548933333332</v>
          </cell>
          <cell r="S81">
            <v>287.7548409333333</v>
          </cell>
          <cell r="T81">
            <v>325.03794333333332</v>
          </cell>
          <cell r="U81">
            <v>262.46547933333329</v>
          </cell>
          <cell r="V81">
            <v>168.78078606666665</v>
          </cell>
          <cell r="W81">
            <v>154.27982233333333</v>
          </cell>
          <cell r="X81">
            <v>184.57133426666667</v>
          </cell>
          <cell r="Y81">
            <v>185.94436086666667</v>
          </cell>
          <cell r="Z81">
            <v>193.82534093333334</v>
          </cell>
          <cell r="AA81">
            <v>209.57036139999997</v>
          </cell>
          <cell r="AB81">
            <v>185.77115753333334</v>
          </cell>
          <cell r="AC81">
            <v>206.79297933333334</v>
          </cell>
          <cell r="AD81">
            <v>223.70847366666663</v>
          </cell>
          <cell r="AE81">
            <v>181.90244219999997</v>
          </cell>
          <cell r="AF81">
            <v>196.72092000000001</v>
          </cell>
          <cell r="AG81">
            <v>185.28314286666665</v>
          </cell>
          <cell r="AH81">
            <v>171.64705379999998</v>
          </cell>
          <cell r="AI81">
            <v>151.22322126666666</v>
          </cell>
          <cell r="AJ81">
            <v>200.46131259999999</v>
          </cell>
          <cell r="AK81">
            <v>198.23205246666666</v>
          </cell>
          <cell r="AL81">
            <v>227.10093693333332</v>
          </cell>
          <cell r="AM81">
            <v>223.03541693333329</v>
          </cell>
          <cell r="AN81">
            <v>212.22752893333333</v>
          </cell>
          <cell r="AO81">
            <v>230.22780906666665</v>
          </cell>
          <cell r="AP81">
            <v>235.78630373333331</v>
          </cell>
          <cell r="AQ81">
            <v>271.71701166666668</v>
          </cell>
          <cell r="AR81">
            <v>326.19044973333331</v>
          </cell>
          <cell r="AS81">
            <v>293.15760486666665</v>
          </cell>
          <cell r="AT81">
            <v>244.21832090322579</v>
          </cell>
          <cell r="AU81">
            <v>231.28670034482758</v>
          </cell>
          <cell r="AV81">
            <v>251.78815999999998</v>
          </cell>
          <cell r="AW81">
            <v>255.23699999999999</v>
          </cell>
          <cell r="AX81">
            <v>252.53900658064512</v>
          </cell>
          <cell r="AY81">
            <v>272.20140999999995</v>
          </cell>
          <cell r="AZ81">
            <v>276.80013348387098</v>
          </cell>
          <cell r="BA81">
            <v>285.83515858064516</v>
          </cell>
          <cell r="BB81">
            <v>259.14503819999999</v>
          </cell>
          <cell r="BC81">
            <v>302.15109677419349</v>
          </cell>
          <cell r="BD81">
            <v>305.34982526666658</v>
          </cell>
          <cell r="BE81">
            <v>283.57013051612904</v>
          </cell>
          <cell r="BF81">
            <v>233.3205464516129</v>
          </cell>
          <cell r="BG81">
            <v>265.68919578571428</v>
          </cell>
          <cell r="BH81">
            <v>327.07101032258061</v>
          </cell>
          <cell r="BI81">
            <v>278.73338353333332</v>
          </cell>
          <cell r="BJ81">
            <v>285.93477045161285</v>
          </cell>
          <cell r="BK81">
            <v>301.7205873333333</v>
          </cell>
          <cell r="BL81">
            <v>268.06689109677416</v>
          </cell>
          <cell r="BM81">
            <v>261.8236876129032</v>
          </cell>
          <cell r="BN81">
            <v>278</v>
          </cell>
          <cell r="BO81">
            <v>312</v>
          </cell>
          <cell r="BP81">
            <v>312</v>
          </cell>
          <cell r="BQ81">
            <v>257</v>
          </cell>
          <cell r="BR81">
            <v>253</v>
          </cell>
          <cell r="BS81">
            <v>292</v>
          </cell>
          <cell r="BT81">
            <v>290.16590808064512</v>
          </cell>
          <cell r="BU81">
            <v>256.42445896774194</v>
          </cell>
          <cell r="BV81">
            <v>248.52706479999998</v>
          </cell>
          <cell r="BW81">
            <v>245.0656480645161</v>
          </cell>
          <cell r="BX81">
            <v>252.9444534193548</v>
          </cell>
          <cell r="BY81">
            <v>228.89939659999996</v>
          </cell>
          <cell r="BZ81">
            <v>248.49680548387093</v>
          </cell>
          <cell r="CA81">
            <v>263.55410986666664</v>
          </cell>
          <cell r="CB81">
            <v>251.88010941935482</v>
          </cell>
          <cell r="CC81">
            <v>264.9565251612903</v>
          </cell>
          <cell r="CD81">
            <v>255.86595650000001</v>
          </cell>
          <cell r="CE81">
            <v>280.66875058064517</v>
          </cell>
          <cell r="CF81">
            <v>298.5360822666666</v>
          </cell>
          <cell r="CG81">
            <v>259.13707735483865</v>
          </cell>
          <cell r="CH81">
            <v>281.97929013333334</v>
          </cell>
          <cell r="CI81">
            <v>0</v>
          </cell>
          <cell r="CJ81">
            <v>0</v>
          </cell>
          <cell r="CK81">
            <v>0</v>
          </cell>
          <cell r="CL81">
            <v>273.55434782608694</v>
          </cell>
          <cell r="CM81">
            <v>270.15555555555557</v>
          </cell>
          <cell r="CN81">
            <v>287.27472527472526</v>
          </cell>
          <cell r="CO81">
            <v>265.47826086956519</v>
          </cell>
          <cell r="CP81">
            <v>273.00821917808219</v>
          </cell>
          <cell r="CQ81">
            <v>297.44931506849315</v>
          </cell>
        </row>
        <row r="82">
          <cell r="N82" t="str">
            <v>LIN</v>
          </cell>
          <cell r="O82">
            <v>265.4034906666667</v>
          </cell>
          <cell r="P82">
            <v>327.32914933333336</v>
          </cell>
          <cell r="Q82">
            <v>266.19640800000002</v>
          </cell>
          <cell r="R82">
            <v>252.50808000000001</v>
          </cell>
          <cell r="S82">
            <v>257.41148186666669</v>
          </cell>
          <cell r="T82">
            <v>289.02434720000002</v>
          </cell>
          <cell r="U82">
            <v>306.26919493333332</v>
          </cell>
          <cell r="V82">
            <v>260.6649208</v>
          </cell>
          <cell r="W82">
            <v>270.88811386666669</v>
          </cell>
          <cell r="X82">
            <v>289.27067946666665</v>
          </cell>
          <cell r="Y82">
            <v>288.21597013333331</v>
          </cell>
          <cell r="Z82">
            <v>343.17806933333333</v>
          </cell>
          <cell r="AA82">
            <v>298.61929333333336</v>
          </cell>
          <cell r="AB82">
            <v>273.81560560000003</v>
          </cell>
          <cell r="AC82">
            <v>279.36947440000006</v>
          </cell>
          <cell r="AD82">
            <v>290.27696266666669</v>
          </cell>
          <cell r="AE82">
            <v>273.0397370666667</v>
          </cell>
          <cell r="AF82">
            <v>271.57766106666668</v>
          </cell>
          <cell r="AG82">
            <v>271.21960933333338</v>
          </cell>
          <cell r="AH82">
            <v>280.24456533333336</v>
          </cell>
          <cell r="AI82">
            <v>304.83332506666665</v>
          </cell>
          <cell r="AJ82">
            <v>327.71814746666672</v>
          </cell>
          <cell r="AK82">
            <v>336.58616293333336</v>
          </cell>
          <cell r="AL82">
            <v>348.53424746666673</v>
          </cell>
          <cell r="AM82">
            <v>403.27797120000002</v>
          </cell>
          <cell r="AN82">
            <v>388.67412533333334</v>
          </cell>
          <cell r="AO82">
            <v>405.36568160000002</v>
          </cell>
          <cell r="AP82">
            <v>417.71192160000004</v>
          </cell>
          <cell r="AQ82">
            <v>449.63880266666666</v>
          </cell>
          <cell r="AR82">
            <v>436.94679253333339</v>
          </cell>
          <cell r="AS82">
            <v>453.71998373333338</v>
          </cell>
          <cell r="AT82">
            <v>304.1267690322581</v>
          </cell>
          <cell r="AU82">
            <v>300.72890703448275</v>
          </cell>
          <cell r="AV82">
            <v>315.35379870967739</v>
          </cell>
          <cell r="AW82">
            <v>312.07653333299999</v>
          </cell>
          <cell r="AX82">
            <v>356.22585316129033</v>
          </cell>
          <cell r="AY82">
            <v>333.8005021333334</v>
          </cell>
          <cell r="AZ82">
            <v>321.3173860645162</v>
          </cell>
          <cell r="BA82">
            <v>376.56042425806459</v>
          </cell>
          <cell r="BB82">
            <v>352.93733573333338</v>
          </cell>
          <cell r="BC82">
            <v>355.49393548387098</v>
          </cell>
          <cell r="BD82">
            <v>367.32280613333336</v>
          </cell>
          <cell r="BE82">
            <v>342.05215174193552</v>
          </cell>
          <cell r="BF82">
            <v>353.81136670967749</v>
          </cell>
          <cell r="BG82">
            <v>390.40387057142857</v>
          </cell>
          <cell r="BH82">
            <v>417.51382606451614</v>
          </cell>
          <cell r="BI82">
            <v>367.55785333333341</v>
          </cell>
          <cell r="BJ82">
            <v>342.63211329032265</v>
          </cell>
          <cell r="BK82">
            <v>354.83112613333338</v>
          </cell>
          <cell r="BL82">
            <v>330.55616232258063</v>
          </cell>
          <cell r="BM82">
            <v>348.94921367741938</v>
          </cell>
          <cell r="BN82">
            <v>371</v>
          </cell>
          <cell r="BO82">
            <v>332</v>
          </cell>
          <cell r="BP82">
            <v>311</v>
          </cell>
          <cell r="BQ82">
            <v>291</v>
          </cell>
          <cell r="BR82">
            <v>285</v>
          </cell>
          <cell r="BS82">
            <v>324</v>
          </cell>
          <cell r="BT82">
            <v>352.07243646021504</v>
          </cell>
          <cell r="BU82">
            <v>347.61590941935486</v>
          </cell>
          <cell r="BV82">
            <v>374.29191386666673</v>
          </cell>
          <cell r="BW82">
            <v>383.71091148387097</v>
          </cell>
          <cell r="BX82">
            <v>354.08944903225813</v>
          </cell>
          <cell r="BY82">
            <v>384.92250053333333</v>
          </cell>
          <cell r="BZ82">
            <v>398.38953470967743</v>
          </cell>
          <cell r="CA82">
            <v>363.79246560000001</v>
          </cell>
          <cell r="CB82">
            <v>349.74582348387099</v>
          </cell>
          <cell r="CC82">
            <v>371.56138038709685</v>
          </cell>
          <cell r="CD82">
            <v>363.18330285714285</v>
          </cell>
          <cell r="CE82">
            <v>340.4034407741936</v>
          </cell>
          <cell r="CF82">
            <v>347.89627760000002</v>
          </cell>
          <cell r="CG82">
            <v>361.3421091612903</v>
          </cell>
          <cell r="CH82">
            <v>372.12760506666672</v>
          </cell>
          <cell r="CI82">
            <v>0</v>
          </cell>
          <cell r="CJ82">
            <v>0</v>
          </cell>
          <cell r="CK82">
            <v>0</v>
          </cell>
          <cell r="CL82">
            <v>342.04347826086956</v>
          </cell>
          <cell r="CM82">
            <v>342.33333333333331</v>
          </cell>
          <cell r="CN82">
            <v>368.13186813186815</v>
          </cell>
          <cell r="CO82">
            <v>364.8478260869565</v>
          </cell>
          <cell r="CP82">
            <v>397.21917808219177</v>
          </cell>
          <cell r="CQ82">
            <v>433.36438356164382</v>
          </cell>
        </row>
        <row r="83">
          <cell r="N83" t="str">
            <v>LAR</v>
          </cell>
          <cell r="O83">
            <v>41.447786333333333</v>
          </cell>
          <cell r="P83">
            <v>39.292351000000004</v>
          </cell>
          <cell r="Q83">
            <v>32.30134833333333</v>
          </cell>
          <cell r="R83">
            <v>30.493234333333337</v>
          </cell>
          <cell r="S83">
            <v>41.395873866666662</v>
          </cell>
          <cell r="T83">
            <v>40.642725200000001</v>
          </cell>
          <cell r="U83">
            <v>41.202246866666663</v>
          </cell>
          <cell r="V83">
            <v>19.895754666666669</v>
          </cell>
          <cell r="W83">
            <v>25.280814066666665</v>
          </cell>
          <cell r="X83">
            <v>23.879548933333332</v>
          </cell>
          <cell r="Y83">
            <v>26.488730799999999</v>
          </cell>
          <cell r="Z83">
            <v>21.767343033333329</v>
          </cell>
          <cell r="AA83">
            <v>23.565148833333335</v>
          </cell>
          <cell r="AB83">
            <v>24.263877633333333</v>
          </cell>
          <cell r="AC83">
            <v>19.453709333333332</v>
          </cell>
          <cell r="AD83">
            <v>24.556500500000002</v>
          </cell>
          <cell r="AE83">
            <v>25.870053066666667</v>
          </cell>
          <cell r="AF83">
            <v>28.651502600000004</v>
          </cell>
          <cell r="AG83">
            <v>31.716427633333335</v>
          </cell>
          <cell r="AH83">
            <v>26.623573199999999</v>
          </cell>
          <cell r="AI83">
            <v>24.891191966666668</v>
          </cell>
          <cell r="AJ83">
            <v>35.602247566666662</v>
          </cell>
          <cell r="AK83">
            <v>33.048182066666669</v>
          </cell>
          <cell r="AL83">
            <v>30.401017733333337</v>
          </cell>
          <cell r="AM83">
            <v>37.32952113333333</v>
          </cell>
          <cell r="AN83">
            <v>37.199229199999998</v>
          </cell>
          <cell r="AO83">
            <v>37.308208233333332</v>
          </cell>
          <cell r="AP83">
            <v>35.696321499999996</v>
          </cell>
          <cell r="AQ83">
            <v>42.1654135</v>
          </cell>
          <cell r="AR83">
            <v>49.968256566666668</v>
          </cell>
          <cell r="AS83">
            <v>45.555418299999999</v>
          </cell>
          <cell r="AT83">
            <v>34.821090612903227</v>
          </cell>
          <cell r="AU83">
            <v>36.33073693103448</v>
          </cell>
          <cell r="AV83">
            <v>37.788674903225811</v>
          </cell>
          <cell r="AW83">
            <v>40.071966666599998</v>
          </cell>
          <cell r="AX83">
            <v>39.196368806451609</v>
          </cell>
          <cell r="AY83">
            <v>43.287892900000003</v>
          </cell>
          <cell r="AZ83">
            <v>35.651228741935483</v>
          </cell>
          <cell r="BA83">
            <v>43.430594516129034</v>
          </cell>
          <cell r="BB83">
            <v>45.566376566666669</v>
          </cell>
          <cell r="BC83">
            <v>47.362000000000002</v>
          </cell>
          <cell r="BD83">
            <v>52.28969106666667</v>
          </cell>
          <cell r="BE83">
            <v>43.788730322580641</v>
          </cell>
          <cell r="BF83">
            <v>41.52708248387097</v>
          </cell>
          <cell r="BG83">
            <v>52.392769750000006</v>
          </cell>
          <cell r="BH83">
            <v>44.166997225806455</v>
          </cell>
          <cell r="BI83">
            <v>40.080928299999997</v>
          </cell>
          <cell r="BJ83">
            <v>51.193424032258072</v>
          </cell>
          <cell r="BK83">
            <v>52.522322066666668</v>
          </cell>
          <cell r="BL83">
            <v>38.904557774193549</v>
          </cell>
          <cell r="BM83">
            <v>36.787692064516129</v>
          </cell>
          <cell r="BN83">
            <v>49</v>
          </cell>
          <cell r="BO83">
            <v>45</v>
          </cell>
          <cell r="BP83">
            <v>41</v>
          </cell>
          <cell r="BQ83">
            <v>31</v>
          </cell>
          <cell r="BR83">
            <v>33</v>
          </cell>
          <cell r="BS83">
            <v>42</v>
          </cell>
          <cell r="BT83">
            <v>40.415034856451619</v>
          </cell>
          <cell r="BU83">
            <v>44.802924193548392</v>
          </cell>
          <cell r="BV83">
            <v>40.704899433333331</v>
          </cell>
          <cell r="BW83">
            <v>37.78445096774194</v>
          </cell>
          <cell r="BX83">
            <v>42.42197264516129</v>
          </cell>
          <cell r="BY83">
            <v>51.116877933333328</v>
          </cell>
          <cell r="BZ83">
            <v>45.427302741935485</v>
          </cell>
          <cell r="CA83">
            <v>46.794352500000002</v>
          </cell>
          <cell r="CB83">
            <v>50.028112129032266</v>
          </cell>
          <cell r="CC83">
            <v>51.38862377419354</v>
          </cell>
          <cell r="CD83">
            <v>58.343317500000005</v>
          </cell>
          <cell r="CE83">
            <v>53.685186483870972</v>
          </cell>
          <cell r="CF83">
            <v>55.827771766666665</v>
          </cell>
          <cell r="CG83">
            <v>50.061184645161298</v>
          </cell>
          <cell r="CH83">
            <v>66.540127500000011</v>
          </cell>
          <cell r="CI83">
            <v>0</v>
          </cell>
          <cell r="CJ83">
            <v>0</v>
          </cell>
          <cell r="CK83">
            <v>0</v>
          </cell>
          <cell r="CL83">
            <v>43.641304347826086</v>
          </cell>
          <cell r="CM83">
            <v>43.766666666666666</v>
          </cell>
          <cell r="CN83">
            <v>50.230769230769234</v>
          </cell>
          <cell r="CO83">
            <v>50.815217391304351</v>
          </cell>
          <cell r="CP83">
            <v>50.558904109589044</v>
          </cell>
          <cell r="CQ83">
            <v>55.523287671232879</v>
          </cell>
        </row>
        <row r="84">
          <cell r="O84">
            <v>528.42782699999998</v>
          </cell>
          <cell r="P84">
            <v>571.9371123333334</v>
          </cell>
          <cell r="Q84">
            <v>495.80033500000002</v>
          </cell>
          <cell r="R84">
            <v>513.09680366666669</v>
          </cell>
          <cell r="S84">
            <v>586.56219666666664</v>
          </cell>
          <cell r="T84">
            <v>654.70501573333331</v>
          </cell>
          <cell r="U84">
            <v>609.93692113333327</v>
          </cell>
          <cell r="V84">
            <v>449.34146153333336</v>
          </cell>
          <cell r="W84">
            <v>450.44875026666665</v>
          </cell>
          <cell r="X84">
            <v>497.72156266666667</v>
          </cell>
          <cell r="Y84">
            <v>500.64906179999997</v>
          </cell>
          <cell r="Z84">
            <v>558.77075329999991</v>
          </cell>
          <cell r="AA84">
            <v>531.75480356666662</v>
          </cell>
          <cell r="AB84">
            <v>483.85064076666669</v>
          </cell>
          <cell r="AC84">
            <v>505.61616306666673</v>
          </cell>
          <cell r="AD84">
            <v>538.54193683333335</v>
          </cell>
          <cell r="AE84">
            <v>480.81223233333338</v>
          </cell>
          <cell r="AF84">
            <v>496.95008366666667</v>
          </cell>
          <cell r="AG84">
            <v>488.21917983333338</v>
          </cell>
          <cell r="AH84">
            <v>478.51519233333335</v>
          </cell>
          <cell r="AI84">
            <v>480.94773829999997</v>
          </cell>
          <cell r="AJ84">
            <v>563.78170763333333</v>
          </cell>
          <cell r="AK84">
            <v>567.86639746666663</v>
          </cell>
          <cell r="AL84">
            <v>606.0362021333334</v>
          </cell>
          <cell r="AM84">
            <v>663.64290926666661</v>
          </cell>
          <cell r="AN84">
            <v>638.10088346666669</v>
          </cell>
          <cell r="AO84">
            <v>672.90169889999993</v>
          </cell>
          <cell r="AP84">
            <v>689.19454683333333</v>
          </cell>
          <cell r="AQ84">
            <v>763.52122783333334</v>
          </cell>
          <cell r="AR84">
            <v>813.1054988333334</v>
          </cell>
          <cell r="AS84">
            <v>792.43300690000012</v>
          </cell>
          <cell r="AT84">
            <v>583.16618054838716</v>
          </cell>
          <cell r="AU84">
            <v>568.34634431034476</v>
          </cell>
          <cell r="AV84">
            <v>604.93063361290319</v>
          </cell>
          <cell r="AW84">
            <v>607.38549999960003</v>
          </cell>
          <cell r="AX84">
            <v>647.961228548387</v>
          </cell>
          <cell r="AY84">
            <v>649.28980503333332</v>
          </cell>
          <cell r="AZ84">
            <v>633.76874829032272</v>
          </cell>
          <cell r="BA84">
            <v>705.82617735483882</v>
          </cell>
          <cell r="BB84">
            <v>657.64875050000012</v>
          </cell>
          <cell r="BC84">
            <v>705.00703225806444</v>
          </cell>
          <cell r="BD84">
            <v>724.96232246666671</v>
          </cell>
          <cell r="BE84">
            <v>669.41101258064521</v>
          </cell>
          <cell r="BF84">
            <v>628.65899564516144</v>
          </cell>
          <cell r="BG84">
            <v>708.48583610714275</v>
          </cell>
          <cell r="BH84">
            <v>788.75183361290317</v>
          </cell>
          <cell r="BI84">
            <v>686.37216516666672</v>
          </cell>
          <cell r="BJ84">
            <v>679.76030777419362</v>
          </cell>
          <cell r="BK84">
            <v>709.07403553333336</v>
          </cell>
          <cell r="BL84">
            <v>637.52761119354841</v>
          </cell>
          <cell r="BM84">
            <v>647.56059335483872</v>
          </cell>
          <cell r="BN84">
            <v>698</v>
          </cell>
          <cell r="BO84">
            <v>689</v>
          </cell>
          <cell r="BP84">
            <v>664</v>
          </cell>
          <cell r="BQ84">
            <v>579</v>
          </cell>
          <cell r="BR84">
            <v>571</v>
          </cell>
          <cell r="BS84">
            <v>658</v>
          </cell>
          <cell r="BT84">
            <v>682.65337939731182</v>
          </cell>
          <cell r="BU84">
            <v>648.8432925806452</v>
          </cell>
          <cell r="BV84">
            <v>663.52387810000005</v>
          </cell>
          <cell r="BW84">
            <v>666.56101051612893</v>
          </cell>
          <cell r="BX84">
            <v>649.45587509677421</v>
          </cell>
          <cell r="BY84">
            <v>664.93877506666661</v>
          </cell>
          <cell r="BZ84">
            <v>692.31364293548381</v>
          </cell>
          <cell r="CA84">
            <v>674.1409279666666</v>
          </cell>
          <cell r="CB84">
            <v>651.65404503225807</v>
          </cell>
          <cell r="CC84">
            <v>687.9065293225807</v>
          </cell>
          <cell r="CD84">
            <v>677.3925768571429</v>
          </cell>
          <cell r="CE84">
            <v>674.75737783870977</v>
          </cell>
          <cell r="CF84">
            <v>702.26013163333323</v>
          </cell>
          <cell r="CG84">
            <v>670.5403711612903</v>
          </cell>
          <cell r="CH84">
            <v>720.64702270000009</v>
          </cell>
          <cell r="CI84">
            <v>0</v>
          </cell>
          <cell r="CJ84">
            <v>0</v>
          </cell>
          <cell r="CK84">
            <v>0</v>
          </cell>
          <cell r="CL84">
            <v>659.23913043478262</v>
          </cell>
          <cell r="CM84">
            <v>656.25555555555547</v>
          </cell>
          <cell r="CN84">
            <v>705.63736263736268</v>
          </cell>
          <cell r="CO84">
            <v>681.14130434782612</v>
          </cell>
          <cell r="CP84">
            <v>720.78630136986305</v>
          </cell>
          <cell r="CQ84">
            <v>786.33698630136985</v>
          </cell>
        </row>
        <row r="87">
          <cell r="N87" t="str">
            <v>BIG</v>
          </cell>
        </row>
        <row r="88">
          <cell r="N88" t="str">
            <v>LOX</v>
          </cell>
          <cell r="O88">
            <v>3300</v>
          </cell>
          <cell r="P88">
            <v>3800</v>
          </cell>
          <cell r="Q88">
            <v>3120</v>
          </cell>
          <cell r="R88">
            <v>3070</v>
          </cell>
          <cell r="S88">
            <v>2580</v>
          </cell>
          <cell r="T88">
            <v>2300</v>
          </cell>
          <cell r="U88">
            <v>2480</v>
          </cell>
          <cell r="V88">
            <v>2340</v>
          </cell>
          <cell r="W88">
            <v>2450</v>
          </cell>
          <cell r="X88">
            <v>2690</v>
          </cell>
          <cell r="Y88">
            <v>2490</v>
          </cell>
          <cell r="Z88">
            <v>3360</v>
          </cell>
          <cell r="AA88">
            <v>3640</v>
          </cell>
          <cell r="AB88">
            <v>3800</v>
          </cell>
          <cell r="AC88">
            <v>3160</v>
          </cell>
          <cell r="AD88">
            <v>3220</v>
          </cell>
          <cell r="AE88">
            <v>3270</v>
          </cell>
          <cell r="AF88">
            <v>3410</v>
          </cell>
          <cell r="AG88">
            <v>3000</v>
          </cell>
          <cell r="AH88">
            <v>2980</v>
          </cell>
          <cell r="AI88">
            <v>2780</v>
          </cell>
          <cell r="AJ88">
            <v>3300</v>
          </cell>
          <cell r="AK88">
            <v>2420</v>
          </cell>
          <cell r="AL88">
            <v>2440</v>
          </cell>
          <cell r="AM88">
            <v>2590</v>
          </cell>
          <cell r="AN88">
            <v>2240</v>
          </cell>
          <cell r="AO88">
            <v>2570</v>
          </cell>
          <cell r="AP88">
            <v>3140</v>
          </cell>
          <cell r="AQ88">
            <v>2640</v>
          </cell>
          <cell r="AR88">
            <v>2350</v>
          </cell>
          <cell r="AS88">
            <v>2620</v>
          </cell>
          <cell r="AT88">
            <v>2650</v>
          </cell>
          <cell r="AU88">
            <v>2610</v>
          </cell>
          <cell r="AV88">
            <v>2730</v>
          </cell>
          <cell r="AW88">
            <v>2400</v>
          </cell>
          <cell r="AX88">
            <v>3100</v>
          </cell>
          <cell r="AY88">
            <v>2690</v>
          </cell>
          <cell r="AZ88">
            <v>2600</v>
          </cell>
          <cell r="BA88">
            <v>2790</v>
          </cell>
          <cell r="BB88">
            <v>2913.4720000000002</v>
          </cell>
          <cell r="BC88">
            <v>2890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CL88">
            <v>13153</v>
          </cell>
          <cell r="CM88">
            <v>13991</v>
          </cell>
          <cell r="CN88">
            <v>13991</v>
          </cell>
          <cell r="CO88">
            <v>13991</v>
          </cell>
          <cell r="CP88">
            <v>62950</v>
          </cell>
          <cell r="CQ88">
            <v>65661</v>
          </cell>
        </row>
        <row r="89">
          <cell r="N89" t="str">
            <v>LIN</v>
          </cell>
          <cell r="O89">
            <v>2920</v>
          </cell>
          <cell r="P89">
            <v>2990</v>
          </cell>
          <cell r="Q89">
            <v>2810</v>
          </cell>
          <cell r="R89">
            <v>2830</v>
          </cell>
          <cell r="S89">
            <v>3590</v>
          </cell>
          <cell r="T89">
            <v>2930</v>
          </cell>
          <cell r="U89">
            <v>2770</v>
          </cell>
          <cell r="V89">
            <v>2690</v>
          </cell>
          <cell r="W89">
            <v>2620</v>
          </cell>
          <cell r="X89">
            <v>2820</v>
          </cell>
          <cell r="Y89">
            <v>2920</v>
          </cell>
          <cell r="Z89">
            <v>3740</v>
          </cell>
          <cell r="AA89">
            <v>3670</v>
          </cell>
          <cell r="AB89">
            <v>5100</v>
          </cell>
          <cell r="AC89">
            <v>3750</v>
          </cell>
          <cell r="AD89">
            <v>3780</v>
          </cell>
          <cell r="AE89">
            <v>4620</v>
          </cell>
          <cell r="AF89">
            <v>4390</v>
          </cell>
          <cell r="AG89">
            <v>3710</v>
          </cell>
          <cell r="AH89">
            <v>3380</v>
          </cell>
          <cell r="AI89">
            <v>2740</v>
          </cell>
          <cell r="AJ89">
            <v>3150</v>
          </cell>
          <cell r="AK89">
            <v>3020</v>
          </cell>
          <cell r="AL89">
            <v>3220</v>
          </cell>
          <cell r="AM89">
            <v>3690</v>
          </cell>
          <cell r="AN89">
            <v>3900</v>
          </cell>
          <cell r="AO89">
            <v>3560</v>
          </cell>
          <cell r="AP89">
            <v>4450</v>
          </cell>
          <cell r="AQ89">
            <v>4280</v>
          </cell>
          <cell r="AR89">
            <v>3630</v>
          </cell>
          <cell r="AS89">
            <v>3130</v>
          </cell>
          <cell r="AT89">
            <v>3450</v>
          </cell>
          <cell r="AU89">
            <v>3230</v>
          </cell>
          <cell r="AV89">
            <v>4220</v>
          </cell>
          <cell r="AW89">
            <v>3800</v>
          </cell>
          <cell r="AX89">
            <v>4380</v>
          </cell>
          <cell r="AY89">
            <v>4450</v>
          </cell>
          <cell r="AZ89">
            <v>4040</v>
          </cell>
          <cell r="BA89">
            <v>4900</v>
          </cell>
          <cell r="BB89">
            <v>4828.3180000000002</v>
          </cell>
          <cell r="BC89">
            <v>5110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CL89">
            <v>19507</v>
          </cell>
          <cell r="CM89">
            <v>19818</v>
          </cell>
          <cell r="CN89">
            <v>19818</v>
          </cell>
          <cell r="CO89">
            <v>19818</v>
          </cell>
          <cell r="CP89">
            <v>86113</v>
          </cell>
          <cell r="CQ89">
            <v>88715</v>
          </cell>
        </row>
        <row r="90">
          <cell r="N90" t="str">
            <v>LAR</v>
          </cell>
          <cell r="O90">
            <v>250</v>
          </cell>
          <cell r="P90">
            <v>300</v>
          </cell>
          <cell r="Q90">
            <v>240</v>
          </cell>
          <cell r="R90">
            <v>220</v>
          </cell>
          <cell r="S90">
            <v>220</v>
          </cell>
          <cell r="T90">
            <v>210</v>
          </cell>
          <cell r="U90">
            <v>180</v>
          </cell>
          <cell r="V90">
            <v>140</v>
          </cell>
          <cell r="W90">
            <v>130</v>
          </cell>
          <cell r="X90">
            <v>170</v>
          </cell>
          <cell r="Y90">
            <v>130</v>
          </cell>
          <cell r="Z90">
            <v>170</v>
          </cell>
          <cell r="AA90">
            <v>170</v>
          </cell>
          <cell r="AB90">
            <v>180</v>
          </cell>
          <cell r="AC90">
            <v>170</v>
          </cell>
          <cell r="AD90">
            <v>180</v>
          </cell>
          <cell r="AE90">
            <v>180</v>
          </cell>
          <cell r="AF90">
            <v>180</v>
          </cell>
          <cell r="AG90">
            <v>150</v>
          </cell>
          <cell r="AH90">
            <v>150</v>
          </cell>
          <cell r="AI90">
            <v>130</v>
          </cell>
          <cell r="AJ90">
            <v>160</v>
          </cell>
          <cell r="AK90">
            <v>140</v>
          </cell>
          <cell r="AL90">
            <v>170</v>
          </cell>
          <cell r="AM90">
            <v>200</v>
          </cell>
          <cell r="AN90">
            <v>190</v>
          </cell>
          <cell r="AO90">
            <v>210</v>
          </cell>
          <cell r="AP90">
            <v>180</v>
          </cell>
          <cell r="AQ90">
            <v>160</v>
          </cell>
          <cell r="AR90">
            <v>190</v>
          </cell>
          <cell r="AS90">
            <v>190</v>
          </cell>
          <cell r="AT90">
            <v>160</v>
          </cell>
          <cell r="AU90">
            <v>190</v>
          </cell>
          <cell r="AV90">
            <v>240</v>
          </cell>
          <cell r="AW90">
            <v>180</v>
          </cell>
          <cell r="AX90">
            <v>240</v>
          </cell>
          <cell r="AY90">
            <v>230</v>
          </cell>
          <cell r="AZ90">
            <v>230</v>
          </cell>
          <cell r="BA90">
            <v>280</v>
          </cell>
          <cell r="BB90">
            <v>231.44399999999999</v>
          </cell>
          <cell r="BC90">
            <v>220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CL90">
            <v>1300</v>
          </cell>
          <cell r="CM90">
            <v>1440</v>
          </cell>
          <cell r="CN90">
            <v>1440</v>
          </cell>
          <cell r="CO90">
            <v>1440</v>
          </cell>
          <cell r="CP90">
            <v>6197</v>
          </cell>
          <cell r="CQ90">
            <v>6664</v>
          </cell>
        </row>
        <row r="91"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</row>
        <row r="92"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</row>
        <row r="93">
          <cell r="N93" t="str">
            <v>LOX</v>
          </cell>
          <cell r="O93">
            <v>157.30000000000001</v>
          </cell>
          <cell r="P93">
            <v>181.13333333333333</v>
          </cell>
          <cell r="Q93">
            <v>148.71999999999997</v>
          </cell>
          <cell r="R93">
            <v>146.33666666666664</v>
          </cell>
          <cell r="S93">
            <v>122.97999999999999</v>
          </cell>
          <cell r="T93">
            <v>109.63333333333334</v>
          </cell>
          <cell r="U93">
            <v>118.21333333333332</v>
          </cell>
          <cell r="V93">
            <v>111.53999999999999</v>
          </cell>
          <cell r="W93">
            <v>116.78333333333333</v>
          </cell>
          <cell r="X93">
            <v>128.22333333333333</v>
          </cell>
          <cell r="Y93">
            <v>118.69</v>
          </cell>
          <cell r="Z93">
            <v>160.16</v>
          </cell>
          <cell r="AA93">
            <v>173.50666666666666</v>
          </cell>
          <cell r="AB93">
            <v>181.13333333333333</v>
          </cell>
          <cell r="AC93">
            <v>150.62666666666667</v>
          </cell>
          <cell r="AD93">
            <v>153.48666666666665</v>
          </cell>
          <cell r="AE93">
            <v>155.86999999999998</v>
          </cell>
          <cell r="AF93">
            <v>162.54333333333335</v>
          </cell>
          <cell r="AG93">
            <v>143</v>
          </cell>
          <cell r="AH93">
            <v>142.04666666666665</v>
          </cell>
          <cell r="AI93">
            <v>132.51333333333332</v>
          </cell>
          <cell r="AJ93">
            <v>157.30000000000001</v>
          </cell>
          <cell r="AK93">
            <v>115.35333333333332</v>
          </cell>
          <cell r="AL93">
            <v>116.30666666666666</v>
          </cell>
          <cell r="AM93">
            <v>123.45666666666666</v>
          </cell>
          <cell r="AN93">
            <v>106.77333333333333</v>
          </cell>
          <cell r="AO93">
            <v>122.50333333333333</v>
          </cell>
          <cell r="AP93">
            <v>149.67333333333332</v>
          </cell>
          <cell r="AQ93">
            <v>125.83999999999999</v>
          </cell>
          <cell r="AR93">
            <v>112.01666666666667</v>
          </cell>
          <cell r="AS93">
            <v>124.88666666666667</v>
          </cell>
          <cell r="AT93">
            <v>122.24193548387096</v>
          </cell>
          <cell r="AU93">
            <v>128.69999999999999</v>
          </cell>
          <cell r="AV93">
            <v>125.93225806451612</v>
          </cell>
          <cell r="AW93">
            <v>114.4</v>
          </cell>
          <cell r="AX93">
            <v>143</v>
          </cell>
          <cell r="AY93">
            <v>128.22333333333333</v>
          </cell>
          <cell r="AZ93">
            <v>119.93548387096774</v>
          </cell>
          <cell r="BA93">
            <v>128.69999999999999</v>
          </cell>
          <cell r="BB93">
            <v>138.87549866666669</v>
          </cell>
          <cell r="BC93">
            <v>133.31290322580642</v>
          </cell>
          <cell r="BD93">
            <v>153.48666666666665</v>
          </cell>
          <cell r="BE93">
            <v>142.53870967741935</v>
          </cell>
          <cell r="BF93">
            <v>137.92580645161289</v>
          </cell>
          <cell r="BG93">
            <v>156.78928571428571</v>
          </cell>
          <cell r="BH93">
            <v>162.5</v>
          </cell>
          <cell r="BI93">
            <v>143.92258064516128</v>
          </cell>
          <cell r="BJ93">
            <v>134.89666666666665</v>
          </cell>
          <cell r="BK93">
            <v>168.83225806451611</v>
          </cell>
          <cell r="BL93">
            <v>187.28387096774193</v>
          </cell>
          <cell r="BM93">
            <v>249</v>
          </cell>
          <cell r="BN93">
            <v>210.80967741935481</v>
          </cell>
          <cell r="BO93">
            <v>216.40666666666667</v>
          </cell>
          <cell r="BP93">
            <v>189.12903225806448</v>
          </cell>
          <cell r="BQ93">
            <v>190.05161290322579</v>
          </cell>
          <cell r="BR93">
            <v>201.22142857142856</v>
          </cell>
          <cell r="BS93">
            <v>189.12903225806448</v>
          </cell>
          <cell r="BT93">
            <v>184.47</v>
          </cell>
          <cell r="BU93">
            <v>213.5774193548387</v>
          </cell>
          <cell r="BV93">
            <v>205.92</v>
          </cell>
          <cell r="BW93">
            <v>192.81935483870967</v>
          </cell>
          <cell r="BX93">
            <v>200.56903225806451</v>
          </cell>
          <cell r="BY93">
            <v>200.2</v>
          </cell>
          <cell r="BZ93">
            <v>234.33548387096775</v>
          </cell>
          <cell r="CA93">
            <v>255.01666666666668</v>
          </cell>
          <cell r="CB93">
            <v>227.41612903225806</v>
          </cell>
          <cell r="CC93">
            <v>237.56451612903226</v>
          </cell>
          <cell r="CD93">
            <v>227.26785714285711</v>
          </cell>
          <cell r="CE93">
            <v>232.02903225806449</v>
          </cell>
          <cell r="CF93">
            <v>202.30820133333333</v>
          </cell>
          <cell r="CG93">
            <v>252.26191774193546</v>
          </cell>
          <cell r="CH93">
            <v>272.69709133333328</v>
          </cell>
          <cell r="CI93">
            <v>0</v>
          </cell>
          <cell r="CJ93">
            <v>0</v>
          </cell>
          <cell r="CK93">
            <v>0</v>
          </cell>
          <cell r="CL93">
            <v>245.44565217391303</v>
          </cell>
          <cell r="CM93">
            <v>210.03333333333333</v>
          </cell>
          <cell r="CN93">
            <v>207.72527472527472</v>
          </cell>
          <cell r="CO93">
            <v>205.46739130434781</v>
          </cell>
          <cell r="CP93">
            <v>206.40547945205481</v>
          </cell>
          <cell r="CQ93">
            <v>243.74246575342465</v>
          </cell>
        </row>
        <row r="94">
          <cell r="N94" t="str">
            <v>LIN</v>
          </cell>
          <cell r="O94">
            <v>121.66666666666667</v>
          </cell>
          <cell r="P94">
            <v>124.58333333333333</v>
          </cell>
          <cell r="Q94">
            <v>117.08333333333333</v>
          </cell>
          <cell r="R94">
            <v>117.91666666666667</v>
          </cell>
          <cell r="S94">
            <v>149.58333333333334</v>
          </cell>
          <cell r="T94">
            <v>122.08333333333333</v>
          </cell>
          <cell r="U94">
            <v>115.41666666666667</v>
          </cell>
          <cell r="V94">
            <v>112.08333333333333</v>
          </cell>
          <cell r="W94">
            <v>109.16666666666667</v>
          </cell>
          <cell r="X94">
            <v>117.5</v>
          </cell>
          <cell r="Y94">
            <v>121.66666666666667</v>
          </cell>
          <cell r="Z94">
            <v>155.83333333333334</v>
          </cell>
          <cell r="AA94">
            <v>152.91666666666666</v>
          </cell>
          <cell r="AB94">
            <v>212.5</v>
          </cell>
          <cell r="AC94">
            <v>156.25</v>
          </cell>
          <cell r="AD94">
            <v>157.5</v>
          </cell>
          <cell r="AE94">
            <v>192.5</v>
          </cell>
          <cell r="AF94">
            <v>182.91666666666666</v>
          </cell>
          <cell r="AG94">
            <v>154.58333333333334</v>
          </cell>
          <cell r="AH94">
            <v>140.83333333333334</v>
          </cell>
          <cell r="AI94">
            <v>114.16666666666667</v>
          </cell>
          <cell r="AJ94">
            <v>131.25</v>
          </cell>
          <cell r="AK94">
            <v>125.83333333333333</v>
          </cell>
          <cell r="AL94">
            <v>134.16666666666666</v>
          </cell>
          <cell r="AM94">
            <v>153.75</v>
          </cell>
          <cell r="AN94">
            <v>162.5</v>
          </cell>
          <cell r="AO94">
            <v>148.33333333333334</v>
          </cell>
          <cell r="AP94">
            <v>185.41666666666666</v>
          </cell>
          <cell r="AQ94">
            <v>178.33333333333334</v>
          </cell>
          <cell r="AR94">
            <v>151.25</v>
          </cell>
          <cell r="AS94">
            <v>130.41666666666666</v>
          </cell>
          <cell r="AT94">
            <v>139.11290322580646</v>
          </cell>
          <cell r="AU94">
            <v>139.22413793103448</v>
          </cell>
          <cell r="AV94">
            <v>170.16129032258064</v>
          </cell>
          <cell r="AW94">
            <v>158.33333333333334</v>
          </cell>
          <cell r="AX94">
            <v>176.61290322580646</v>
          </cell>
          <cell r="AY94">
            <v>185.41666666666666</v>
          </cell>
          <cell r="AZ94">
            <v>162.90322580645162</v>
          </cell>
          <cell r="BA94">
            <v>197.58064516129033</v>
          </cell>
          <cell r="BB94">
            <v>201.17991666666666</v>
          </cell>
          <cell r="BC94">
            <v>206.04838709677421</v>
          </cell>
          <cell r="BD94">
            <v>198.75</v>
          </cell>
          <cell r="BE94">
            <v>188.70967741935485</v>
          </cell>
          <cell r="BF94">
            <v>187.90322580645159</v>
          </cell>
          <cell r="BG94">
            <v>180.35714285714283</v>
          </cell>
          <cell r="BH94">
            <v>211.5</v>
          </cell>
          <cell r="BI94">
            <v>218.54838709677421</v>
          </cell>
          <cell r="BJ94">
            <v>211.66666666666669</v>
          </cell>
          <cell r="BK94">
            <v>224.59677419354841</v>
          </cell>
          <cell r="BL94">
            <v>221.37096774193549</v>
          </cell>
          <cell r="BM94">
            <v>247</v>
          </cell>
          <cell r="BN94">
            <v>231.45161290322579</v>
          </cell>
          <cell r="BO94">
            <v>233.75</v>
          </cell>
          <cell r="BP94">
            <v>203.22580645161293</v>
          </cell>
          <cell r="BQ94">
            <v>225.80645161290323</v>
          </cell>
          <cell r="BR94">
            <v>218.75</v>
          </cell>
          <cell r="BS94">
            <v>245.56451612903226</v>
          </cell>
          <cell r="BT94">
            <v>233.33333333333331</v>
          </cell>
          <cell r="BU94">
            <v>260.88709677419354</v>
          </cell>
          <cell r="BV94">
            <v>254.58333333333331</v>
          </cell>
          <cell r="BW94">
            <v>242.74193548387098</v>
          </cell>
          <cell r="BX94">
            <v>269.75806451612902</v>
          </cell>
          <cell r="BY94">
            <v>252.5</v>
          </cell>
          <cell r="BZ94">
            <v>257.25806451612902</v>
          </cell>
          <cell r="CA94">
            <v>266.25</v>
          </cell>
          <cell r="CB94">
            <v>244.35483870967741</v>
          </cell>
          <cell r="CC94">
            <v>248.79032258064515</v>
          </cell>
          <cell r="CD94">
            <v>275.44642857142856</v>
          </cell>
          <cell r="CE94">
            <v>265.72580645161293</v>
          </cell>
          <cell r="CF94">
            <v>265.93012499999998</v>
          </cell>
          <cell r="CG94">
            <v>307.24451612903226</v>
          </cell>
          <cell r="CH94">
            <v>289.62350000000004</v>
          </cell>
          <cell r="CI94">
            <v>0</v>
          </cell>
          <cell r="CJ94">
            <v>0</v>
          </cell>
          <cell r="CK94">
            <v>0</v>
          </cell>
          <cell r="CL94">
            <v>273.60869565217394</v>
          </cell>
          <cell r="CM94">
            <v>275.47777777777776</v>
          </cell>
          <cell r="CN94">
            <v>272.45054945054943</v>
          </cell>
          <cell r="CO94">
            <v>269.48913043478262</v>
          </cell>
          <cell r="CP94">
            <v>271.70410958904108</v>
          </cell>
          <cell r="CQ94">
            <v>308.14246575342463</v>
          </cell>
        </row>
        <row r="95">
          <cell r="N95" t="str">
            <v>LAR</v>
          </cell>
          <cell r="O95">
            <v>14.866666666666667</v>
          </cell>
          <cell r="P95">
            <v>17.84</v>
          </cell>
          <cell r="Q95">
            <v>14.272</v>
          </cell>
          <cell r="R95">
            <v>13.082666666666666</v>
          </cell>
          <cell r="S95">
            <v>13.082666666666666</v>
          </cell>
          <cell r="T95">
            <v>12.488</v>
          </cell>
          <cell r="U95">
            <v>10.704000000000001</v>
          </cell>
          <cell r="V95">
            <v>8.325333333333333</v>
          </cell>
          <cell r="W95">
            <v>7.730666666666667</v>
          </cell>
          <cell r="X95">
            <v>10.109333333333334</v>
          </cell>
          <cell r="Y95">
            <v>7.730666666666667</v>
          </cell>
          <cell r="Z95">
            <v>10.109333333333334</v>
          </cell>
          <cell r="AA95">
            <v>10.109333333333334</v>
          </cell>
          <cell r="AB95">
            <v>10.704000000000001</v>
          </cell>
          <cell r="AC95">
            <v>10.109333333333334</v>
          </cell>
          <cell r="AD95">
            <v>10.704000000000001</v>
          </cell>
          <cell r="AE95">
            <v>10.704000000000001</v>
          </cell>
          <cell r="AF95">
            <v>10.704000000000001</v>
          </cell>
          <cell r="AG95">
            <v>8.92</v>
          </cell>
          <cell r="AH95">
            <v>8.92</v>
          </cell>
          <cell r="AI95">
            <v>7.730666666666667</v>
          </cell>
          <cell r="AJ95">
            <v>9.5146666666666668</v>
          </cell>
          <cell r="AK95">
            <v>8.325333333333333</v>
          </cell>
          <cell r="AL95">
            <v>10.109333333333334</v>
          </cell>
          <cell r="AM95">
            <v>11.893333333333334</v>
          </cell>
          <cell r="AN95">
            <v>11.298666666666666</v>
          </cell>
          <cell r="AO95">
            <v>12.488</v>
          </cell>
          <cell r="AP95">
            <v>10.704000000000001</v>
          </cell>
          <cell r="AQ95">
            <v>9.5146666666666668</v>
          </cell>
          <cell r="AR95">
            <v>11.298666666666666</v>
          </cell>
          <cell r="AS95">
            <v>11.298666666666666</v>
          </cell>
          <cell r="AT95">
            <v>9.2077419354838703</v>
          </cell>
          <cell r="AU95">
            <v>11.688275862068965</v>
          </cell>
          <cell r="AV95">
            <v>13.811612903225807</v>
          </cell>
          <cell r="AW95">
            <v>10.704000000000001</v>
          </cell>
          <cell r="AX95">
            <v>13.811612903225807</v>
          </cell>
          <cell r="AY95">
            <v>13.677333333333333</v>
          </cell>
          <cell r="AZ95">
            <v>13.236129032258065</v>
          </cell>
          <cell r="BA95">
            <v>16.113548387096774</v>
          </cell>
          <cell r="BB95">
            <v>13.7632032</v>
          </cell>
          <cell r="BC95">
            <v>12.660645161290322</v>
          </cell>
          <cell r="BD95">
            <v>14.272</v>
          </cell>
          <cell r="BE95">
            <v>13.811612903225807</v>
          </cell>
          <cell r="BF95">
            <v>15.538064516129031</v>
          </cell>
          <cell r="BG95">
            <v>16.565714285714286</v>
          </cell>
          <cell r="BH95">
            <v>14.5</v>
          </cell>
          <cell r="BI95">
            <v>16.113548387096778</v>
          </cell>
          <cell r="BJ95">
            <v>16.65066666666667</v>
          </cell>
          <cell r="BK95">
            <v>13.811612903225807</v>
          </cell>
          <cell r="BL95">
            <v>13.236129032258065</v>
          </cell>
          <cell r="BM95">
            <v>14</v>
          </cell>
          <cell r="BN95">
            <v>13.811612903225807</v>
          </cell>
          <cell r="BO95">
            <v>16.056000000000001</v>
          </cell>
          <cell r="BP95">
            <v>12.085161290322581</v>
          </cell>
          <cell r="BQ95">
            <v>10.934193548387096</v>
          </cell>
          <cell r="BR95">
            <v>12.105714285714285</v>
          </cell>
          <cell r="BS95">
            <v>12.660645161290322</v>
          </cell>
          <cell r="BT95">
            <v>10.704000000000001</v>
          </cell>
          <cell r="BU95">
            <v>13.811612903225807</v>
          </cell>
          <cell r="BV95">
            <v>16.056000000000001</v>
          </cell>
          <cell r="BW95">
            <v>13.811612903225807</v>
          </cell>
          <cell r="BX95">
            <v>14.847483870967741</v>
          </cell>
          <cell r="BY95">
            <v>14.866666666666667</v>
          </cell>
          <cell r="BZ95">
            <v>12.660645161290322</v>
          </cell>
          <cell r="CA95">
            <v>16.65066666666667</v>
          </cell>
          <cell r="CB95">
            <v>14.962580645161291</v>
          </cell>
          <cell r="CC95">
            <v>15.538064516129031</v>
          </cell>
          <cell r="CD95">
            <v>15.291428571428572</v>
          </cell>
          <cell r="CE95">
            <v>17.264516129032259</v>
          </cell>
          <cell r="CF95">
            <v>16.301716266666666</v>
          </cell>
          <cell r="CG95">
            <v>15.629969290322579</v>
          </cell>
          <cell r="CH95">
            <v>16.549751733333334</v>
          </cell>
          <cell r="CI95">
            <v>0</v>
          </cell>
          <cell r="CJ95">
            <v>0</v>
          </cell>
          <cell r="CK95">
            <v>0</v>
          </cell>
          <cell r="CL95">
            <v>19.217391304347824</v>
          </cell>
          <cell r="CM95">
            <v>16.344444444444445</v>
          </cell>
          <cell r="CN95">
            <v>16.164835164835164</v>
          </cell>
          <cell r="CO95">
            <v>15.989130434782609</v>
          </cell>
          <cell r="CP95">
            <v>16.641095890410959</v>
          </cell>
          <cell r="CQ95">
            <v>18.202739726027396</v>
          </cell>
        </row>
        <row r="96">
          <cell r="O96">
            <v>293.83333333333337</v>
          </cell>
          <cell r="P96">
            <v>323.55666666666662</v>
          </cell>
          <cell r="Q96">
            <v>280.07533333333328</v>
          </cell>
          <cell r="R96">
            <v>277.33600000000001</v>
          </cell>
          <cell r="S96">
            <v>285.64600000000002</v>
          </cell>
          <cell r="T96">
            <v>244.20466666666667</v>
          </cell>
          <cell r="U96">
            <v>244.334</v>
          </cell>
          <cell r="V96">
            <v>231.94866666666667</v>
          </cell>
          <cell r="W96">
            <v>233.68066666666667</v>
          </cell>
          <cell r="X96">
            <v>255.83266666666665</v>
          </cell>
          <cell r="Y96">
            <v>248.08733333333336</v>
          </cell>
          <cell r="Z96">
            <v>326.10266666666666</v>
          </cell>
          <cell r="AA96">
            <v>336.53266666666661</v>
          </cell>
          <cell r="AB96">
            <v>404.33733333333333</v>
          </cell>
          <cell r="AC96">
            <v>316.98599999999999</v>
          </cell>
          <cell r="AD96">
            <v>321.69066666666669</v>
          </cell>
          <cell r="AE96">
            <v>359.07400000000001</v>
          </cell>
          <cell r="AF96">
            <v>356.16400000000004</v>
          </cell>
          <cell r="AG96">
            <v>306.50333333333339</v>
          </cell>
          <cell r="AH96">
            <v>291.8</v>
          </cell>
          <cell r="AI96">
            <v>254.41066666666669</v>
          </cell>
          <cell r="AJ96">
            <v>298.06466666666665</v>
          </cell>
          <cell r="AK96">
            <v>249.512</v>
          </cell>
          <cell r="AL96">
            <v>260.58266666666663</v>
          </cell>
          <cell r="AM96">
            <v>289.09999999999997</v>
          </cell>
          <cell r="AN96">
            <v>280.572</v>
          </cell>
          <cell r="AO96">
            <v>283.3246666666667</v>
          </cell>
          <cell r="AP96">
            <v>345.79399999999998</v>
          </cell>
          <cell r="AQ96">
            <v>313.68799999999999</v>
          </cell>
          <cell r="AR96">
            <v>274.56533333333334</v>
          </cell>
          <cell r="AS96">
            <v>266.60200000000003</v>
          </cell>
          <cell r="AT96">
            <v>270.56258064516129</v>
          </cell>
          <cell r="AU96">
            <v>279.61241379310343</v>
          </cell>
          <cell r="AV96">
            <v>309.90516129032255</v>
          </cell>
          <cell r="AW96">
            <v>283.43733333333336</v>
          </cell>
          <cell r="AX96">
            <v>333.42451612903227</v>
          </cell>
          <cell r="AY96">
            <v>327.31733333333329</v>
          </cell>
          <cell r="AZ96">
            <v>296.07483870967746</v>
          </cell>
          <cell r="BA96">
            <v>342.39419354838708</v>
          </cell>
          <cell r="BB96">
            <v>353.81861853333339</v>
          </cell>
          <cell r="BC96">
            <v>352.021935483871</v>
          </cell>
          <cell r="BD96">
            <v>366.50866666666667</v>
          </cell>
          <cell r="BE96">
            <v>345.06</v>
          </cell>
          <cell r="BF96">
            <v>341.3670967741935</v>
          </cell>
          <cell r="BG96">
            <v>353.71214285714285</v>
          </cell>
          <cell r="BH96">
            <v>388.5</v>
          </cell>
          <cell r="BI96">
            <v>378.58451612903229</v>
          </cell>
          <cell r="BJ96">
            <v>363.214</v>
          </cell>
          <cell r="BK96">
            <v>407.24064516129033</v>
          </cell>
          <cell r="BL96">
            <v>421.89096774193547</v>
          </cell>
          <cell r="BM96">
            <v>510</v>
          </cell>
          <cell r="BN96">
            <v>456.07290322580644</v>
          </cell>
          <cell r="BO96">
            <v>466.21266666666662</v>
          </cell>
          <cell r="BP96">
            <v>404.44</v>
          </cell>
          <cell r="BQ96">
            <v>426.79225806451615</v>
          </cell>
          <cell r="BR96">
            <v>432.0771428571428</v>
          </cell>
          <cell r="BS96">
            <v>447.35419354838706</v>
          </cell>
          <cell r="BT96">
            <v>428.50733333333329</v>
          </cell>
          <cell r="BU96">
            <v>488.27612903225804</v>
          </cell>
          <cell r="BV96">
            <v>476.55933333333331</v>
          </cell>
          <cell r="BW96">
            <v>449.37290322580645</v>
          </cell>
          <cell r="BX96">
            <v>485.17458064516126</v>
          </cell>
          <cell r="BY96">
            <v>467.56666666666666</v>
          </cell>
          <cell r="BZ96">
            <v>504.25419354838715</v>
          </cell>
          <cell r="CA96">
            <v>537.91733333333332</v>
          </cell>
          <cell r="CB96">
            <v>486.73354838709673</v>
          </cell>
          <cell r="CC96">
            <v>501.89290322580649</v>
          </cell>
          <cell r="CD96">
            <v>518.00571428571425</v>
          </cell>
          <cell r="CE96">
            <v>515.01935483870966</v>
          </cell>
          <cell r="CF96">
            <v>484.54004259999999</v>
          </cell>
          <cell r="CG96">
            <v>575.13640316129033</v>
          </cell>
          <cell r="CH96">
            <v>578.87034306666669</v>
          </cell>
          <cell r="CI96">
            <v>0</v>
          </cell>
          <cell r="CJ96">
            <v>0</v>
          </cell>
          <cell r="CK96">
            <v>0</v>
          </cell>
          <cell r="CL96">
            <v>538.27173913043487</v>
          </cell>
          <cell r="CM96">
            <v>501.8555555555555</v>
          </cell>
          <cell r="CN96">
            <v>496.34065934065927</v>
          </cell>
          <cell r="CO96">
            <v>490.94565217391306</v>
          </cell>
          <cell r="CP96">
            <v>494.75068493150684</v>
          </cell>
          <cell r="CQ96">
            <v>570.08767123287669</v>
          </cell>
        </row>
        <row r="99">
          <cell r="N99" t="str">
            <v>APSTB</v>
          </cell>
        </row>
        <row r="100">
          <cell r="N100" t="str">
            <v>LOX</v>
          </cell>
          <cell r="O100">
            <v>424385</v>
          </cell>
          <cell r="P100">
            <v>363811</v>
          </cell>
          <cell r="Q100">
            <v>371807</v>
          </cell>
          <cell r="R100">
            <v>380491</v>
          </cell>
          <cell r="S100">
            <v>401783</v>
          </cell>
          <cell r="T100">
            <v>439347</v>
          </cell>
          <cell r="U100">
            <v>400061</v>
          </cell>
          <cell r="V100">
            <v>271651</v>
          </cell>
          <cell r="W100">
            <v>270204</v>
          </cell>
          <cell r="X100">
            <v>299083</v>
          </cell>
          <cell r="Y100">
            <v>280069</v>
          </cell>
          <cell r="Z100">
            <v>279055</v>
          </cell>
          <cell r="AA100">
            <v>274286</v>
          </cell>
          <cell r="AB100">
            <v>309145</v>
          </cell>
          <cell r="AC100">
            <v>280442</v>
          </cell>
          <cell r="AD100">
            <v>268239</v>
          </cell>
          <cell r="AE100">
            <v>254130</v>
          </cell>
          <cell r="AF100">
            <v>305481</v>
          </cell>
          <cell r="AG100">
            <v>381100</v>
          </cell>
          <cell r="AH100">
            <v>307412</v>
          </cell>
          <cell r="AI100">
            <v>274127</v>
          </cell>
          <cell r="AJ100">
            <v>599472</v>
          </cell>
          <cell r="AK100">
            <v>706924</v>
          </cell>
          <cell r="AL100">
            <v>397916</v>
          </cell>
          <cell r="AM100">
            <v>486060</v>
          </cell>
          <cell r="AN100">
            <v>481539</v>
          </cell>
          <cell r="AO100">
            <v>451151</v>
          </cell>
          <cell r="AP100">
            <v>463848</v>
          </cell>
          <cell r="AQ100">
            <v>589055</v>
          </cell>
          <cell r="AR100">
            <v>408654</v>
          </cell>
          <cell r="AS100">
            <v>1785764</v>
          </cell>
          <cell r="AT100">
            <v>1383028</v>
          </cell>
          <cell r="AU100">
            <v>1229929</v>
          </cell>
          <cell r="AV100">
            <v>1530307</v>
          </cell>
          <cell r="AW100">
            <v>950249</v>
          </cell>
          <cell r="AX100">
            <v>312004</v>
          </cell>
          <cell r="AY100">
            <v>286655</v>
          </cell>
          <cell r="AZ100">
            <v>295022</v>
          </cell>
          <cell r="BA100">
            <v>313064</v>
          </cell>
          <cell r="BB100">
            <v>305576</v>
          </cell>
          <cell r="BC100">
            <v>280123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</row>
        <row r="101">
          <cell r="N101" t="str">
            <v>LIN</v>
          </cell>
          <cell r="O101">
            <v>2170514</v>
          </cell>
          <cell r="P101">
            <v>2215590</v>
          </cell>
          <cell r="Q101">
            <v>1782627</v>
          </cell>
          <cell r="R101">
            <v>2032457</v>
          </cell>
          <cell r="S101">
            <v>2060126</v>
          </cell>
          <cell r="T101">
            <v>1960582</v>
          </cell>
          <cell r="U101">
            <v>2120850</v>
          </cell>
          <cell r="V101">
            <v>1643129</v>
          </cell>
          <cell r="W101">
            <v>1574222</v>
          </cell>
          <cell r="X101">
            <v>1879539</v>
          </cell>
          <cell r="Y101">
            <v>1958637</v>
          </cell>
          <cell r="Z101">
            <v>2128186</v>
          </cell>
          <cell r="AA101">
            <v>1797736</v>
          </cell>
          <cell r="AB101">
            <v>2163889</v>
          </cell>
          <cell r="AC101">
            <v>1819886</v>
          </cell>
          <cell r="AD101">
            <v>1924887</v>
          </cell>
          <cell r="AE101">
            <v>2126123</v>
          </cell>
          <cell r="AF101">
            <v>1927498</v>
          </cell>
          <cell r="AG101">
            <v>2055872</v>
          </cell>
          <cell r="AH101">
            <v>2285393</v>
          </cell>
          <cell r="AI101">
            <v>2044357</v>
          </cell>
          <cell r="AJ101">
            <v>2368154</v>
          </cell>
          <cell r="AK101">
            <v>2189487</v>
          </cell>
          <cell r="AL101">
            <v>2027070</v>
          </cell>
          <cell r="AM101">
            <v>2028132</v>
          </cell>
          <cell r="AN101">
            <v>2237820</v>
          </cell>
          <cell r="AO101">
            <v>2203571</v>
          </cell>
          <cell r="AP101">
            <v>2130926</v>
          </cell>
          <cell r="AQ101">
            <v>2328612</v>
          </cell>
          <cell r="AR101">
            <v>2397085</v>
          </cell>
          <cell r="AS101">
            <v>3031821</v>
          </cell>
          <cell r="AT101">
            <v>2913448</v>
          </cell>
          <cell r="AU101">
            <v>3291688</v>
          </cell>
          <cell r="AV101">
            <v>4056331</v>
          </cell>
          <cell r="AW101">
            <v>3779152</v>
          </cell>
          <cell r="AX101">
            <v>3553744</v>
          </cell>
          <cell r="AY101">
            <v>3173789</v>
          </cell>
          <cell r="AZ101">
            <v>3258062</v>
          </cell>
          <cell r="BA101">
            <v>3426400</v>
          </cell>
          <cell r="BB101">
            <v>3276931</v>
          </cell>
          <cell r="BC101">
            <v>3744980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</row>
        <row r="102">
          <cell r="N102" t="str">
            <v>LAR</v>
          </cell>
          <cell r="O102">
            <v>19418</v>
          </cell>
          <cell r="P102">
            <v>28103</v>
          </cell>
          <cell r="Q102">
            <v>23952</v>
          </cell>
          <cell r="R102">
            <v>21783</v>
          </cell>
          <cell r="S102">
            <v>27634</v>
          </cell>
          <cell r="T102">
            <v>29816</v>
          </cell>
          <cell r="U102">
            <v>35571</v>
          </cell>
          <cell r="V102">
            <v>31312</v>
          </cell>
          <cell r="W102">
            <v>31810</v>
          </cell>
          <cell r="X102">
            <v>29263</v>
          </cell>
          <cell r="Y102">
            <v>33955</v>
          </cell>
          <cell r="Z102">
            <v>52085</v>
          </cell>
          <cell r="AA102">
            <v>31004</v>
          </cell>
          <cell r="AB102">
            <v>25898</v>
          </cell>
          <cell r="AC102">
            <v>27210</v>
          </cell>
          <cell r="AD102">
            <v>33811</v>
          </cell>
          <cell r="AE102">
            <v>34863</v>
          </cell>
          <cell r="AF102">
            <v>24290</v>
          </cell>
          <cell r="AG102">
            <v>30691</v>
          </cell>
          <cell r="AH102">
            <v>15118</v>
          </cell>
          <cell r="AI102">
            <v>10744</v>
          </cell>
          <cell r="AJ102">
            <v>33516</v>
          </cell>
          <cell r="AK102">
            <v>33196</v>
          </cell>
          <cell r="AL102">
            <v>46624</v>
          </cell>
          <cell r="AM102">
            <v>43740</v>
          </cell>
          <cell r="AN102">
            <v>54863</v>
          </cell>
          <cell r="AO102">
            <v>61807</v>
          </cell>
          <cell r="AP102">
            <v>53019</v>
          </cell>
          <cell r="AQ102">
            <v>78303</v>
          </cell>
          <cell r="AR102">
            <v>98396</v>
          </cell>
          <cell r="AS102">
            <v>102881</v>
          </cell>
          <cell r="AT102">
            <v>99099</v>
          </cell>
          <cell r="AU102">
            <v>101948</v>
          </cell>
          <cell r="AV102">
            <v>166461</v>
          </cell>
          <cell r="AW102">
            <v>94194</v>
          </cell>
          <cell r="AX102">
            <v>49490</v>
          </cell>
          <cell r="AY102">
            <v>164490</v>
          </cell>
          <cell r="AZ102">
            <v>80488</v>
          </cell>
          <cell r="BA102">
            <v>176990</v>
          </cell>
          <cell r="BB102">
            <v>60176</v>
          </cell>
          <cell r="BC102">
            <v>70382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</row>
        <row r="103"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</row>
        <row r="104">
          <cell r="N104" t="str">
            <v>LOX</v>
          </cell>
          <cell r="O104">
            <v>19.168247515808492</v>
          </cell>
          <cell r="P104">
            <v>16.432294489611561</v>
          </cell>
          <cell r="Q104">
            <v>16.793450767841012</v>
          </cell>
          <cell r="R104">
            <v>17.185682023486901</v>
          </cell>
          <cell r="S104">
            <v>18.147380307136405</v>
          </cell>
          <cell r="T104">
            <v>19.844037940379405</v>
          </cell>
          <cell r="U104">
            <v>18.069602529358626</v>
          </cell>
          <cell r="V104">
            <v>12.269692863595303</v>
          </cell>
          <cell r="W104">
            <v>12.204336043360433</v>
          </cell>
          <cell r="X104">
            <v>13.508717253839205</v>
          </cell>
          <cell r="Y104">
            <v>12.649909665763325</v>
          </cell>
          <cell r="Z104">
            <v>12.604110207768745</v>
          </cell>
          <cell r="AA104">
            <v>12.388708220415538</v>
          </cell>
          <cell r="AB104">
            <v>13.963188798554652</v>
          </cell>
          <cell r="AC104">
            <v>12.666757000903342</v>
          </cell>
          <cell r="AD104">
            <v>12.115582655826557</v>
          </cell>
          <cell r="AE104">
            <v>11.478319783197833</v>
          </cell>
          <cell r="AF104">
            <v>13.79769647696477</v>
          </cell>
          <cell r="AG104">
            <v>17.213188798554651</v>
          </cell>
          <cell r="AH104">
            <v>13.884914182475159</v>
          </cell>
          <cell r="AI104">
            <v>12.381526648599818</v>
          </cell>
          <cell r="AJ104">
            <v>27.07642276422764</v>
          </cell>
          <cell r="AK104">
            <v>31.929719963866305</v>
          </cell>
          <cell r="AL104">
            <v>17.972719060523939</v>
          </cell>
          <cell r="AM104">
            <v>21.953929539295395</v>
          </cell>
          <cell r="AN104">
            <v>21.749728997289974</v>
          </cell>
          <cell r="AO104">
            <v>20.377190605239385</v>
          </cell>
          <cell r="AP104">
            <v>20.950677506775069</v>
          </cell>
          <cell r="AQ104">
            <v>26.605916892502258</v>
          </cell>
          <cell r="AR104">
            <v>18.457723577235772</v>
          </cell>
          <cell r="AS104">
            <v>80.657813911472445</v>
          </cell>
          <cell r="AT104">
            <v>60.452312265058133</v>
          </cell>
          <cell r="AU104">
            <v>57.467946920848519</v>
          </cell>
          <cell r="AV104">
            <v>66.889894221522866</v>
          </cell>
          <cell r="AW104">
            <v>42.920009033423668</v>
          </cell>
          <cell r="AX104">
            <v>13.637730570854096</v>
          </cell>
          <cell r="AY104">
            <v>12.947380307136404</v>
          </cell>
          <cell r="AZ104">
            <v>12.895445406066964</v>
          </cell>
          <cell r="BA104">
            <v>13.684063292245826</v>
          </cell>
          <cell r="BB104">
            <v>13.801987353206865</v>
          </cell>
          <cell r="BC104">
            <v>12.244208409826035</v>
          </cell>
          <cell r="BD104">
            <v>14.95754290876242</v>
          </cell>
          <cell r="BE104">
            <v>12.683363930413497</v>
          </cell>
          <cell r="BF104">
            <v>17.913847364280095</v>
          </cell>
          <cell r="BG104">
            <v>15.103610143244291</v>
          </cell>
          <cell r="BH104">
            <v>11.885129819040127</v>
          </cell>
          <cell r="BI104">
            <v>12.819241192411925</v>
          </cell>
          <cell r="BJ104">
            <v>11.674796747967479</v>
          </cell>
          <cell r="BK104">
            <v>12.966124661246612</v>
          </cell>
          <cell r="BL104">
            <v>12.469271789492089</v>
          </cell>
          <cell r="BM104">
            <v>13.246131654864936</v>
          </cell>
          <cell r="BN104">
            <v>11</v>
          </cell>
          <cell r="BO104">
            <v>15</v>
          </cell>
          <cell r="BP104">
            <v>14</v>
          </cell>
          <cell r="BQ104">
            <v>13.863711862925081</v>
          </cell>
          <cell r="BR104">
            <v>22</v>
          </cell>
          <cell r="BS104">
            <v>30.378136200716849</v>
          </cell>
          <cell r="BT104">
            <v>53.232339656729899</v>
          </cell>
          <cell r="BU104">
            <v>59.041131217763784</v>
          </cell>
          <cell r="BV104">
            <v>46.581526648599819</v>
          </cell>
          <cell r="BW104">
            <v>62.969359209721134</v>
          </cell>
          <cell r="BX104">
            <v>65.343911181047289</v>
          </cell>
          <cell r="BY104">
            <v>76.125474254742542</v>
          </cell>
          <cell r="BZ104">
            <v>62.969359209721134</v>
          </cell>
          <cell r="CA104">
            <v>76.343631436314368</v>
          </cell>
          <cell r="CB104">
            <v>47.427484920010492</v>
          </cell>
          <cell r="CC104">
            <v>47.038115219861879</v>
          </cell>
          <cell r="CD104">
            <v>29.324574138598528</v>
          </cell>
          <cell r="CE104">
            <v>47.038115219861879</v>
          </cell>
          <cell r="CF104">
            <v>75.8953477868112</v>
          </cell>
          <cell r="CG104">
            <v>24.716977008479763</v>
          </cell>
          <cell r="CH104">
            <v>23.350045167118335</v>
          </cell>
          <cell r="CI104">
            <v>0</v>
          </cell>
          <cell r="CJ104">
            <v>0</v>
          </cell>
          <cell r="CK104">
            <v>0</v>
          </cell>
          <cell r="CL104">
            <v>13.4</v>
          </cell>
          <cell r="CM104">
            <v>14.4</v>
          </cell>
          <cell r="CN104">
            <v>15.4</v>
          </cell>
          <cell r="CO104">
            <v>16.399999999999999</v>
          </cell>
          <cell r="CP104">
            <v>21.4</v>
          </cell>
          <cell r="CQ104">
            <v>26.4</v>
          </cell>
        </row>
        <row r="105">
          <cell r="N105" t="str">
            <v>LIN</v>
          </cell>
          <cell r="O105">
            <v>85.723301737756714</v>
          </cell>
          <cell r="P105">
            <v>87.503554502369681</v>
          </cell>
          <cell r="Q105">
            <v>70.403909952606639</v>
          </cell>
          <cell r="R105">
            <v>80.270813586097958</v>
          </cell>
          <cell r="S105">
            <v>81.363586097946296</v>
          </cell>
          <cell r="T105">
            <v>77.432148499210115</v>
          </cell>
          <cell r="U105">
            <v>83.761848341232238</v>
          </cell>
          <cell r="V105">
            <v>64.894510268562414</v>
          </cell>
          <cell r="W105">
            <v>62.173064770932079</v>
          </cell>
          <cell r="X105">
            <v>74.231398104265409</v>
          </cell>
          <cell r="Y105">
            <v>77.355331753554509</v>
          </cell>
          <cell r="Z105">
            <v>84.05157977883097</v>
          </cell>
          <cell r="AA105">
            <v>71.000631911532381</v>
          </cell>
          <cell r="AB105">
            <v>85.461650868878365</v>
          </cell>
          <cell r="AC105">
            <v>71.87543443917852</v>
          </cell>
          <cell r="AD105">
            <v>76.022393364928902</v>
          </cell>
          <cell r="AE105">
            <v>83.970102685624013</v>
          </cell>
          <cell r="AF105">
            <v>76.125513428120072</v>
          </cell>
          <cell r="AG105">
            <v>81.195576619273297</v>
          </cell>
          <cell r="AH105">
            <v>90.260387045813587</v>
          </cell>
          <cell r="AI105">
            <v>80.740797788309649</v>
          </cell>
          <cell r="AJ105">
            <v>93.528988941548192</v>
          </cell>
          <cell r="AK105">
            <v>86.472630331753564</v>
          </cell>
          <cell r="AL105">
            <v>80.058056872037923</v>
          </cell>
          <cell r="AM105">
            <v>80.099999999999994</v>
          </cell>
          <cell r="AN105">
            <v>88.381516587677723</v>
          </cell>
          <cell r="AO105">
            <v>87.028870458135856</v>
          </cell>
          <cell r="AP105">
            <v>84.159794628751982</v>
          </cell>
          <cell r="AQ105">
            <v>91.967298578199049</v>
          </cell>
          <cell r="AR105">
            <v>94.671603475513436</v>
          </cell>
          <cell r="AS105">
            <v>119.74016587677725</v>
          </cell>
          <cell r="AT105">
            <v>111.35330989145392</v>
          </cell>
          <cell r="AU105">
            <v>134.48635397940842</v>
          </cell>
          <cell r="AV105">
            <v>155.03481883504054</v>
          </cell>
          <cell r="AW105">
            <v>149.25560821484993</v>
          </cell>
          <cell r="AX105">
            <v>135.82571472251951</v>
          </cell>
          <cell r="AY105">
            <v>125.34711690363351</v>
          </cell>
          <cell r="AZ105">
            <v>124.52461397339857</v>
          </cell>
          <cell r="BA105">
            <v>130.95856902614278</v>
          </cell>
          <cell r="BB105">
            <v>129.42065560821484</v>
          </cell>
          <cell r="BC105">
            <v>143.13484176731387</v>
          </cell>
          <cell r="BD105">
            <v>172.12187993680885</v>
          </cell>
          <cell r="BE105">
            <v>160.71560158997096</v>
          </cell>
          <cell r="BF105">
            <v>173.38763186057179</v>
          </cell>
          <cell r="BG105">
            <v>171.84051286391337</v>
          </cell>
          <cell r="BH105">
            <v>124.4488610304235</v>
          </cell>
          <cell r="BI105">
            <v>120.41947077409165</v>
          </cell>
          <cell r="BJ105">
            <v>127.67936859807371</v>
          </cell>
          <cell r="BK105">
            <v>122.92132701421802</v>
          </cell>
          <cell r="BL105">
            <v>102.4688885491515</v>
          </cell>
          <cell r="BM105">
            <v>115.69645314172146</v>
          </cell>
          <cell r="BN105">
            <v>105</v>
          </cell>
          <cell r="BO105">
            <v>126</v>
          </cell>
          <cell r="BP105">
            <v>98</v>
          </cell>
          <cell r="BQ105">
            <v>121.54987769454212</v>
          </cell>
          <cell r="BR105">
            <v>129</v>
          </cell>
          <cell r="BS105">
            <v>119.52426998929828</v>
          </cell>
          <cell r="BT105">
            <v>132.35189573459718</v>
          </cell>
          <cell r="BU105">
            <v>158.14267696070937</v>
          </cell>
          <cell r="BV105">
            <v>160.62476303317536</v>
          </cell>
          <cell r="BW105">
            <v>157.34062070019874</v>
          </cell>
          <cell r="BX105">
            <v>150.25538908423789</v>
          </cell>
          <cell r="BY105">
            <v>165.4340442338073</v>
          </cell>
          <cell r="BZ105">
            <v>157.34062070019874</v>
          </cell>
          <cell r="CA105">
            <v>165.13143759873617</v>
          </cell>
          <cell r="CB105">
            <v>155.52942975080265</v>
          </cell>
          <cell r="CC105">
            <v>209.18101207766398</v>
          </cell>
          <cell r="CD105">
            <v>179.26971902505082</v>
          </cell>
          <cell r="CE105">
            <v>209.18101207766398</v>
          </cell>
          <cell r="CF105">
            <v>225.10462085308058</v>
          </cell>
          <cell r="CG105">
            <v>166.68418437547774</v>
          </cell>
          <cell r="CH105">
            <v>177.28720379146921</v>
          </cell>
          <cell r="CI105">
            <v>0</v>
          </cell>
          <cell r="CJ105">
            <v>0</v>
          </cell>
          <cell r="CK105">
            <v>0</v>
          </cell>
          <cell r="CL105">
            <v>149.9</v>
          </cell>
          <cell r="CM105">
            <v>156.30000000000001</v>
          </cell>
          <cell r="CN105">
            <v>162.80000000000001</v>
          </cell>
          <cell r="CO105">
            <v>169.2</v>
          </cell>
          <cell r="CP105">
            <v>203.9</v>
          </cell>
          <cell r="CQ105">
            <v>238.7</v>
          </cell>
        </row>
        <row r="106">
          <cell r="N106" t="str">
            <v>LAR</v>
          </cell>
          <cell r="O106">
            <v>1.0952058657642414</v>
          </cell>
          <cell r="P106">
            <v>1.585053581500282</v>
          </cell>
          <cell r="Q106">
            <v>1.3509306260575296</v>
          </cell>
          <cell r="R106">
            <v>1.2285956006768188</v>
          </cell>
          <cell r="S106">
            <v>1.5586012408347434</v>
          </cell>
          <cell r="T106">
            <v>1.681669486745629</v>
          </cell>
          <cell r="U106">
            <v>2.0062605752961082</v>
          </cell>
          <cell r="V106">
            <v>1.7660462492949802</v>
          </cell>
          <cell r="W106">
            <v>1.7941342357586012</v>
          </cell>
          <cell r="X106">
            <v>1.6504794134235758</v>
          </cell>
          <cell r="Y106">
            <v>1.9151156232374507</v>
          </cell>
          <cell r="Z106">
            <v>2.9376762549351381</v>
          </cell>
          <cell r="AA106">
            <v>1.7486745628877607</v>
          </cell>
          <cell r="AB106">
            <v>1.4606880992667794</v>
          </cell>
          <cell r="AC106">
            <v>1.5346869712351947</v>
          </cell>
          <cell r="AD106">
            <v>1.9069937958262833</v>
          </cell>
          <cell r="AE106">
            <v>1.9663282571912013</v>
          </cell>
          <cell r="AF106">
            <v>1.3699943598420754</v>
          </cell>
          <cell r="AG106">
            <v>1.7310208685843202</v>
          </cell>
          <cell r="AH106">
            <v>0.85267907501410034</v>
          </cell>
          <cell r="AI106">
            <v>0.6059785673998872</v>
          </cell>
          <cell r="AJ106">
            <v>1.8903553299492384</v>
          </cell>
          <cell r="AK106">
            <v>1.8723068245910885</v>
          </cell>
          <cell r="AL106">
            <v>2.6296672306824589</v>
          </cell>
          <cell r="AM106">
            <v>2.4670050761421316</v>
          </cell>
          <cell r="AN106">
            <v>3.094359842075578</v>
          </cell>
          <cell r="AO106">
            <v>3.4860124083474338</v>
          </cell>
          <cell r="AP106">
            <v>2.9903553299492387</v>
          </cell>
          <cell r="AQ106">
            <v>4.4164128595600678</v>
          </cell>
          <cell r="AR106">
            <v>5.5496897913141563</v>
          </cell>
          <cell r="AS106">
            <v>5.8026508742244785</v>
          </cell>
          <cell r="AT106">
            <v>5.4090388079253309</v>
          </cell>
          <cell r="AU106">
            <v>5.948305035299609</v>
          </cell>
          <cell r="AV106">
            <v>9.0858031766824947</v>
          </cell>
          <cell r="AW106">
            <v>5.3126903553299494</v>
          </cell>
          <cell r="AX106">
            <v>2.701271764641668</v>
          </cell>
          <cell r="AY106">
            <v>9.2774957698815577</v>
          </cell>
          <cell r="AZ106">
            <v>4.393209977621308</v>
          </cell>
          <cell r="BA106">
            <v>9.6604988810654433</v>
          </cell>
          <cell r="BB106">
            <v>3.3940214326001126</v>
          </cell>
          <cell r="BC106">
            <v>3.8416025326128489</v>
          </cell>
          <cell r="BD106">
            <v>3.7646926113931189</v>
          </cell>
          <cell r="BE106">
            <v>1.5548277932427268</v>
          </cell>
          <cell r="BF106">
            <v>2.9706347906773649</v>
          </cell>
          <cell r="BG106">
            <v>2.7121706550640559</v>
          </cell>
          <cell r="BH106">
            <v>2.1764641668031222</v>
          </cell>
          <cell r="BI106">
            <v>3.4610265087422447</v>
          </cell>
          <cell r="BJ106">
            <v>2.8390371704601276</v>
          </cell>
          <cell r="BK106">
            <v>1.9359842075578118</v>
          </cell>
          <cell r="BL106">
            <v>6.8625620872223134</v>
          </cell>
          <cell r="BM106">
            <v>4.0564379673598605</v>
          </cell>
          <cell r="BN106">
            <v>3</v>
          </cell>
          <cell r="BO106">
            <v>2</v>
          </cell>
          <cell r="BP106">
            <v>5</v>
          </cell>
          <cell r="BQ106">
            <v>4.148408929643578</v>
          </cell>
          <cell r="BR106">
            <v>4</v>
          </cell>
          <cell r="BS106">
            <v>7.9124501937667153</v>
          </cell>
          <cell r="BT106">
            <v>7.195149464184996</v>
          </cell>
          <cell r="BU106">
            <v>8.7962447464658045</v>
          </cell>
          <cell r="BV106">
            <v>6.4766497461928925</v>
          </cell>
          <cell r="BW106">
            <v>7.5303203973582216</v>
          </cell>
          <cell r="BX106">
            <v>9.7337481578516467</v>
          </cell>
          <cell r="BY106">
            <v>8.517992103778905</v>
          </cell>
          <cell r="BZ106">
            <v>7.5303203973582216</v>
          </cell>
          <cell r="CA106">
            <v>11.828652002256064</v>
          </cell>
          <cell r="CB106">
            <v>4.0152284263959386</v>
          </cell>
          <cell r="CC106">
            <v>9.6274220839473834</v>
          </cell>
          <cell r="CD106">
            <v>10.518914672467972</v>
          </cell>
          <cell r="CE106">
            <v>9.6274220839473834</v>
          </cell>
          <cell r="CF106">
            <v>9.1174844895657081</v>
          </cell>
          <cell r="CG106">
            <v>12.956498007750668</v>
          </cell>
          <cell r="CH106">
            <v>11.860688099266779</v>
          </cell>
          <cell r="CI106">
            <v>0</v>
          </cell>
          <cell r="CJ106">
            <v>0</v>
          </cell>
          <cell r="CK106">
            <v>0</v>
          </cell>
          <cell r="CL106">
            <v>4.3</v>
          </cell>
          <cell r="CM106">
            <v>4.3</v>
          </cell>
          <cell r="CN106">
            <v>4.4000000000000004</v>
          </cell>
          <cell r="CO106">
            <v>4.5</v>
          </cell>
          <cell r="CP106">
            <v>4.7</v>
          </cell>
          <cell r="CQ106">
            <v>5</v>
          </cell>
        </row>
        <row r="107">
          <cell r="O107">
            <v>105.98675511932944</v>
          </cell>
          <cell r="P107">
            <v>105.52090257348152</v>
          </cell>
          <cell r="Q107">
            <v>88.548291346505181</v>
          </cell>
          <cell r="R107">
            <v>98.685091210261675</v>
          </cell>
          <cell r="S107">
            <v>101.06956764591745</v>
          </cell>
          <cell r="T107">
            <v>98.957855926335156</v>
          </cell>
          <cell r="U107">
            <v>103.83771144588697</v>
          </cell>
          <cell r="V107">
            <v>78.930249381452697</v>
          </cell>
          <cell r="W107">
            <v>76.171535050051119</v>
          </cell>
          <cell r="X107">
            <v>89.3905947715282</v>
          </cell>
          <cell r="Y107">
            <v>91.920357042555281</v>
          </cell>
          <cell r="Z107">
            <v>99.593366241534852</v>
          </cell>
          <cell r="AA107">
            <v>85.138014694835675</v>
          </cell>
          <cell r="AB107">
            <v>100.88552776669979</v>
          </cell>
          <cell r="AC107">
            <v>86.076878411317054</v>
          </cell>
          <cell r="AD107">
            <v>90.044969816581741</v>
          </cell>
          <cell r="AE107">
            <v>97.414750726013054</v>
          </cell>
          <cell r="AF107">
            <v>91.293204264926928</v>
          </cell>
          <cell r="AG107">
            <v>100.13978628641227</v>
          </cell>
          <cell r="AH107">
            <v>104.99798030330284</v>
          </cell>
          <cell r="AI107">
            <v>93.728303004309353</v>
          </cell>
          <cell r="AJ107">
            <v>122.49576703572508</v>
          </cell>
          <cell r="AK107">
            <v>120.27465712021096</v>
          </cell>
          <cell r="AL107">
            <v>100.66044316324432</v>
          </cell>
          <cell r="AM107">
            <v>104.52093461543751</v>
          </cell>
          <cell r="AN107">
            <v>113.22560542704328</v>
          </cell>
          <cell r="AO107">
            <v>110.89207347172267</v>
          </cell>
          <cell r="AP107">
            <v>108.10082746547629</v>
          </cell>
          <cell r="AQ107">
            <v>122.98962833026138</v>
          </cell>
          <cell r="AR107">
            <v>118.67901684406336</v>
          </cell>
          <cell r="AS107">
            <v>206.20063066247417</v>
          </cell>
          <cell r="AT107">
            <v>177.21466096443737</v>
          </cell>
          <cell r="AU107">
            <v>197.90260593555655</v>
          </cell>
          <cell r="AV107">
            <v>231.01051623324591</v>
          </cell>
          <cell r="AW107">
            <v>197.48830760360354</v>
          </cell>
          <cell r="AX107">
            <v>152.16471705801527</v>
          </cell>
          <cell r="AY107">
            <v>147.57199298065149</v>
          </cell>
          <cell r="AZ107">
            <v>141.81326935708682</v>
          </cell>
          <cell r="BA107">
            <v>154.30313119945407</v>
          </cell>
          <cell r="BB107">
            <v>146.61666439402183</v>
          </cell>
          <cell r="BC107">
            <v>159.22065270975276</v>
          </cell>
          <cell r="BD107">
            <v>190.8441154569644</v>
          </cell>
          <cell r="BE107">
            <v>174.95379331362719</v>
          </cell>
          <cell r="BF107">
            <v>194.27211401552924</v>
          </cell>
          <cell r="BG107">
            <v>189.65629366222171</v>
          </cell>
          <cell r="BH107">
            <v>138.51045501626675</v>
          </cell>
          <cell r="BI107">
            <v>136.69973847524582</v>
          </cell>
          <cell r="BJ107">
            <v>142.19320251650132</v>
          </cell>
          <cell r="BK107">
            <v>137.82343588302246</v>
          </cell>
          <cell r="BL107">
            <v>121.8007224258659</v>
          </cell>
          <cell r="BM107">
            <v>132.99902276394627</v>
          </cell>
          <cell r="BN107">
            <v>119</v>
          </cell>
          <cell r="BO107">
            <v>143</v>
          </cell>
          <cell r="BP107">
            <v>117</v>
          </cell>
          <cell r="BQ107">
            <v>139.56199848711077</v>
          </cell>
          <cell r="BR107">
            <v>155</v>
          </cell>
          <cell r="BS107">
            <v>157.81485638378183</v>
          </cell>
          <cell r="BT107">
            <v>192.77938485551206</v>
          </cell>
          <cell r="BU107">
            <v>225.98005292493897</v>
          </cell>
          <cell r="BV107">
            <v>213.68293942796805</v>
          </cell>
          <cell r="BW107">
            <v>227.84030030727811</v>
          </cell>
          <cell r="BX107">
            <v>225.33304842313683</v>
          </cell>
          <cell r="BY107">
            <v>250.07751059232874</v>
          </cell>
          <cell r="BZ107">
            <v>227.84030030727811</v>
          </cell>
          <cell r="CA107">
            <v>253.30372103730659</v>
          </cell>
          <cell r="CB107">
            <v>206.97214309720908</v>
          </cell>
          <cell r="CC107">
            <v>265.84654938147327</v>
          </cell>
          <cell r="CD107">
            <v>219.11320783611734</v>
          </cell>
          <cell r="CE107">
            <v>265.84654938147327</v>
          </cell>
          <cell r="CF107">
            <v>310.11745312945749</v>
          </cell>
          <cell r="CG107">
            <v>204.35765939170818</v>
          </cell>
          <cell r="CH107">
            <v>212.49793705785433</v>
          </cell>
          <cell r="CI107">
            <v>0</v>
          </cell>
          <cell r="CJ107">
            <v>0</v>
          </cell>
          <cell r="CK107">
            <v>0</v>
          </cell>
          <cell r="CL107">
            <v>167.60000000000002</v>
          </cell>
          <cell r="CM107">
            <v>175.00000000000003</v>
          </cell>
          <cell r="CN107">
            <v>182.60000000000002</v>
          </cell>
          <cell r="CO107">
            <v>190.1</v>
          </cell>
          <cell r="CP107">
            <v>230</v>
          </cell>
          <cell r="CQ107">
            <v>270.09999999999997</v>
          </cell>
        </row>
        <row r="109">
          <cell r="N109" t="str">
            <v>UAPI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N110" t="str">
            <v>LOX</v>
          </cell>
          <cell r="O110">
            <v>809</v>
          </cell>
          <cell r="P110">
            <v>1038</v>
          </cell>
          <cell r="Q110">
            <v>1080</v>
          </cell>
          <cell r="R110">
            <v>1435</v>
          </cell>
          <cell r="S110">
            <v>1188</v>
          </cell>
          <cell r="T110">
            <v>777</v>
          </cell>
          <cell r="U110">
            <v>804</v>
          </cell>
          <cell r="V110">
            <v>684</v>
          </cell>
          <cell r="W110">
            <v>446</v>
          </cell>
          <cell r="X110">
            <v>440</v>
          </cell>
          <cell r="Y110">
            <v>342</v>
          </cell>
          <cell r="Z110">
            <v>313</v>
          </cell>
          <cell r="AA110">
            <v>516</v>
          </cell>
          <cell r="AB110">
            <v>445</v>
          </cell>
          <cell r="AC110">
            <v>684</v>
          </cell>
          <cell r="AD110">
            <v>899</v>
          </cell>
          <cell r="AE110">
            <v>1474</v>
          </cell>
          <cell r="AF110">
            <v>799</v>
          </cell>
          <cell r="AG110">
            <v>781</v>
          </cell>
          <cell r="AH110">
            <v>351</v>
          </cell>
          <cell r="AI110">
            <v>964</v>
          </cell>
          <cell r="AJ110">
            <v>990</v>
          </cell>
          <cell r="AK110">
            <v>675</v>
          </cell>
          <cell r="AL110">
            <v>602</v>
          </cell>
          <cell r="AM110">
            <v>1248</v>
          </cell>
          <cell r="AN110">
            <v>1205</v>
          </cell>
          <cell r="AO110">
            <v>1506</v>
          </cell>
          <cell r="AP110">
            <v>1252</v>
          </cell>
          <cell r="AQ110">
            <v>1233</v>
          </cell>
          <cell r="AR110">
            <v>1408</v>
          </cell>
          <cell r="AS110">
            <v>1544</v>
          </cell>
          <cell r="AT110">
            <v>976</v>
          </cell>
          <cell r="AU110">
            <v>1643</v>
          </cell>
          <cell r="AV110">
            <v>2003</v>
          </cell>
          <cell r="AW110">
            <v>1005</v>
          </cell>
          <cell r="AX110">
            <v>1706</v>
          </cell>
          <cell r="AY110">
            <v>1803</v>
          </cell>
          <cell r="AZ110">
            <v>2294.9671428571428</v>
          </cell>
          <cell r="BA110">
            <v>1996.8685714285714</v>
          </cell>
          <cell r="BB110">
            <v>1858.0514285714285</v>
          </cell>
          <cell r="BC110">
            <v>1769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N111" t="str">
            <v>LIN</v>
          </cell>
          <cell r="O111">
            <v>795</v>
          </cell>
          <cell r="P111">
            <v>820</v>
          </cell>
          <cell r="Q111">
            <v>1587</v>
          </cell>
          <cell r="R111">
            <v>939</v>
          </cell>
          <cell r="S111">
            <v>1177</v>
          </cell>
          <cell r="T111">
            <v>929</v>
          </cell>
          <cell r="U111">
            <v>1205</v>
          </cell>
          <cell r="V111">
            <v>790</v>
          </cell>
          <cell r="W111">
            <v>805</v>
          </cell>
          <cell r="X111">
            <v>547</v>
          </cell>
          <cell r="Y111">
            <v>877</v>
          </cell>
          <cell r="Z111">
            <v>754</v>
          </cell>
          <cell r="AA111">
            <v>668</v>
          </cell>
          <cell r="AB111">
            <v>695</v>
          </cell>
          <cell r="AC111">
            <v>565</v>
          </cell>
          <cell r="AD111">
            <v>980</v>
          </cell>
          <cell r="AE111">
            <v>710</v>
          </cell>
          <cell r="AF111">
            <v>688</v>
          </cell>
          <cell r="AG111">
            <v>935</v>
          </cell>
          <cell r="AH111">
            <v>572</v>
          </cell>
          <cell r="AI111">
            <v>741</v>
          </cell>
          <cell r="AJ111">
            <v>858</v>
          </cell>
          <cell r="AK111">
            <v>882</v>
          </cell>
          <cell r="AL111">
            <v>978</v>
          </cell>
          <cell r="AM111">
            <v>1121</v>
          </cell>
          <cell r="AN111">
            <v>1332</v>
          </cell>
          <cell r="AO111">
            <v>1648</v>
          </cell>
          <cell r="AP111">
            <v>1301</v>
          </cell>
          <cell r="AQ111">
            <v>1057</v>
          </cell>
          <cell r="AR111">
            <v>1511</v>
          </cell>
          <cell r="AS111">
            <v>1145</v>
          </cell>
          <cell r="AT111">
            <v>1248</v>
          </cell>
          <cell r="AU111">
            <v>1227</v>
          </cell>
          <cell r="AV111">
            <v>1482</v>
          </cell>
          <cell r="AW111">
            <v>1100</v>
          </cell>
          <cell r="AX111">
            <v>1393</v>
          </cell>
          <cell r="AY111">
            <v>1256</v>
          </cell>
          <cell r="AZ111">
            <v>1449.9737500000001</v>
          </cell>
          <cell r="BA111">
            <v>1188.9000000000001</v>
          </cell>
          <cell r="BB111">
            <v>1054.79375</v>
          </cell>
          <cell r="BC111">
            <v>1069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N112" t="str">
            <v>LAR</v>
          </cell>
          <cell r="O112">
            <v>54</v>
          </cell>
          <cell r="P112">
            <v>58</v>
          </cell>
          <cell r="Q112">
            <v>59</v>
          </cell>
          <cell r="R112">
            <v>66</v>
          </cell>
          <cell r="S112">
            <v>63</v>
          </cell>
          <cell r="T112">
            <v>42</v>
          </cell>
          <cell r="U112">
            <v>35</v>
          </cell>
          <cell r="V112">
            <v>28</v>
          </cell>
          <cell r="W112">
            <v>22</v>
          </cell>
          <cell r="X112">
            <v>35</v>
          </cell>
          <cell r="Y112">
            <v>39</v>
          </cell>
          <cell r="Z112">
            <v>19</v>
          </cell>
          <cell r="AA112">
            <v>35</v>
          </cell>
          <cell r="AB112">
            <v>24</v>
          </cell>
          <cell r="AC112">
            <v>39</v>
          </cell>
          <cell r="AD112">
            <v>40</v>
          </cell>
          <cell r="AE112">
            <v>56</v>
          </cell>
          <cell r="AF112">
            <v>34</v>
          </cell>
          <cell r="AG112">
            <v>67</v>
          </cell>
          <cell r="AH112">
            <v>23</v>
          </cell>
          <cell r="AI112">
            <v>45</v>
          </cell>
          <cell r="AJ112">
            <v>59</v>
          </cell>
          <cell r="AK112">
            <v>44</v>
          </cell>
          <cell r="AL112">
            <v>38</v>
          </cell>
          <cell r="AM112">
            <v>43</v>
          </cell>
          <cell r="AN112">
            <v>35</v>
          </cell>
          <cell r="AO112">
            <v>33</v>
          </cell>
          <cell r="AP112">
            <v>55</v>
          </cell>
          <cell r="AQ112">
            <v>52</v>
          </cell>
          <cell r="AR112">
            <v>61</v>
          </cell>
          <cell r="AS112">
            <v>62</v>
          </cell>
          <cell r="AT112">
            <v>31</v>
          </cell>
          <cell r="AU112">
            <v>83</v>
          </cell>
          <cell r="AV112">
            <v>82</v>
          </cell>
          <cell r="AW112">
            <v>55</v>
          </cell>
          <cell r="AX112">
            <v>65</v>
          </cell>
          <cell r="AY112">
            <v>81</v>
          </cell>
          <cell r="AZ112">
            <v>86.529411764705884</v>
          </cell>
          <cell r="BA112">
            <v>94.969696969696969</v>
          </cell>
          <cell r="BB112">
            <v>93.648841354723714</v>
          </cell>
          <cell r="BC112">
            <v>103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N113" t="str">
            <v>LAR</v>
          </cell>
          <cell r="O113">
            <v>54</v>
          </cell>
          <cell r="P113">
            <v>58</v>
          </cell>
          <cell r="Q113">
            <v>59</v>
          </cell>
          <cell r="R113">
            <v>66</v>
          </cell>
          <cell r="S113">
            <v>63</v>
          </cell>
          <cell r="T113">
            <v>42</v>
          </cell>
          <cell r="U113">
            <v>35</v>
          </cell>
          <cell r="V113">
            <v>28</v>
          </cell>
          <cell r="W113">
            <v>22</v>
          </cell>
          <cell r="X113">
            <v>35</v>
          </cell>
          <cell r="Y113">
            <v>39</v>
          </cell>
          <cell r="Z113">
            <v>19</v>
          </cell>
          <cell r="AA113">
            <v>35</v>
          </cell>
          <cell r="AB113">
            <v>24</v>
          </cell>
          <cell r="AC113">
            <v>39</v>
          </cell>
          <cell r="AD113">
            <v>40</v>
          </cell>
          <cell r="AE113">
            <v>56</v>
          </cell>
          <cell r="AF113">
            <v>34</v>
          </cell>
          <cell r="AG113">
            <v>67</v>
          </cell>
          <cell r="AH113">
            <v>23</v>
          </cell>
          <cell r="AI113">
            <v>45</v>
          </cell>
          <cell r="AJ113">
            <v>59</v>
          </cell>
          <cell r="AK113">
            <v>44</v>
          </cell>
          <cell r="AL113">
            <v>38</v>
          </cell>
          <cell r="AM113">
            <v>43</v>
          </cell>
          <cell r="AN113">
            <v>35</v>
          </cell>
          <cell r="AO113">
            <v>33</v>
          </cell>
          <cell r="AP113">
            <v>55</v>
          </cell>
          <cell r="AQ113">
            <v>52</v>
          </cell>
          <cell r="AR113">
            <v>61</v>
          </cell>
          <cell r="AS113">
            <v>62</v>
          </cell>
          <cell r="AT113">
            <v>31</v>
          </cell>
          <cell r="AU113">
            <v>83</v>
          </cell>
          <cell r="AV113">
            <v>82</v>
          </cell>
          <cell r="AW113">
            <v>55</v>
          </cell>
          <cell r="AX113">
            <v>65</v>
          </cell>
          <cell r="AY113">
            <v>81</v>
          </cell>
          <cell r="AZ113">
            <v>86.529411764705884</v>
          </cell>
          <cell r="BA113">
            <v>94.969696969696969</v>
          </cell>
          <cell r="BB113">
            <v>93.648841354723714</v>
          </cell>
          <cell r="BC113">
            <v>103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N114" t="str">
            <v>LOX</v>
          </cell>
          <cell r="O114">
            <v>26.966666666666665</v>
          </cell>
          <cell r="P114">
            <v>34.6</v>
          </cell>
          <cell r="Q114">
            <v>36</v>
          </cell>
          <cell r="R114">
            <v>47.833333333333336</v>
          </cell>
          <cell r="S114">
            <v>39.6</v>
          </cell>
          <cell r="T114">
            <v>25.9</v>
          </cell>
          <cell r="U114">
            <v>26.8</v>
          </cell>
          <cell r="V114">
            <v>22.8</v>
          </cell>
          <cell r="W114">
            <v>14.866666666666667</v>
          </cell>
          <cell r="X114">
            <v>14.666666666666666</v>
          </cell>
          <cell r="Y114">
            <v>11.4</v>
          </cell>
          <cell r="Z114">
            <v>10.433333333333334</v>
          </cell>
          <cell r="AA114">
            <v>17.2</v>
          </cell>
          <cell r="AB114">
            <v>14.833333333333334</v>
          </cell>
          <cell r="AC114">
            <v>22.8</v>
          </cell>
          <cell r="AD114">
            <v>29.966666666666665</v>
          </cell>
          <cell r="AE114">
            <v>49.133333333333333</v>
          </cell>
          <cell r="AF114">
            <v>26.633333333333333</v>
          </cell>
          <cell r="AG114">
            <v>26.033333333333335</v>
          </cell>
          <cell r="AH114">
            <v>11.7</v>
          </cell>
          <cell r="AI114">
            <v>32.133333333333333</v>
          </cell>
          <cell r="AJ114">
            <v>33</v>
          </cell>
          <cell r="AK114">
            <v>22.5</v>
          </cell>
          <cell r="AL114">
            <v>20.066666666666666</v>
          </cell>
          <cell r="AM114">
            <v>41.6</v>
          </cell>
          <cell r="AN114">
            <v>40.166666666666664</v>
          </cell>
          <cell r="AO114">
            <v>50.2</v>
          </cell>
          <cell r="AP114">
            <v>41.733333333333334</v>
          </cell>
          <cell r="AQ114">
            <v>41.1</v>
          </cell>
          <cell r="AR114">
            <v>46.93333333333333</v>
          </cell>
          <cell r="AS114">
            <v>51.466666666666669</v>
          </cell>
          <cell r="AT114">
            <v>31.483870967741936</v>
          </cell>
          <cell r="AU114">
            <v>56.655172413793103</v>
          </cell>
          <cell r="AV114">
            <v>64.612903225806448</v>
          </cell>
          <cell r="AW114">
            <v>33.5</v>
          </cell>
          <cell r="AX114">
            <v>55.032258064516128</v>
          </cell>
          <cell r="AY114">
            <v>60.1</v>
          </cell>
          <cell r="AZ114">
            <v>74.031198156682024</v>
          </cell>
          <cell r="BA114">
            <v>64.415115207373276</v>
          </cell>
          <cell r="BB114">
            <v>61.935047619047616</v>
          </cell>
          <cell r="BC114">
            <v>57.121580645161288</v>
          </cell>
          <cell r="BD114">
            <v>60.376363666666656</v>
          </cell>
          <cell r="BE114">
            <v>49.404193548387099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N115" t="str">
            <v>LIN</v>
          </cell>
          <cell r="O115">
            <v>26.5</v>
          </cell>
          <cell r="P115">
            <v>27.333333333333332</v>
          </cell>
          <cell r="Q115">
            <v>52.9</v>
          </cell>
          <cell r="R115">
            <v>31.3</v>
          </cell>
          <cell r="S115">
            <v>39.233333333333334</v>
          </cell>
          <cell r="T115">
            <v>30.966666666666665</v>
          </cell>
          <cell r="U115">
            <v>40.166666666666664</v>
          </cell>
          <cell r="V115">
            <v>26.333333333333332</v>
          </cell>
          <cell r="W115">
            <v>26.833333333333332</v>
          </cell>
          <cell r="X115">
            <v>18.233333333333334</v>
          </cell>
          <cell r="Y115">
            <v>29.233333333333334</v>
          </cell>
          <cell r="Z115">
            <v>25.133333333333333</v>
          </cell>
          <cell r="AA115">
            <v>22.266666666666666</v>
          </cell>
          <cell r="AB115">
            <v>23.166666666666668</v>
          </cell>
          <cell r="AC115">
            <v>18.833333333333332</v>
          </cell>
          <cell r="AD115">
            <v>32.666666666666664</v>
          </cell>
          <cell r="AE115">
            <v>23.666666666666668</v>
          </cell>
          <cell r="AF115">
            <v>22.933333333333334</v>
          </cell>
          <cell r="AG115">
            <v>31.166666666666668</v>
          </cell>
          <cell r="AH115">
            <v>19.066666666666666</v>
          </cell>
          <cell r="AI115">
            <v>24.7</v>
          </cell>
          <cell r="AJ115">
            <v>28.6</v>
          </cell>
          <cell r="AK115">
            <v>29.4</v>
          </cell>
          <cell r="AL115">
            <v>32.6</v>
          </cell>
          <cell r="AM115">
            <v>37.366666666666667</v>
          </cell>
          <cell r="AN115">
            <v>44.4</v>
          </cell>
          <cell r="AO115">
            <v>54.93333333333333</v>
          </cell>
          <cell r="AP115">
            <v>43.366666666666667</v>
          </cell>
          <cell r="AQ115">
            <v>35.233333333333334</v>
          </cell>
          <cell r="AR115">
            <v>50.366666666666667</v>
          </cell>
          <cell r="AS115">
            <v>38.166666666666664</v>
          </cell>
          <cell r="AT115">
            <v>40.258064516129032</v>
          </cell>
          <cell r="AU115">
            <v>42.310344827586206</v>
          </cell>
          <cell r="AV115">
            <v>47.806451612903224</v>
          </cell>
          <cell r="AW115">
            <v>36.666666666666664</v>
          </cell>
          <cell r="AX115">
            <v>44.935483870967744</v>
          </cell>
          <cell r="AY115">
            <v>41.866666666666667</v>
          </cell>
          <cell r="AZ115">
            <v>46.773346774193548</v>
          </cell>
          <cell r="BA115">
            <v>38.351612903225806</v>
          </cell>
          <cell r="BB115">
            <v>35.159791666666671</v>
          </cell>
          <cell r="BC115">
            <v>34.483870967741936</v>
          </cell>
          <cell r="BD115">
            <v>41.204374999999999</v>
          </cell>
          <cell r="BE115">
            <v>31.06451612903226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N116" t="str">
            <v>LAR</v>
          </cell>
          <cell r="O116">
            <v>1.8</v>
          </cell>
          <cell r="P116">
            <v>1.9333333333333333</v>
          </cell>
          <cell r="Q116">
            <v>1.9666666666666666</v>
          </cell>
          <cell r="R116">
            <v>2.2000000000000002</v>
          </cell>
          <cell r="S116">
            <v>2.1</v>
          </cell>
          <cell r="T116">
            <v>1.4</v>
          </cell>
          <cell r="U116">
            <v>1.1666666666666667</v>
          </cell>
          <cell r="V116">
            <v>0.93333333333333335</v>
          </cell>
          <cell r="W116">
            <v>0.73333333333333328</v>
          </cell>
          <cell r="X116">
            <v>1.1666666666666667</v>
          </cell>
          <cell r="Y116">
            <v>1.3</v>
          </cell>
          <cell r="Z116">
            <v>0.6333333333333333</v>
          </cell>
          <cell r="AA116">
            <v>1.1666666666666667</v>
          </cell>
          <cell r="AB116">
            <v>0.8</v>
          </cell>
          <cell r="AC116">
            <v>1.3</v>
          </cell>
          <cell r="AD116">
            <v>1.3333333333333333</v>
          </cell>
          <cell r="AE116">
            <v>1.8666666666666667</v>
          </cell>
          <cell r="AF116">
            <v>1.1333333333333333</v>
          </cell>
          <cell r="AG116">
            <v>2.2333333333333334</v>
          </cell>
          <cell r="AH116">
            <v>0.76666666666666672</v>
          </cell>
          <cell r="AI116">
            <v>1.5</v>
          </cell>
          <cell r="AJ116">
            <v>1.9666666666666666</v>
          </cell>
          <cell r="AK116">
            <v>1.4666666666666666</v>
          </cell>
          <cell r="AL116">
            <v>1.2666666666666666</v>
          </cell>
          <cell r="AM116">
            <v>1.4333333333333333</v>
          </cell>
          <cell r="AN116">
            <v>1.1666666666666667</v>
          </cell>
          <cell r="AO116">
            <v>1.1000000000000001</v>
          </cell>
          <cell r="AP116">
            <v>1.8333333333333333</v>
          </cell>
          <cell r="AQ116">
            <v>1.7333333333333334</v>
          </cell>
          <cell r="AR116">
            <v>2.0333333333333332</v>
          </cell>
          <cell r="AS116">
            <v>2.0666666666666669</v>
          </cell>
          <cell r="AT116">
            <v>1</v>
          </cell>
          <cell r="AU116">
            <v>2.8620689655172415</v>
          </cell>
          <cell r="AV116">
            <v>2.6451612903225805</v>
          </cell>
          <cell r="AW116">
            <v>1.8333333333333333</v>
          </cell>
          <cell r="AX116">
            <v>2.096774193548387</v>
          </cell>
          <cell r="AY116">
            <v>2.7</v>
          </cell>
          <cell r="AZ116">
            <v>2.7912713472485771</v>
          </cell>
          <cell r="BA116">
            <v>3.0635386119257086</v>
          </cell>
          <cell r="BB116">
            <v>3.1216280451574572</v>
          </cell>
          <cell r="BC116">
            <v>3.3253184516129033</v>
          </cell>
          <cell r="BD116">
            <v>3.5059762666666665</v>
          </cell>
          <cell r="BE116">
            <v>2.0339326451612902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N117" t="str">
            <v>LAR</v>
          </cell>
          <cell r="O117">
            <v>55.266666666666666</v>
          </cell>
          <cell r="P117">
            <v>63.866666666666667</v>
          </cell>
          <cell r="Q117">
            <v>90.866666666666674</v>
          </cell>
          <cell r="R117">
            <v>81.333333333333343</v>
          </cell>
          <cell r="S117">
            <v>80.933333333333337</v>
          </cell>
          <cell r="T117">
            <v>58.266666666666659</v>
          </cell>
          <cell r="U117">
            <v>68.13333333333334</v>
          </cell>
          <cell r="V117">
            <v>50.066666666666663</v>
          </cell>
          <cell r="W117">
            <v>42.433333333333337</v>
          </cell>
          <cell r="X117">
            <v>34.066666666666663</v>
          </cell>
          <cell r="Y117">
            <v>41.93333333333333</v>
          </cell>
          <cell r="Z117">
            <v>36.199999999999996</v>
          </cell>
          <cell r="AA117">
            <v>40.633333333333333</v>
          </cell>
          <cell r="AB117">
            <v>38.799999999999997</v>
          </cell>
          <cell r="AC117">
            <v>42.93333333333333</v>
          </cell>
          <cell r="AD117">
            <v>63.966666666666661</v>
          </cell>
          <cell r="AE117">
            <v>74.666666666666657</v>
          </cell>
          <cell r="AF117">
            <v>50.699999999999996</v>
          </cell>
          <cell r="AG117">
            <v>59.433333333333337</v>
          </cell>
          <cell r="AH117">
            <v>31.533333333333331</v>
          </cell>
          <cell r="AI117">
            <v>58.333333333333329</v>
          </cell>
          <cell r="AJ117">
            <v>63.56666666666667</v>
          </cell>
          <cell r="AK117">
            <v>53.366666666666667</v>
          </cell>
          <cell r="AL117">
            <v>53.933333333333337</v>
          </cell>
          <cell r="AM117">
            <v>80.400000000000006</v>
          </cell>
          <cell r="AN117">
            <v>85.733333333333334</v>
          </cell>
          <cell r="AO117">
            <v>106.23333333333332</v>
          </cell>
          <cell r="AP117">
            <v>86.933333333333323</v>
          </cell>
          <cell r="AQ117">
            <v>78.066666666666677</v>
          </cell>
          <cell r="AR117">
            <v>99.333333333333329</v>
          </cell>
          <cell r="AS117">
            <v>91.699999999999989</v>
          </cell>
          <cell r="AT117">
            <v>72.741935483870975</v>
          </cell>
          <cell r="AU117">
            <v>101.82758620689654</v>
          </cell>
          <cell r="AV117">
            <v>115.06451612903224</v>
          </cell>
          <cell r="AW117">
            <v>71.999999999999986</v>
          </cell>
          <cell r="AX117">
            <v>102.06451612903226</v>
          </cell>
          <cell r="AY117">
            <v>104.66666666666667</v>
          </cell>
          <cell r="AZ117">
            <v>123.59581627812416</v>
          </cell>
          <cell r="BA117">
            <v>105.83026672252478</v>
          </cell>
          <cell r="BB117">
            <v>100.21646733087174</v>
          </cell>
          <cell r="BC117">
            <v>94.930770064516125</v>
          </cell>
          <cell r="BD117">
            <v>105.08671493333333</v>
          </cell>
          <cell r="BE117">
            <v>82.502642322580641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O118">
            <v>55.266666666666666</v>
          </cell>
          <cell r="P118">
            <v>63.866666666666667</v>
          </cell>
          <cell r="Q118">
            <v>90.866666666666674</v>
          </cell>
          <cell r="R118">
            <v>81.333333333333343</v>
          </cell>
          <cell r="S118">
            <v>80.933333333333337</v>
          </cell>
          <cell r="T118">
            <v>58.266666666666659</v>
          </cell>
          <cell r="U118">
            <v>68.13333333333334</v>
          </cell>
          <cell r="V118">
            <v>50.066666666666663</v>
          </cell>
          <cell r="W118">
            <v>42.433333333333337</v>
          </cell>
          <cell r="X118">
            <v>34.066666666666663</v>
          </cell>
          <cell r="Y118">
            <v>41.93333333333333</v>
          </cell>
          <cell r="Z118">
            <v>36.199999999999996</v>
          </cell>
          <cell r="AA118">
            <v>40.633333333333333</v>
          </cell>
          <cell r="AB118">
            <v>38.799999999999997</v>
          </cell>
          <cell r="AC118">
            <v>42.93333333333333</v>
          </cell>
          <cell r="AD118">
            <v>63.966666666666661</v>
          </cell>
          <cell r="AE118">
            <v>74.666666666666657</v>
          </cell>
          <cell r="AF118">
            <v>50.699999999999996</v>
          </cell>
          <cell r="AG118">
            <v>59.433333333333337</v>
          </cell>
          <cell r="AH118">
            <v>31.533333333333331</v>
          </cell>
          <cell r="AI118">
            <v>58.333333333333329</v>
          </cell>
          <cell r="AJ118">
            <v>63.56666666666667</v>
          </cell>
          <cell r="AK118">
            <v>53.366666666666667</v>
          </cell>
          <cell r="AL118">
            <v>53.933333333333337</v>
          </cell>
          <cell r="AM118">
            <v>80.400000000000006</v>
          </cell>
          <cell r="AN118">
            <v>85.733333333333334</v>
          </cell>
          <cell r="AO118">
            <v>106.23333333333332</v>
          </cell>
          <cell r="AP118">
            <v>86.933333333333323</v>
          </cell>
          <cell r="AQ118">
            <v>78.066666666666677</v>
          </cell>
          <cell r="AR118">
            <v>99.333333333333329</v>
          </cell>
          <cell r="AS118">
            <v>91.699999999999989</v>
          </cell>
          <cell r="AT118">
            <v>72.741935483870975</v>
          </cell>
          <cell r="AU118">
            <v>101.82758620689654</v>
          </cell>
          <cell r="AV118">
            <v>115.06451612903224</v>
          </cell>
          <cell r="AW118">
            <v>71.999999999999986</v>
          </cell>
          <cell r="AX118">
            <v>102.06451612903226</v>
          </cell>
          <cell r="AY118">
            <v>104.66666666666667</v>
          </cell>
          <cell r="AZ118">
            <v>123.59581627812416</v>
          </cell>
          <cell r="BA118">
            <v>105.83026672252478</v>
          </cell>
          <cell r="BB118">
            <v>100.21646733087174</v>
          </cell>
          <cell r="BC118">
            <v>94.930770064516125</v>
          </cell>
          <cell r="BD118">
            <v>105.08671493333333</v>
          </cell>
          <cell r="BE118">
            <v>82.502642322580641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20">
          <cell r="N120" t="str">
            <v>API</v>
          </cell>
        </row>
        <row r="121">
          <cell r="N121" t="str">
            <v>LOX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11.833333333333334</v>
          </cell>
          <cell r="AQ121">
            <v>31.1</v>
          </cell>
          <cell r="AR121">
            <v>11.8</v>
          </cell>
          <cell r="AS121">
            <v>49.033333333333331</v>
          </cell>
          <cell r="AT121">
            <v>12.258064516129032</v>
          </cell>
          <cell r="AU121">
            <v>10.793103448275861</v>
          </cell>
          <cell r="AV121">
            <v>11.612903225806452</v>
          </cell>
          <cell r="AW121">
            <v>34.633333333333333</v>
          </cell>
          <cell r="AX121">
            <v>19.483870967741936</v>
          </cell>
          <cell r="AY121">
            <v>3.4333333333333331</v>
          </cell>
          <cell r="AZ121">
            <v>19.786129032258064</v>
          </cell>
          <cell r="BA121">
            <v>21.70967741935484</v>
          </cell>
          <cell r="BB121">
            <v>16.733333333333334</v>
          </cell>
          <cell r="BC121">
            <v>7.838709677419355</v>
          </cell>
          <cell r="BD121">
            <v>7.5</v>
          </cell>
          <cell r="BE121">
            <v>5.709677419354839</v>
          </cell>
          <cell r="BF121">
            <v>51.838709677419352</v>
          </cell>
          <cell r="BG121">
            <v>52</v>
          </cell>
          <cell r="BH121">
            <v>58.524590163934427</v>
          </cell>
          <cell r="BI121">
            <v>78</v>
          </cell>
          <cell r="BJ121">
            <v>91.63333333333334</v>
          </cell>
          <cell r="BK121">
            <v>90.290322580645167</v>
          </cell>
          <cell r="BL121">
            <v>82.451612903225808</v>
          </cell>
          <cell r="BM121">
            <v>73</v>
          </cell>
          <cell r="BN121">
            <v>106.06451612903226</v>
          </cell>
          <cell r="BO121">
            <v>91.5</v>
          </cell>
          <cell r="BP121">
            <v>79.225806451612897</v>
          </cell>
          <cell r="BQ121">
            <v>72.58064516129032</v>
          </cell>
          <cell r="BR121">
            <v>70.964285714285708</v>
          </cell>
          <cell r="BS121">
            <v>79.516129032258064</v>
          </cell>
          <cell r="BT121">
            <v>77.3</v>
          </cell>
          <cell r="BU121">
            <v>76.935483870967744</v>
          </cell>
          <cell r="BV121">
            <v>87.266666666666666</v>
          </cell>
          <cell r="BW121">
            <v>89.903225806451616</v>
          </cell>
          <cell r="BX121">
            <v>90.193548387096769</v>
          </cell>
          <cell r="BY121">
            <v>90.833333333333329</v>
          </cell>
          <cell r="BZ121">
            <v>93.838709677419359</v>
          </cell>
          <cell r="CA121">
            <v>73.566666666666663</v>
          </cell>
          <cell r="CB121">
            <v>72.451612903225808</v>
          </cell>
          <cell r="CC121">
            <v>84.032258064516128</v>
          </cell>
          <cell r="CD121">
            <v>96.821428571428569</v>
          </cell>
          <cell r="CE121">
            <v>98.032258064516128</v>
          </cell>
          <cell r="CF121">
            <v>95.233333333333334</v>
          </cell>
          <cell r="CG121">
            <v>54.225806451612904</v>
          </cell>
          <cell r="CH121">
            <v>78.933333333333337</v>
          </cell>
          <cell r="CI121">
            <v>0</v>
          </cell>
          <cell r="CJ121">
            <v>0</v>
          </cell>
          <cell r="CK121">
            <v>0</v>
          </cell>
        </row>
        <row r="122">
          <cell r="N122" t="str">
            <v>LIN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13.766666666666667</v>
          </cell>
          <cell r="AQ122">
            <v>7.7</v>
          </cell>
          <cell r="AR122">
            <v>12.466666666666667</v>
          </cell>
          <cell r="AS122">
            <v>11.2</v>
          </cell>
          <cell r="AT122">
            <v>10.548387096774194</v>
          </cell>
          <cell r="AU122">
            <v>7.1724137931034484</v>
          </cell>
          <cell r="AV122">
            <v>4.806451612903226</v>
          </cell>
          <cell r="AW122">
            <v>12.866666666666667</v>
          </cell>
          <cell r="AX122">
            <v>6.419354838709677</v>
          </cell>
          <cell r="AY122">
            <v>8.9</v>
          </cell>
          <cell r="AZ122">
            <v>2.0609677419354839</v>
          </cell>
          <cell r="BA122">
            <v>6.064516129032258</v>
          </cell>
          <cell r="BB122">
            <v>3.1</v>
          </cell>
          <cell r="BC122">
            <v>4.032258064516129</v>
          </cell>
          <cell r="BD122">
            <v>4.833333333333333</v>
          </cell>
          <cell r="BE122">
            <v>3.4516129032258065</v>
          </cell>
          <cell r="BF122">
            <v>45.483870967741936</v>
          </cell>
          <cell r="BG122">
            <v>45.428571428571431</v>
          </cell>
          <cell r="BH122">
            <v>39.459016393442624</v>
          </cell>
          <cell r="BI122">
            <v>43.193548387096776</v>
          </cell>
          <cell r="BJ122">
            <v>80.933333333333337</v>
          </cell>
          <cell r="BK122">
            <v>59.483870967741936</v>
          </cell>
          <cell r="BL122">
            <v>61.032258064516128</v>
          </cell>
          <cell r="BM122">
            <v>57</v>
          </cell>
          <cell r="BN122">
            <v>51.741935483870968</v>
          </cell>
          <cell r="BO122">
            <v>56.9</v>
          </cell>
          <cell r="BP122">
            <v>55.903225806451616</v>
          </cell>
          <cell r="BQ122">
            <v>51.064516129032256</v>
          </cell>
          <cell r="BR122">
            <v>65.357142857142861</v>
          </cell>
          <cell r="BS122">
            <v>69.548387096774192</v>
          </cell>
          <cell r="BT122">
            <v>64.033333333333331</v>
          </cell>
          <cell r="BU122">
            <v>59.677419354838712</v>
          </cell>
          <cell r="BV122">
            <v>61.133333333333333</v>
          </cell>
          <cell r="BW122">
            <v>63</v>
          </cell>
          <cell r="BX122">
            <v>66.193548387096769</v>
          </cell>
          <cell r="BY122">
            <v>70.566666666666663</v>
          </cell>
          <cell r="BZ122">
            <v>65.354838709677423</v>
          </cell>
          <cell r="CA122">
            <v>62.766666666666666</v>
          </cell>
          <cell r="CB122">
            <v>69</v>
          </cell>
          <cell r="CC122">
            <v>74.354838709677423</v>
          </cell>
          <cell r="CD122">
            <v>64.928571428571431</v>
          </cell>
          <cell r="CE122">
            <v>75.774193548387103</v>
          </cell>
          <cell r="CF122">
            <v>66.63333333333334</v>
          </cell>
          <cell r="CG122">
            <v>60.387096774193552</v>
          </cell>
          <cell r="CH122">
            <v>57.5</v>
          </cell>
          <cell r="CI122">
            <v>0</v>
          </cell>
          <cell r="CJ122">
            <v>0</v>
          </cell>
          <cell r="CK122">
            <v>0</v>
          </cell>
        </row>
        <row r="123">
          <cell r="N123" t="str">
            <v>LAR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0.33333333333333331</v>
          </cell>
          <cell r="AQ123">
            <v>0</v>
          </cell>
          <cell r="AR123">
            <v>0</v>
          </cell>
          <cell r="AS123">
            <v>0</v>
          </cell>
          <cell r="AT123">
            <v>0.12903225806451613</v>
          </cell>
          <cell r="AU123">
            <v>0.10344827586206896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2.4193548387096775</v>
          </cell>
          <cell r="BG123">
            <v>2.4642857142857144</v>
          </cell>
          <cell r="BH123">
            <v>1.8852459016393444</v>
          </cell>
          <cell r="BI123">
            <v>1.8709677419354838</v>
          </cell>
          <cell r="BJ123">
            <v>2.2333333333333334</v>
          </cell>
          <cell r="BK123">
            <v>1.8709677419354838</v>
          </cell>
          <cell r="BL123">
            <v>2.4838709677419355</v>
          </cell>
          <cell r="BM123">
            <v>2</v>
          </cell>
          <cell r="BN123">
            <v>1.7419354838709677</v>
          </cell>
          <cell r="BO123">
            <v>2.6666666666666665</v>
          </cell>
          <cell r="BP123">
            <v>1.1290322580645162</v>
          </cell>
          <cell r="BQ123">
            <v>2.2903225806451615</v>
          </cell>
          <cell r="BR123">
            <v>2.1428571428571428</v>
          </cell>
          <cell r="BS123">
            <v>1.8064516129032258</v>
          </cell>
          <cell r="BT123">
            <v>2.8</v>
          </cell>
          <cell r="BU123">
            <v>2.3225806451612905</v>
          </cell>
          <cell r="BV123">
            <v>2.9</v>
          </cell>
          <cell r="BW123">
            <v>3.2903225806451615</v>
          </cell>
          <cell r="BX123">
            <v>2.2903225806451615</v>
          </cell>
          <cell r="BY123">
            <v>2.1666666666666665</v>
          </cell>
          <cell r="BZ123">
            <v>3.3548387096774195</v>
          </cell>
          <cell r="CA123">
            <v>2.6666666666666665</v>
          </cell>
          <cell r="CB123">
            <v>2</v>
          </cell>
          <cell r="CC123">
            <v>3.225806451612903</v>
          </cell>
          <cell r="CD123">
            <v>4.3571428571428568</v>
          </cell>
          <cell r="CE123">
            <v>3.6451612903225805</v>
          </cell>
          <cell r="CF123">
            <v>3.5</v>
          </cell>
          <cell r="CG123">
            <v>3.5483870967741935</v>
          </cell>
          <cell r="CH123">
            <v>3.9333333333333331</v>
          </cell>
          <cell r="CI123">
            <v>0</v>
          </cell>
          <cell r="CJ123">
            <v>0</v>
          </cell>
          <cell r="CK123">
            <v>0</v>
          </cell>
        </row>
        <row r="124">
          <cell r="N124" t="str">
            <v>LAR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25.933333333333334</v>
          </cell>
          <cell r="AQ124">
            <v>38.800000000000004</v>
          </cell>
          <cell r="AR124">
            <v>24.266666666666666</v>
          </cell>
          <cell r="AS124">
            <v>60.233333333333334</v>
          </cell>
          <cell r="AT124">
            <v>22.93548387096774</v>
          </cell>
          <cell r="AU124">
            <v>18.068965517241377</v>
          </cell>
          <cell r="AV124">
            <v>16.41935483870968</v>
          </cell>
          <cell r="AW124">
            <v>47.5</v>
          </cell>
          <cell r="AX124">
            <v>25.903225806451612</v>
          </cell>
          <cell r="AY124">
            <v>12.333333333333334</v>
          </cell>
          <cell r="AZ124">
            <v>21.847096774193549</v>
          </cell>
          <cell r="BA124">
            <v>27.774193548387096</v>
          </cell>
          <cell r="BB124">
            <v>19.833333333333336</v>
          </cell>
          <cell r="BC124">
            <v>11.870967741935484</v>
          </cell>
          <cell r="BD124">
            <v>12.333333333333332</v>
          </cell>
          <cell r="BE124">
            <v>9.1612903225806459</v>
          </cell>
          <cell r="BF124">
            <v>99.741935483870961</v>
          </cell>
          <cell r="BG124">
            <v>99.892857142857139</v>
          </cell>
          <cell r="BH124">
            <v>99.868852459016395</v>
          </cell>
          <cell r="BI124">
            <v>123.06451612903226</v>
          </cell>
          <cell r="BJ124">
            <v>174.79999999999998</v>
          </cell>
          <cell r="BK124">
            <v>151.64516129032259</v>
          </cell>
          <cell r="BL124">
            <v>145.96774193548387</v>
          </cell>
          <cell r="BM124">
            <v>132</v>
          </cell>
          <cell r="BN124">
            <v>159.54838709677421</v>
          </cell>
          <cell r="BO124">
            <v>151.06666666666666</v>
          </cell>
          <cell r="BP124">
            <v>136.25806451612902</v>
          </cell>
          <cell r="BQ124">
            <v>125.93548387096774</v>
          </cell>
          <cell r="BR124">
            <v>138.46428571428569</v>
          </cell>
          <cell r="BS124">
            <v>150.87096774193549</v>
          </cell>
          <cell r="BT124">
            <v>144.13333333333333</v>
          </cell>
          <cell r="BU124">
            <v>138.93548387096774</v>
          </cell>
          <cell r="BV124">
            <v>151.30000000000001</v>
          </cell>
          <cell r="BW124">
            <v>156.19354838709677</v>
          </cell>
          <cell r="BX124">
            <v>158.67741935483869</v>
          </cell>
          <cell r="BY124">
            <v>163.56666666666663</v>
          </cell>
          <cell r="BZ124">
            <v>162.54838709677418</v>
          </cell>
          <cell r="CA124">
            <v>138.99999999999997</v>
          </cell>
          <cell r="CB124">
            <v>143.45161290322579</v>
          </cell>
          <cell r="CC124">
            <v>161.61290322580643</v>
          </cell>
          <cell r="CD124">
            <v>166.10714285714286</v>
          </cell>
          <cell r="CE124">
            <v>177.45161290322582</v>
          </cell>
          <cell r="CF124">
            <v>165.36666666666667</v>
          </cell>
          <cell r="CG124">
            <v>118.16129032258065</v>
          </cell>
          <cell r="CH124">
            <v>140.36666666666667</v>
          </cell>
          <cell r="CI124">
            <v>0</v>
          </cell>
          <cell r="CJ124">
            <v>0</v>
          </cell>
          <cell r="CK124">
            <v>0</v>
          </cell>
        </row>
        <row r="125"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25.933333333333334</v>
          </cell>
          <cell r="AQ125">
            <v>38.800000000000004</v>
          </cell>
          <cell r="AR125">
            <v>24.266666666666666</v>
          </cell>
          <cell r="AS125">
            <v>60.233333333333334</v>
          </cell>
          <cell r="AT125">
            <v>22.93548387096774</v>
          </cell>
          <cell r="AU125">
            <v>18.068965517241377</v>
          </cell>
          <cell r="AV125">
            <v>16.41935483870968</v>
          </cell>
          <cell r="AW125">
            <v>47.5</v>
          </cell>
          <cell r="AX125">
            <v>25.903225806451612</v>
          </cell>
          <cell r="AY125">
            <v>12.333333333333334</v>
          </cell>
          <cell r="AZ125">
            <v>21.847096774193549</v>
          </cell>
          <cell r="BA125">
            <v>27.774193548387096</v>
          </cell>
          <cell r="BB125">
            <v>19.833333333333336</v>
          </cell>
          <cell r="BC125">
            <v>11.870967741935484</v>
          </cell>
          <cell r="BD125">
            <v>12.333333333333332</v>
          </cell>
          <cell r="BE125">
            <v>9.1612903225806459</v>
          </cell>
          <cell r="BF125">
            <v>99.741935483870961</v>
          </cell>
          <cell r="BG125">
            <v>99.892857142857139</v>
          </cell>
          <cell r="BH125">
            <v>99.868852459016395</v>
          </cell>
          <cell r="BI125">
            <v>123.06451612903226</v>
          </cell>
          <cell r="BJ125">
            <v>174.79999999999998</v>
          </cell>
          <cell r="BK125">
            <v>151.64516129032259</v>
          </cell>
          <cell r="BL125">
            <v>145.96774193548387</v>
          </cell>
          <cell r="BM125">
            <v>132</v>
          </cell>
          <cell r="BN125">
            <v>159.54838709677421</v>
          </cell>
          <cell r="BO125">
            <v>151.06666666666666</v>
          </cell>
          <cell r="BP125">
            <v>136.25806451612902</v>
          </cell>
          <cell r="BQ125">
            <v>125.93548387096774</v>
          </cell>
          <cell r="BR125">
            <v>138.46428571428569</v>
          </cell>
          <cell r="BS125">
            <v>150.87096774193549</v>
          </cell>
          <cell r="BT125">
            <v>144.13333333333333</v>
          </cell>
          <cell r="BU125">
            <v>138.93548387096774</v>
          </cell>
          <cell r="BV125">
            <v>151.30000000000001</v>
          </cell>
          <cell r="BW125">
            <v>156.19354838709677</v>
          </cell>
          <cell r="BX125">
            <v>158.67741935483869</v>
          </cell>
          <cell r="BY125">
            <v>163.56666666666663</v>
          </cell>
          <cell r="BZ125">
            <v>162.54838709677418</v>
          </cell>
          <cell r="CA125">
            <v>138.99999999999997</v>
          </cell>
          <cell r="CB125">
            <v>143.45161290322579</v>
          </cell>
          <cell r="CC125">
            <v>161.61290322580643</v>
          </cell>
          <cell r="CD125">
            <v>166.10714285714286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N126" t="str">
            <v>API</v>
          </cell>
        </row>
        <row r="127">
          <cell r="N127" t="str">
            <v>LOX</v>
          </cell>
          <cell r="AA127">
            <v>17.2</v>
          </cell>
          <cell r="AB127">
            <v>14.833333333333334</v>
          </cell>
          <cell r="AC127">
            <v>22.8</v>
          </cell>
          <cell r="AD127">
            <v>29.966666666666665</v>
          </cell>
          <cell r="AE127">
            <v>49.133333333333333</v>
          </cell>
          <cell r="AF127">
            <v>26.633333333333333</v>
          </cell>
          <cell r="AG127">
            <v>26.033333333333335</v>
          </cell>
          <cell r="AH127">
            <v>11.7</v>
          </cell>
          <cell r="AI127">
            <v>32.133333333333333</v>
          </cell>
          <cell r="AJ127">
            <v>33</v>
          </cell>
          <cell r="AK127">
            <v>22.5</v>
          </cell>
          <cell r="AL127">
            <v>20.066666666666666</v>
          </cell>
          <cell r="AM127">
            <v>41.6</v>
          </cell>
          <cell r="AN127">
            <v>40.166666666666664</v>
          </cell>
          <cell r="AO127">
            <v>50.2</v>
          </cell>
          <cell r="AP127">
            <v>53.56666666666667</v>
          </cell>
          <cell r="AQ127">
            <v>72.2</v>
          </cell>
          <cell r="AR127">
            <v>58.733333333333334</v>
          </cell>
          <cell r="AS127">
            <v>100.5</v>
          </cell>
          <cell r="AT127">
            <v>43.741935483870968</v>
          </cell>
          <cell r="AU127">
            <v>67.448275862068968</v>
          </cell>
          <cell r="AV127">
            <v>76.225806451612897</v>
          </cell>
          <cell r="AW127">
            <v>68.133333333333326</v>
          </cell>
          <cell r="AX127">
            <v>74.516129032258064</v>
          </cell>
          <cell r="AY127">
            <v>63.533333333333331</v>
          </cell>
          <cell r="AZ127">
            <v>93.817327188940084</v>
          </cell>
          <cell r="BA127">
            <v>86.124792626728123</v>
          </cell>
          <cell r="BB127">
            <v>78.668380952380943</v>
          </cell>
          <cell r="BC127">
            <v>64.960290322580647</v>
          </cell>
          <cell r="BD127">
            <v>67.876363666666663</v>
          </cell>
          <cell r="BE127">
            <v>55.113870967741939</v>
          </cell>
          <cell r="BF127">
            <v>51.838709677419352</v>
          </cell>
          <cell r="BG127">
            <v>52</v>
          </cell>
          <cell r="BH127">
            <v>58.524590163934427</v>
          </cell>
          <cell r="BI127">
            <v>78</v>
          </cell>
          <cell r="BJ127">
            <v>91.63333333333334</v>
          </cell>
          <cell r="BK127">
            <v>90.290322580645167</v>
          </cell>
          <cell r="BL127">
            <v>82.451612903225808</v>
          </cell>
          <cell r="BM127">
            <v>73</v>
          </cell>
          <cell r="BN127">
            <v>106.06451612903226</v>
          </cell>
          <cell r="BO127">
            <v>91.5</v>
          </cell>
          <cell r="BP127">
            <v>79.225806451612897</v>
          </cell>
          <cell r="BQ127">
            <v>72.58064516129032</v>
          </cell>
          <cell r="BR127">
            <v>70.964285714285708</v>
          </cell>
          <cell r="BS127">
            <v>79.516129032258064</v>
          </cell>
          <cell r="BT127">
            <v>77.3</v>
          </cell>
          <cell r="BU127">
            <v>76.935483870967744</v>
          </cell>
          <cell r="BV127">
            <v>87.266666666666666</v>
          </cell>
          <cell r="BW127">
            <v>89.903225806451616</v>
          </cell>
          <cell r="BX127">
            <v>90.193548387096769</v>
          </cell>
          <cell r="BY127">
            <v>90.833333333333329</v>
          </cell>
          <cell r="BZ127">
            <v>93.838709677419359</v>
          </cell>
          <cell r="CA127">
            <v>73.566666666666663</v>
          </cell>
          <cell r="CB127">
            <v>72.451612903225808</v>
          </cell>
          <cell r="CC127">
            <v>84.032258064516128</v>
          </cell>
          <cell r="CD127">
            <v>96.821428571428569</v>
          </cell>
          <cell r="CE127">
            <v>98.032258064516128</v>
          </cell>
          <cell r="CF127">
            <v>95.233333333333334</v>
          </cell>
          <cell r="CG127">
            <v>54.225806451612904</v>
          </cell>
          <cell r="CH127">
            <v>78.933333333333337</v>
          </cell>
          <cell r="CI127">
            <v>0</v>
          </cell>
          <cell r="CJ127">
            <v>0</v>
          </cell>
          <cell r="CK127">
            <v>0</v>
          </cell>
          <cell r="CL127">
            <v>65.869565217391298</v>
          </cell>
          <cell r="CM127">
            <v>76.666666666666671</v>
          </cell>
          <cell r="CN127">
            <v>89.890109890109883</v>
          </cell>
          <cell r="CO127">
            <v>90.163043478260875</v>
          </cell>
          <cell r="CP127">
            <v>84.676712328767124</v>
          </cell>
          <cell r="CQ127">
            <v>88.906849315068499</v>
          </cell>
        </row>
        <row r="128">
          <cell r="N128" t="str">
            <v>LIN</v>
          </cell>
          <cell r="AA128">
            <v>22.266666666666666</v>
          </cell>
          <cell r="AB128">
            <v>23.166666666666668</v>
          </cell>
          <cell r="AC128">
            <v>18.833333333333332</v>
          </cell>
          <cell r="AD128">
            <v>32.666666666666664</v>
          </cell>
          <cell r="AE128">
            <v>23.666666666666668</v>
          </cell>
          <cell r="AF128">
            <v>22.933333333333334</v>
          </cell>
          <cell r="AG128">
            <v>31.166666666666668</v>
          </cell>
          <cell r="AH128">
            <v>19.066666666666666</v>
          </cell>
          <cell r="AI128">
            <v>24.7</v>
          </cell>
          <cell r="AJ128">
            <v>28.6</v>
          </cell>
          <cell r="AK128">
            <v>29.4</v>
          </cell>
          <cell r="AL128">
            <v>32.6</v>
          </cell>
          <cell r="AM128">
            <v>37.366666666666667</v>
          </cell>
          <cell r="AN128">
            <v>44.4</v>
          </cell>
          <cell r="AO128">
            <v>54.93333333333333</v>
          </cell>
          <cell r="AP128">
            <v>57.133333333333333</v>
          </cell>
          <cell r="AQ128">
            <v>42.933333333333337</v>
          </cell>
          <cell r="AR128">
            <v>62.833333333333336</v>
          </cell>
          <cell r="AS128">
            <v>49.36666666666666</v>
          </cell>
          <cell r="AT128">
            <v>50.806451612903224</v>
          </cell>
          <cell r="AU128">
            <v>49.482758620689651</v>
          </cell>
          <cell r="AV128">
            <v>52.612903225806448</v>
          </cell>
          <cell r="AW128">
            <v>49.533333333333331</v>
          </cell>
          <cell r="AX128">
            <v>51.354838709677423</v>
          </cell>
          <cell r="AY128">
            <v>50.766666666666666</v>
          </cell>
          <cell r="AZ128">
            <v>48.834314516129034</v>
          </cell>
          <cell r="BA128">
            <v>44.416129032258063</v>
          </cell>
          <cell r="BB128">
            <v>38.259791666666672</v>
          </cell>
          <cell r="BC128">
            <v>38.516129032258064</v>
          </cell>
          <cell r="BD128">
            <v>46.037708333333335</v>
          </cell>
          <cell r="BE128">
            <v>34.516129032258064</v>
          </cell>
          <cell r="BF128">
            <v>45.483870967741936</v>
          </cell>
          <cell r="BG128">
            <v>45.428571428571431</v>
          </cell>
          <cell r="BH128">
            <v>39.459016393442624</v>
          </cell>
          <cell r="BI128">
            <v>43.193548387096776</v>
          </cell>
          <cell r="BJ128">
            <v>80.933333333333337</v>
          </cell>
          <cell r="BK128">
            <v>59.483870967741936</v>
          </cell>
          <cell r="BL128">
            <v>61.032258064516128</v>
          </cell>
          <cell r="BM128">
            <v>57</v>
          </cell>
          <cell r="BN128">
            <v>51.741935483870968</v>
          </cell>
          <cell r="BO128">
            <v>56.9</v>
          </cell>
          <cell r="BP128">
            <v>55.903225806451616</v>
          </cell>
          <cell r="BQ128">
            <v>51.064516129032256</v>
          </cell>
          <cell r="BR128">
            <v>65.357142857142861</v>
          </cell>
          <cell r="BS128">
            <v>69.548387096774192</v>
          </cell>
          <cell r="BT128">
            <v>64.033333333333331</v>
          </cell>
          <cell r="BU128">
            <v>59.677419354838712</v>
          </cell>
          <cell r="BV128">
            <v>61.133333333333333</v>
          </cell>
          <cell r="BW128">
            <v>63</v>
          </cell>
          <cell r="BX128">
            <v>66.193548387096769</v>
          </cell>
          <cell r="BY128">
            <v>70.566666666666663</v>
          </cell>
          <cell r="BZ128">
            <v>65.354838709677423</v>
          </cell>
          <cell r="CA128">
            <v>62.766666666666666</v>
          </cell>
          <cell r="CB128">
            <v>69</v>
          </cell>
          <cell r="CC128">
            <v>74.354838709677423</v>
          </cell>
          <cell r="CD128">
            <v>64.928571428571431</v>
          </cell>
          <cell r="CE128">
            <v>75.774193548387103</v>
          </cell>
          <cell r="CF128">
            <v>66.63333333333334</v>
          </cell>
          <cell r="CG128">
            <v>60.387096774193552</v>
          </cell>
          <cell r="CH128">
            <v>57.5</v>
          </cell>
          <cell r="CI128">
            <v>0</v>
          </cell>
          <cell r="CJ128">
            <v>0</v>
          </cell>
          <cell r="CK128">
            <v>0</v>
          </cell>
          <cell r="CL128">
            <v>57.282608695652172</v>
          </cell>
          <cell r="CM128">
            <v>73.777777777777771</v>
          </cell>
          <cell r="CN128">
            <v>96.64835164835165</v>
          </cell>
          <cell r="CO128">
            <v>98.152173913043484</v>
          </cell>
          <cell r="CP128">
            <v>85.536986301369865</v>
          </cell>
          <cell r="CQ128">
            <v>89.813698630136983</v>
          </cell>
        </row>
        <row r="129">
          <cell r="N129" t="str">
            <v>LAR</v>
          </cell>
          <cell r="AA129">
            <v>1.1666666666666667</v>
          </cell>
          <cell r="AB129">
            <v>0.8</v>
          </cell>
          <cell r="AC129">
            <v>1.3</v>
          </cell>
          <cell r="AD129">
            <v>1.3333333333333333</v>
          </cell>
          <cell r="AE129">
            <v>1.8666666666666667</v>
          </cell>
          <cell r="AF129">
            <v>1.1333333333333333</v>
          </cell>
          <cell r="AG129">
            <v>2.2333333333333334</v>
          </cell>
          <cell r="AH129">
            <v>0.76666666666666672</v>
          </cell>
          <cell r="AI129">
            <v>1.5</v>
          </cell>
          <cell r="AJ129">
            <v>1.9666666666666666</v>
          </cell>
          <cell r="AK129">
            <v>1.4666666666666666</v>
          </cell>
          <cell r="AL129">
            <v>1.2666666666666666</v>
          </cell>
          <cell r="AM129">
            <v>1.4333333333333333</v>
          </cell>
          <cell r="AN129">
            <v>1.1666666666666667</v>
          </cell>
          <cell r="AO129">
            <v>1.1000000000000001</v>
          </cell>
          <cell r="AP129">
            <v>2.1666666666666665</v>
          </cell>
          <cell r="AQ129">
            <v>1.7333333333333334</v>
          </cell>
          <cell r="AR129">
            <v>2.0333333333333332</v>
          </cell>
          <cell r="AS129">
            <v>2.0666666666666669</v>
          </cell>
          <cell r="AT129">
            <v>1.129032258064516</v>
          </cell>
          <cell r="AU129">
            <v>2.9655172413793105</v>
          </cell>
          <cell r="AV129">
            <v>2.6451612903225805</v>
          </cell>
          <cell r="AW129">
            <v>1.8333333333333333</v>
          </cell>
          <cell r="AX129">
            <v>2.096774193548387</v>
          </cell>
          <cell r="AY129">
            <v>2.7</v>
          </cell>
          <cell r="AZ129">
            <v>2.7912713472485771</v>
          </cell>
          <cell r="BA129">
            <v>3.0635386119257086</v>
          </cell>
          <cell r="BB129">
            <v>3.1216280451574572</v>
          </cell>
          <cell r="BC129">
            <v>3.3253184516129033</v>
          </cell>
          <cell r="BD129">
            <v>3.5059762666666665</v>
          </cell>
          <cell r="BE129">
            <v>2.0339326451612902</v>
          </cell>
          <cell r="BF129">
            <v>2.4193548387096775</v>
          </cell>
          <cell r="BG129">
            <v>2.4642857142857144</v>
          </cell>
          <cell r="BH129">
            <v>1.8852459016393444</v>
          </cell>
          <cell r="BI129">
            <v>1.8709677419354838</v>
          </cell>
          <cell r="BJ129">
            <v>2.2333333333333334</v>
          </cell>
          <cell r="BK129">
            <v>1.8709677419354838</v>
          </cell>
          <cell r="BL129">
            <v>2.4838709677419355</v>
          </cell>
          <cell r="BM129">
            <v>2</v>
          </cell>
          <cell r="BN129">
            <v>1.7419354838709677</v>
          </cell>
          <cell r="BO129">
            <v>2.6666666666666665</v>
          </cell>
          <cell r="BP129">
            <v>1.1290322580645162</v>
          </cell>
          <cell r="BQ129">
            <v>2.2903225806451615</v>
          </cell>
          <cell r="BR129">
            <v>2.1428571428571428</v>
          </cell>
          <cell r="BS129">
            <v>1.8064516129032258</v>
          </cell>
          <cell r="BT129">
            <v>2.8</v>
          </cell>
          <cell r="BU129">
            <v>2.3225806451612905</v>
          </cell>
          <cell r="BV129">
            <v>2.9</v>
          </cell>
          <cell r="BW129">
            <v>3.2903225806451615</v>
          </cell>
          <cell r="BX129">
            <v>2.2903225806451615</v>
          </cell>
          <cell r="BY129">
            <v>2.1666666666666665</v>
          </cell>
          <cell r="BZ129">
            <v>3.3548387096774195</v>
          </cell>
          <cell r="CA129">
            <v>2.6666666666666665</v>
          </cell>
          <cell r="CB129">
            <v>2</v>
          </cell>
          <cell r="CC129">
            <v>3.225806451612903</v>
          </cell>
          <cell r="CD129">
            <v>4.3571428571428568</v>
          </cell>
          <cell r="CE129">
            <v>3.6451612903225805</v>
          </cell>
          <cell r="CF129">
            <v>3.5</v>
          </cell>
          <cell r="CG129">
            <v>3.5483870967741935</v>
          </cell>
          <cell r="CH129">
            <v>3.9333333333333331</v>
          </cell>
          <cell r="CI129">
            <v>0</v>
          </cell>
          <cell r="CJ129">
            <v>0</v>
          </cell>
          <cell r="CK129">
            <v>0</v>
          </cell>
          <cell r="CL129">
            <v>2.0760869565217392</v>
          </cell>
          <cell r="CM129">
            <v>2.3555555555555556</v>
          </cell>
          <cell r="CN129">
            <v>2.5054945054945055</v>
          </cell>
          <cell r="CO129">
            <v>2.5434782608695654</v>
          </cell>
          <cell r="CP129">
            <v>2.4876712328767123</v>
          </cell>
          <cell r="CQ129">
            <v>2.6136986301369864</v>
          </cell>
        </row>
        <row r="130">
          <cell r="N130" t="str">
            <v>LIN</v>
          </cell>
          <cell r="AA130">
            <v>40.633333333333333</v>
          </cell>
          <cell r="AB130">
            <v>38.799999999999997</v>
          </cell>
          <cell r="AC130">
            <v>42.93333333333333</v>
          </cell>
          <cell r="AD130">
            <v>63.966666666666661</v>
          </cell>
          <cell r="AE130">
            <v>74.666666666666657</v>
          </cell>
          <cell r="AF130">
            <v>50.699999999999996</v>
          </cell>
          <cell r="AG130">
            <v>59.433333333333337</v>
          </cell>
          <cell r="AH130">
            <v>31.533333333333331</v>
          </cell>
          <cell r="AI130">
            <v>58.333333333333329</v>
          </cell>
          <cell r="AJ130">
            <v>63.56666666666667</v>
          </cell>
          <cell r="AK130">
            <v>53.366666666666667</v>
          </cell>
          <cell r="AL130">
            <v>53.933333333333337</v>
          </cell>
          <cell r="AM130">
            <v>80.400000000000006</v>
          </cell>
          <cell r="AN130">
            <v>85.733333333333334</v>
          </cell>
          <cell r="AO130">
            <v>106.23333333333332</v>
          </cell>
          <cell r="AP130">
            <v>112.86666666666667</v>
          </cell>
          <cell r="AQ130">
            <v>116.86666666666667</v>
          </cell>
          <cell r="AR130">
            <v>123.6</v>
          </cell>
          <cell r="AS130">
            <v>151.93333333333334</v>
          </cell>
          <cell r="AT130">
            <v>95.677419354838705</v>
          </cell>
          <cell r="AU130">
            <v>119.89655172413794</v>
          </cell>
          <cell r="AV130">
            <v>131.48387096774192</v>
          </cell>
          <cell r="AW130">
            <v>119.49999999999999</v>
          </cell>
          <cell r="AX130">
            <v>127.96774193548387</v>
          </cell>
          <cell r="AY130">
            <v>117</v>
          </cell>
          <cell r="AZ130">
            <v>145.44291305231769</v>
          </cell>
          <cell r="BA130">
            <v>133.60446027091189</v>
          </cell>
          <cell r="BB130">
            <v>120.04980066420507</v>
          </cell>
          <cell r="BC130">
            <v>106.80173780645161</v>
          </cell>
          <cell r="BD130">
            <v>117.42004826666667</v>
          </cell>
          <cell r="BE130">
            <v>91.663932645161282</v>
          </cell>
          <cell r="BF130">
            <v>99.741935483870961</v>
          </cell>
          <cell r="BG130">
            <v>99.892857142857139</v>
          </cell>
          <cell r="BH130">
            <v>99.868852459016395</v>
          </cell>
          <cell r="BI130">
            <v>123.06451612903226</v>
          </cell>
          <cell r="BJ130">
            <v>174.79999999999998</v>
          </cell>
          <cell r="BK130">
            <v>151.64516129032259</v>
          </cell>
          <cell r="BL130">
            <v>145.96774193548387</v>
          </cell>
          <cell r="BM130">
            <v>132</v>
          </cell>
          <cell r="BN130">
            <v>159.54838709677421</v>
          </cell>
          <cell r="BO130">
            <v>151.06666666666666</v>
          </cell>
          <cell r="BP130">
            <v>136.25806451612902</v>
          </cell>
          <cell r="BQ130">
            <v>125.93548387096774</v>
          </cell>
          <cell r="BR130">
            <v>138.46428571428569</v>
          </cell>
          <cell r="BS130">
            <v>150.87096774193549</v>
          </cell>
          <cell r="BT130">
            <v>144.13333333333333</v>
          </cell>
          <cell r="BU130">
            <v>138.93548387096774</v>
          </cell>
          <cell r="BV130">
            <v>151.30000000000001</v>
          </cell>
          <cell r="BW130">
            <v>156.19354838709677</v>
          </cell>
          <cell r="BX130">
            <v>158.67741935483869</v>
          </cell>
          <cell r="BY130">
            <v>163.56666666666663</v>
          </cell>
          <cell r="BZ130">
            <v>162.54838709677418</v>
          </cell>
          <cell r="CA130">
            <v>138.99999999999997</v>
          </cell>
          <cell r="CB130">
            <v>143.45161290322579</v>
          </cell>
          <cell r="CC130">
            <v>161.61290322580643</v>
          </cell>
          <cell r="CD130">
            <v>166.10714285714286</v>
          </cell>
          <cell r="CE130">
            <v>177.45161290322582</v>
          </cell>
          <cell r="CF130">
            <v>165.36666666666667</v>
          </cell>
          <cell r="CG130">
            <v>118.16129032258065</v>
          </cell>
          <cell r="CH130">
            <v>140.36666666666667</v>
          </cell>
          <cell r="CI130">
            <v>0</v>
          </cell>
          <cell r="CJ130">
            <v>0</v>
          </cell>
          <cell r="CK130">
            <v>0</v>
          </cell>
          <cell r="CL130">
            <v>125.2282608695652</v>
          </cell>
          <cell r="CM130">
            <v>152.80000000000001</v>
          </cell>
          <cell r="CN130">
            <v>189.04395604395606</v>
          </cell>
          <cell r="CO130">
            <v>190.85869565217394</v>
          </cell>
          <cell r="CP130">
            <v>172.70136986301372</v>
          </cell>
          <cell r="CQ130">
            <v>181.33424657534246</v>
          </cell>
        </row>
        <row r="131">
          <cell r="N131" t="str">
            <v>LAR</v>
          </cell>
          <cell r="AA131">
            <v>1.1666666666666667</v>
          </cell>
          <cell r="AB131">
            <v>0.8</v>
          </cell>
          <cell r="AC131">
            <v>1.3</v>
          </cell>
          <cell r="AD131">
            <v>1.3333333333333333</v>
          </cell>
          <cell r="AE131">
            <v>1.8666666666666667</v>
          </cell>
          <cell r="AF131">
            <v>1.1333333333333333</v>
          </cell>
          <cell r="AG131">
            <v>2.2333333333333334</v>
          </cell>
          <cell r="AH131">
            <v>0.76666666666666672</v>
          </cell>
          <cell r="AI131">
            <v>1.5</v>
          </cell>
          <cell r="AJ131">
            <v>1.9666666666666666</v>
          </cell>
          <cell r="AK131">
            <v>1.4666666666666666</v>
          </cell>
          <cell r="AL131">
            <v>1.2666666666666666</v>
          </cell>
          <cell r="AM131">
            <v>1.4333333333333333</v>
          </cell>
          <cell r="AN131">
            <v>1.1666666666666667</v>
          </cell>
          <cell r="AO131">
            <v>1.1000000000000001</v>
          </cell>
          <cell r="AP131">
            <v>2.1666666666666665</v>
          </cell>
          <cell r="AQ131">
            <v>1.7333333333333334</v>
          </cell>
          <cell r="AR131">
            <v>2.0333333333333332</v>
          </cell>
          <cell r="AS131">
            <v>2.0666666666666669</v>
          </cell>
          <cell r="AT131">
            <v>1.129032258064516</v>
          </cell>
          <cell r="AU131">
            <v>2.9655172413793105</v>
          </cell>
          <cell r="AV131">
            <v>2.6451612903225805</v>
          </cell>
          <cell r="AW131">
            <v>1.8333333333333333</v>
          </cell>
          <cell r="AX131">
            <v>2.096774193548387</v>
          </cell>
          <cell r="AY131">
            <v>2.7</v>
          </cell>
          <cell r="AZ131">
            <v>2.7912713472485771</v>
          </cell>
          <cell r="BA131">
            <v>3.0635386119257086</v>
          </cell>
          <cell r="BB131">
            <v>3.1216280451574572</v>
          </cell>
          <cell r="BC131">
            <v>3.3253184516129033</v>
          </cell>
          <cell r="BD131">
            <v>3.5059762666666665</v>
          </cell>
          <cell r="BE131">
            <v>2.0339326451612902</v>
          </cell>
          <cell r="BF131">
            <v>2.4193548387096775</v>
          </cell>
          <cell r="BG131">
            <v>2.4642857142857144</v>
          </cell>
          <cell r="BH131">
            <v>1.8852459016393444</v>
          </cell>
          <cell r="BI131">
            <v>1.8709677419354838</v>
          </cell>
          <cell r="BJ131">
            <v>2.2333333333333334</v>
          </cell>
          <cell r="BK131">
            <v>1.8709677419354838</v>
          </cell>
          <cell r="BL131">
            <v>2.4838709677419355</v>
          </cell>
          <cell r="BM131">
            <v>2</v>
          </cell>
          <cell r="BN131">
            <v>1.7419354838709677</v>
          </cell>
          <cell r="BO131">
            <v>2.6666666666666665</v>
          </cell>
          <cell r="BP131">
            <v>1.1290322580645162</v>
          </cell>
          <cell r="BQ131">
            <v>2.2903225806451615</v>
          </cell>
          <cell r="BR131">
            <v>2.1428571428571428</v>
          </cell>
          <cell r="BS131">
            <v>1.8064516129032258</v>
          </cell>
          <cell r="BT131">
            <v>2.8</v>
          </cell>
          <cell r="BU131">
            <v>2.3225806451612905</v>
          </cell>
          <cell r="BV131">
            <v>2.9</v>
          </cell>
          <cell r="BW131">
            <v>3.2903225806451615</v>
          </cell>
          <cell r="BX131">
            <v>2.2903225806451615</v>
          </cell>
          <cell r="BY131">
            <v>2.1666666666666665</v>
          </cell>
          <cell r="BZ131">
            <v>3.3548387096774195</v>
          </cell>
          <cell r="CA131">
            <v>2.6666666666666665</v>
          </cell>
          <cell r="CB131">
            <v>2</v>
          </cell>
          <cell r="CC131">
            <v>3.225806451612903</v>
          </cell>
          <cell r="CD131">
            <v>4.3571428571428568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2.0760869565217392</v>
          </cell>
          <cell r="CM131">
            <v>2.3555555555555556</v>
          </cell>
          <cell r="CN131">
            <v>2.5054945054945055</v>
          </cell>
          <cell r="CO131">
            <v>2.5434782608695654</v>
          </cell>
          <cell r="CP131">
            <v>2.4876712328767123</v>
          </cell>
          <cell r="CQ131">
            <v>2.6136986301369864</v>
          </cell>
        </row>
        <row r="132">
          <cell r="N132" t="str">
            <v>APS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159.54838709677421</v>
          </cell>
          <cell r="BO132">
            <v>151.06666666666666</v>
          </cell>
          <cell r="BP132">
            <v>136.25806451612902</v>
          </cell>
          <cell r="BQ132">
            <v>125.93548387096774</v>
          </cell>
          <cell r="BR132">
            <v>138.46428571428569</v>
          </cell>
          <cell r="BS132">
            <v>150.87096774193549</v>
          </cell>
          <cell r="BT132">
            <v>144.13333333333333</v>
          </cell>
          <cell r="BU132">
            <v>138.93548387096774</v>
          </cell>
          <cell r="BV132">
            <v>151.30000000000001</v>
          </cell>
          <cell r="BW132">
            <v>156.19354838709677</v>
          </cell>
          <cell r="BX132">
            <v>158.67741935483869</v>
          </cell>
          <cell r="BY132">
            <v>163.56666666666663</v>
          </cell>
          <cell r="BZ132">
            <v>162.54838709677418</v>
          </cell>
          <cell r="CA132">
            <v>138.99999999999997</v>
          </cell>
          <cell r="CB132">
            <v>143.45161290322579</v>
          </cell>
          <cell r="CC132">
            <v>161.61290322580643</v>
          </cell>
          <cell r="CD132">
            <v>166.10714285714286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125.2282608695652</v>
          </cell>
          <cell r="CM132">
            <v>152.80000000000001</v>
          </cell>
          <cell r="CN132">
            <v>189.04395604395606</v>
          </cell>
          <cell r="CO132">
            <v>190.85869565217394</v>
          </cell>
          <cell r="CP132">
            <v>172.70136986301372</v>
          </cell>
          <cell r="CQ132">
            <v>181.33424657534246</v>
          </cell>
        </row>
        <row r="133">
          <cell r="N133" t="str">
            <v>LOX ttl</v>
          </cell>
          <cell r="O133">
            <v>0</v>
          </cell>
          <cell r="P133">
            <v>0</v>
          </cell>
          <cell r="Q133">
            <v>26396.080000000002</v>
          </cell>
          <cell r="R133">
            <v>155920.21</v>
          </cell>
          <cell r="S133">
            <v>79992.990000000005</v>
          </cell>
          <cell r="T133">
            <v>119992.99</v>
          </cell>
          <cell r="U133">
            <v>144905.51999999999</v>
          </cell>
          <cell r="V133">
            <v>293568.90000000002</v>
          </cell>
          <cell r="W133">
            <v>292615.40999999997</v>
          </cell>
          <cell r="X133">
            <v>239293.19</v>
          </cell>
          <cell r="Y133">
            <v>296780.94</v>
          </cell>
          <cell r="Z133">
            <v>289587.09999999998</v>
          </cell>
          <cell r="AA133">
            <v>314024</v>
          </cell>
          <cell r="AB133">
            <v>253128</v>
          </cell>
          <cell r="AC133">
            <v>282519.21880000009</v>
          </cell>
          <cell r="AD133">
            <v>462302.27</v>
          </cell>
          <cell r="AE133">
            <v>217473.74</v>
          </cell>
          <cell r="AF133">
            <v>457257</v>
          </cell>
          <cell r="AG133">
            <v>175512</v>
          </cell>
          <cell r="AH133">
            <v>140518</v>
          </cell>
          <cell r="AI133">
            <v>213730</v>
          </cell>
          <cell r="AJ133">
            <v>331113</v>
          </cell>
          <cell r="AK133">
            <v>297287</v>
          </cell>
          <cell r="AL133">
            <v>571963</v>
          </cell>
          <cell r="AM133">
            <v>240025</v>
          </cell>
          <cell r="AN133">
            <v>260649</v>
          </cell>
          <cell r="AO133">
            <v>230960</v>
          </cell>
          <cell r="AP133">
            <v>219862</v>
          </cell>
          <cell r="AQ133">
            <v>205338</v>
          </cell>
          <cell r="AR133">
            <v>615928.93000000005</v>
          </cell>
          <cell r="AS133">
            <v>147208.21</v>
          </cell>
          <cell r="AT133">
            <v>59295.17</v>
          </cell>
          <cell r="AU133">
            <v>101881.96</v>
          </cell>
          <cell r="AV133">
            <v>56061.23</v>
          </cell>
          <cell r="AW133">
            <v>70630.28</v>
          </cell>
          <cell r="AX133">
            <v>268118.28999999998</v>
          </cell>
          <cell r="AY133">
            <v>475382.48</v>
          </cell>
          <cell r="AZ133">
            <v>133632.62</v>
          </cell>
          <cell r="BA133">
            <v>231976.54</v>
          </cell>
          <cell r="BB133">
            <v>304311.82</v>
          </cell>
          <cell r="BC133">
            <v>233483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</row>
        <row r="134">
          <cell r="N134" t="str">
            <v>wsale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219862</v>
          </cell>
          <cell r="AQ134">
            <v>205338</v>
          </cell>
          <cell r="AR134">
            <v>615929</v>
          </cell>
          <cell r="AS134">
            <v>147208</v>
          </cell>
          <cell r="AT134">
            <v>59295.17</v>
          </cell>
          <cell r="AU134">
            <v>101881.96</v>
          </cell>
          <cell r="AV134">
            <v>56061.23</v>
          </cell>
          <cell r="AW134">
            <v>70630.28</v>
          </cell>
          <cell r="AX134">
            <v>268118.28999999998</v>
          </cell>
          <cell r="AY134">
            <v>475382.48</v>
          </cell>
          <cell r="AZ134">
            <v>125772</v>
          </cell>
          <cell r="BA134">
            <v>216312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</row>
        <row r="135">
          <cell r="N135" t="str">
            <v>retail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-6.9999999948777258E-2</v>
          </cell>
          <cell r="AS135">
            <v>0.20999999999185093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7860.6199999999953</v>
          </cell>
          <cell r="BA135">
            <v>15664.540000000008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</row>
        <row r="136">
          <cell r="N136" t="str">
            <v>LIN ttl</v>
          </cell>
          <cell r="O136">
            <v>0</v>
          </cell>
          <cell r="P136">
            <v>0</v>
          </cell>
          <cell r="Q136">
            <v>862305.42</v>
          </cell>
          <cell r="R136">
            <v>1623946.77</v>
          </cell>
          <cell r="S136">
            <v>1174358.82</v>
          </cell>
          <cell r="T136">
            <v>1244750.33</v>
          </cell>
          <cell r="U136">
            <v>1003566.49</v>
          </cell>
          <cell r="V136">
            <v>219670.25</v>
          </cell>
          <cell r="W136">
            <v>308151.46999999997</v>
          </cell>
          <cell r="X136">
            <v>224844.4</v>
          </cell>
          <cell r="Y136">
            <v>339106.91</v>
          </cell>
          <cell r="Z136">
            <v>422208.23</v>
          </cell>
          <cell r="AA136">
            <v>310751</v>
          </cell>
          <cell r="AB136">
            <v>267773</v>
          </cell>
          <cell r="AC136">
            <v>480355.84789999999</v>
          </cell>
          <cell r="AD136">
            <v>744493.99</v>
          </cell>
          <cell r="AE136">
            <v>378424.8</v>
          </cell>
          <cell r="AF136">
            <v>1237666</v>
          </cell>
          <cell r="AG136">
            <v>395774</v>
          </cell>
          <cell r="AH136">
            <v>248227</v>
          </cell>
          <cell r="AI136">
            <v>841127</v>
          </cell>
          <cell r="AJ136">
            <v>388787</v>
          </cell>
          <cell r="AK136">
            <v>825942</v>
          </cell>
          <cell r="AL136">
            <v>1309540</v>
          </cell>
          <cell r="AM136">
            <v>517873</v>
          </cell>
          <cell r="AN136">
            <v>914175</v>
          </cell>
          <cell r="AO136">
            <v>1133627</v>
          </cell>
          <cell r="AP136">
            <v>774360</v>
          </cell>
          <cell r="AQ136">
            <v>823891</v>
          </cell>
          <cell r="AR136">
            <v>1251191.7</v>
          </cell>
          <cell r="AS136">
            <v>898699.81</v>
          </cell>
          <cell r="AT136">
            <v>776808.65</v>
          </cell>
          <cell r="AU136">
            <v>961492.81</v>
          </cell>
          <cell r="AV136">
            <v>1416311.52</v>
          </cell>
          <cell r="AW136">
            <v>2507770.9900000002</v>
          </cell>
          <cell r="AX136">
            <v>2104907.59</v>
          </cell>
          <cell r="AY136">
            <v>2930218.09</v>
          </cell>
          <cell r="AZ136">
            <v>4687986.2</v>
          </cell>
          <cell r="BA136">
            <v>5058376.91</v>
          </cell>
          <cell r="BB136">
            <v>4219195.6900000004</v>
          </cell>
          <cell r="BC136">
            <v>2762209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</row>
        <row r="137">
          <cell r="N137" t="str">
            <v>wsale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406916</v>
          </cell>
          <cell r="AQ137">
            <v>344244</v>
          </cell>
          <cell r="AR137">
            <v>697618</v>
          </cell>
          <cell r="AS137">
            <v>193823</v>
          </cell>
          <cell r="AT137">
            <v>154955</v>
          </cell>
          <cell r="AU137">
            <v>219077</v>
          </cell>
          <cell r="AV137">
            <v>705294</v>
          </cell>
          <cell r="AW137">
            <v>1727020</v>
          </cell>
          <cell r="AX137">
            <v>1467741</v>
          </cell>
          <cell r="AY137">
            <v>2160193</v>
          </cell>
          <cell r="AZ137">
            <v>3301441</v>
          </cell>
          <cell r="BA137">
            <v>3797518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</row>
        <row r="138">
          <cell r="N138" t="str">
            <v>retail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367444</v>
          </cell>
          <cell r="AQ138">
            <v>479647</v>
          </cell>
          <cell r="AR138">
            <v>553573.69999999995</v>
          </cell>
          <cell r="AS138">
            <v>704876.81</v>
          </cell>
          <cell r="AT138">
            <v>621853.65</v>
          </cell>
          <cell r="AU138">
            <v>742415.81</v>
          </cell>
          <cell r="AV138">
            <v>711017.52</v>
          </cell>
          <cell r="AW138">
            <v>780750.99000000022</v>
          </cell>
          <cell r="AX138">
            <v>637166.58999999985</v>
          </cell>
          <cell r="AY138">
            <v>770025.08999999985</v>
          </cell>
          <cell r="AZ138">
            <v>1386545.2000000002</v>
          </cell>
          <cell r="BA138">
            <v>1260858.9100000001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</row>
        <row r="139">
          <cell r="N139" t="str">
            <v>LAR ttl</v>
          </cell>
          <cell r="O139">
            <v>0</v>
          </cell>
          <cell r="P139">
            <v>0</v>
          </cell>
          <cell r="Q139">
            <v>153555.34</v>
          </cell>
          <cell r="R139">
            <v>153555.34</v>
          </cell>
          <cell r="S139">
            <v>143477.99</v>
          </cell>
          <cell r="T139">
            <v>114645.7</v>
          </cell>
          <cell r="U139">
            <v>37274.839999999997</v>
          </cell>
          <cell r="V139">
            <v>83946.18</v>
          </cell>
          <cell r="W139">
            <v>113233.13</v>
          </cell>
          <cell r="X139">
            <v>59335.28</v>
          </cell>
          <cell r="Y139">
            <v>76011.94</v>
          </cell>
          <cell r="Z139">
            <v>92277.24</v>
          </cell>
          <cell r="AA139">
            <v>131648</v>
          </cell>
          <cell r="AB139">
            <v>59283</v>
          </cell>
          <cell r="AC139">
            <v>166502.98210000002</v>
          </cell>
          <cell r="AD139">
            <v>88417.13</v>
          </cell>
          <cell r="AE139">
            <v>47458.96</v>
          </cell>
          <cell r="AF139">
            <v>62990</v>
          </cell>
          <cell r="AG139">
            <v>104427</v>
          </cell>
          <cell r="AH139">
            <v>43475</v>
          </cell>
          <cell r="AI139">
            <v>138204</v>
          </cell>
          <cell r="AJ139">
            <v>126705</v>
          </cell>
          <cell r="AK139">
            <v>106140</v>
          </cell>
          <cell r="AL139">
            <v>142314</v>
          </cell>
          <cell r="AM139">
            <v>113007</v>
          </cell>
          <cell r="AN139">
            <v>111893</v>
          </cell>
          <cell r="AO139">
            <v>133646</v>
          </cell>
          <cell r="AP139">
            <v>141268</v>
          </cell>
          <cell r="AQ139">
            <v>122925</v>
          </cell>
          <cell r="AR139">
            <v>146386.57</v>
          </cell>
          <cell r="AS139">
            <v>78592.52</v>
          </cell>
          <cell r="AT139">
            <v>58154.36</v>
          </cell>
          <cell r="AU139">
            <v>77504.63</v>
          </cell>
          <cell r="AV139">
            <v>83010.53</v>
          </cell>
          <cell r="AW139">
            <v>89312.54</v>
          </cell>
          <cell r="AX139">
            <v>136807.39000000001</v>
          </cell>
          <cell r="AY139">
            <v>120135.62</v>
          </cell>
          <cell r="AZ139">
            <v>130918.11</v>
          </cell>
          <cell r="BA139">
            <v>144117.54999999999</v>
          </cell>
          <cell r="BB139">
            <v>147768.63</v>
          </cell>
          <cell r="BC139">
            <v>112836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</row>
        <row r="140">
          <cell r="N140" t="str">
            <v>wsale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109089</v>
          </cell>
          <cell r="AQ140">
            <v>92194</v>
          </cell>
          <cell r="AR140">
            <v>115966</v>
          </cell>
          <cell r="AS140">
            <v>49062</v>
          </cell>
          <cell r="AT140">
            <v>25148</v>
          </cell>
          <cell r="AU140">
            <v>33553</v>
          </cell>
          <cell r="AV140">
            <v>45386</v>
          </cell>
          <cell r="AW140">
            <v>61509</v>
          </cell>
          <cell r="AX140">
            <v>106438</v>
          </cell>
          <cell r="AY140">
            <v>84235</v>
          </cell>
          <cell r="AZ140">
            <v>91284</v>
          </cell>
          <cell r="BA140">
            <v>118951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</row>
        <row r="141">
          <cell r="N141" t="str">
            <v>retail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32179</v>
          </cell>
          <cell r="AQ141">
            <v>30731</v>
          </cell>
          <cell r="AR141">
            <v>30420.570000000007</v>
          </cell>
          <cell r="AS141">
            <v>29530.520000000004</v>
          </cell>
          <cell r="AT141">
            <v>33006.36</v>
          </cell>
          <cell r="AU141">
            <v>43951.630000000005</v>
          </cell>
          <cell r="AV141">
            <v>37624.53</v>
          </cell>
          <cell r="AW141">
            <v>27803.539999999994</v>
          </cell>
          <cell r="AX141">
            <v>30369.390000000014</v>
          </cell>
          <cell r="AY141">
            <v>35900.619999999995</v>
          </cell>
          <cell r="AZ141">
            <v>39634.11</v>
          </cell>
          <cell r="BA141">
            <v>25166.549999999988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</row>
        <row r="142">
          <cell r="N142" t="str">
            <v>APS-Total</v>
          </cell>
          <cell r="O142">
            <v>0</v>
          </cell>
          <cell r="P142">
            <v>0</v>
          </cell>
          <cell r="Q142">
            <v>153555.34</v>
          </cell>
          <cell r="R142">
            <v>153555.34</v>
          </cell>
          <cell r="S142">
            <v>143477.99</v>
          </cell>
          <cell r="T142">
            <v>114645.7</v>
          </cell>
          <cell r="U142">
            <v>37274.839999999997</v>
          </cell>
          <cell r="V142">
            <v>83946.18</v>
          </cell>
          <cell r="W142">
            <v>113233.13</v>
          </cell>
          <cell r="X142">
            <v>59335.28</v>
          </cell>
          <cell r="Y142">
            <v>76011.94</v>
          </cell>
          <cell r="Z142">
            <v>92277.24</v>
          </cell>
          <cell r="AA142">
            <v>131648</v>
          </cell>
          <cell r="AB142">
            <v>59283</v>
          </cell>
          <cell r="AC142">
            <v>166502.98210000002</v>
          </cell>
          <cell r="AD142">
            <v>88417.13</v>
          </cell>
          <cell r="AE142">
            <v>47458.96</v>
          </cell>
          <cell r="AF142">
            <v>62990</v>
          </cell>
          <cell r="AG142">
            <v>104427</v>
          </cell>
          <cell r="AH142">
            <v>43475</v>
          </cell>
          <cell r="AI142">
            <v>138204</v>
          </cell>
          <cell r="AJ142">
            <v>126705</v>
          </cell>
          <cell r="AK142">
            <v>106140</v>
          </cell>
          <cell r="AL142">
            <v>142314</v>
          </cell>
          <cell r="AM142">
            <v>113007</v>
          </cell>
          <cell r="AN142">
            <v>111893</v>
          </cell>
          <cell r="AO142">
            <v>133646</v>
          </cell>
          <cell r="AP142">
            <v>141268</v>
          </cell>
          <cell r="AQ142">
            <v>122925</v>
          </cell>
          <cell r="AR142">
            <v>146386.57</v>
          </cell>
          <cell r="AS142">
            <v>78592.52</v>
          </cell>
          <cell r="AT142">
            <v>58154.36</v>
          </cell>
          <cell r="AU142">
            <v>77504.63</v>
          </cell>
          <cell r="AV142">
            <v>83010.53</v>
          </cell>
          <cell r="AW142">
            <v>89312.54</v>
          </cell>
          <cell r="AX142">
            <v>136807.39000000001</v>
          </cell>
          <cell r="AY142">
            <v>120135.62</v>
          </cell>
          <cell r="AZ142">
            <v>130918.11</v>
          </cell>
          <cell r="BA142">
            <v>144117.54999999999</v>
          </cell>
          <cell r="BB142">
            <v>147768.63</v>
          </cell>
          <cell r="BC142">
            <v>112836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</row>
        <row r="143">
          <cell r="N143" t="str">
            <v>LOX</v>
          </cell>
          <cell r="O143">
            <v>0</v>
          </cell>
          <cell r="P143">
            <v>0</v>
          </cell>
          <cell r="Q143">
            <v>1.2582131466666668</v>
          </cell>
          <cell r="R143">
            <v>7.4321966766666661</v>
          </cell>
          <cell r="S143">
            <v>3.8129991900000002</v>
          </cell>
          <cell r="T143">
            <v>5.7196658566666674</v>
          </cell>
          <cell r="U143">
            <v>6.907163119999999</v>
          </cell>
          <cell r="V143">
            <v>13.993450900000001</v>
          </cell>
          <cell r="W143">
            <v>13.948001209999999</v>
          </cell>
          <cell r="X143">
            <v>11.406308723333334</v>
          </cell>
          <cell r="Y143">
            <v>14.14655814</v>
          </cell>
          <cell r="Z143">
            <v>13.803651766666666</v>
          </cell>
          <cell r="AA143">
            <v>14.968477333333334</v>
          </cell>
          <cell r="AB143">
            <v>12.065768</v>
          </cell>
          <cell r="AC143">
            <v>13.46674942946667</v>
          </cell>
          <cell r="AD143">
            <v>22.036408203333334</v>
          </cell>
          <cell r="AE143">
            <v>10.366248273333333</v>
          </cell>
          <cell r="AF143">
            <v>21.795916999999999</v>
          </cell>
          <cell r="AG143">
            <v>8.3660720000000008</v>
          </cell>
          <cell r="AH143">
            <v>6.698024666666667</v>
          </cell>
          <cell r="AI143">
            <v>10.187796666666667</v>
          </cell>
          <cell r="AJ143">
            <v>15.783053000000001</v>
          </cell>
          <cell r="AK143">
            <v>14.170680333333333</v>
          </cell>
          <cell r="AL143">
            <v>27.263569666666669</v>
          </cell>
          <cell r="AM143">
            <v>11.441191666666667</v>
          </cell>
          <cell r="AN143">
            <v>12.424269000000001</v>
          </cell>
          <cell r="AO143">
            <v>11.009093333333334</v>
          </cell>
          <cell r="AP143">
            <v>10.480088666666667</v>
          </cell>
          <cell r="AQ143">
            <v>9.7877780000000012</v>
          </cell>
          <cell r="AR143">
            <v>29.359278996666671</v>
          </cell>
          <cell r="AS143">
            <v>7.0169246766666662</v>
          </cell>
          <cell r="AT143">
            <v>2.9238652793103448</v>
          </cell>
          <cell r="AU143">
            <v>4.6997162193548387</v>
          </cell>
          <cell r="AV143">
            <v>2.6722519633333333</v>
          </cell>
          <cell r="AW143">
            <v>3.2581064645161293</v>
          </cell>
          <cell r="AX143">
            <v>12.780305156666666</v>
          </cell>
          <cell r="AY143">
            <v>21.92893375483871</v>
          </cell>
          <cell r="AZ143">
            <v>6.1643434387096772</v>
          </cell>
          <cell r="BA143">
            <v>11.057548406666667</v>
          </cell>
          <cell r="BB143">
            <v>14.037609761290323</v>
          </cell>
          <cell r="BC143">
            <v>11.129356333333332</v>
          </cell>
          <cell r="BD143">
            <v>23.863332580645157</v>
          </cell>
          <cell r="BE143">
            <v>22.340059677419355</v>
          </cell>
          <cell r="BF143">
            <v>18.365694285714284</v>
          </cell>
          <cell r="BG143">
            <v>6.4569574193548371</v>
          </cell>
          <cell r="BH143">
            <v>19.027627666666664</v>
          </cell>
          <cell r="BI143">
            <v>28.774967419354837</v>
          </cell>
          <cell r="BJ143">
            <v>15.224256666666665</v>
          </cell>
          <cell r="BK143">
            <v>15.011032903225805</v>
          </cell>
          <cell r="BL143">
            <v>11.355491612903224</v>
          </cell>
          <cell r="BM143">
            <v>13.283698999999997</v>
          </cell>
          <cell r="BN143">
            <v>9.3185719354838685</v>
          </cell>
          <cell r="BO143">
            <v>15.373691666666666</v>
          </cell>
          <cell r="BP143">
            <v>15.74065580645161</v>
          </cell>
          <cell r="BQ143">
            <v>23.812590645161286</v>
          </cell>
          <cell r="BR143">
            <v>28.464047857142855</v>
          </cell>
          <cell r="BS143">
            <v>30.155932258064514</v>
          </cell>
          <cell r="BT143">
            <v>29.330253333333332</v>
          </cell>
          <cell r="BU143">
            <v>32.649437096774186</v>
          </cell>
          <cell r="BV143">
            <v>30.496942666666662</v>
          </cell>
          <cell r="BW143">
            <v>28.686860967741932</v>
          </cell>
          <cell r="BX143">
            <v>44.910164838709676</v>
          </cell>
          <cell r="BY143">
            <v>35.120275666666664</v>
          </cell>
          <cell r="BZ143">
            <v>54.312968387096767</v>
          </cell>
          <cell r="CA143">
            <v>24.527598333333334</v>
          </cell>
          <cell r="CB143">
            <v>38.495922903225804</v>
          </cell>
          <cell r="CC143">
            <v>26.252954838709677</v>
          </cell>
          <cell r="CD143">
            <v>61.172642142857136</v>
          </cell>
          <cell r="CE143">
            <v>69.278010645161288</v>
          </cell>
          <cell r="CF143">
            <v>23.492945666666667</v>
          </cell>
          <cell r="CG143">
            <v>18.025380645161288</v>
          </cell>
          <cell r="CH143">
            <v>19.409151666666666</v>
          </cell>
          <cell r="CI143">
            <v>0</v>
          </cell>
          <cell r="CJ143">
            <v>0</v>
          </cell>
          <cell r="CK143">
            <v>0</v>
          </cell>
          <cell r="CL143">
            <v>9.0434782608695645</v>
          </cell>
          <cell r="CM143">
            <v>9.2444444444444436</v>
          </cell>
          <cell r="CN143">
            <v>9.1428571428571423</v>
          </cell>
          <cell r="CO143">
            <v>9.0434782608695645</v>
          </cell>
          <cell r="CP143">
            <v>9.1150684931506856</v>
          </cell>
          <cell r="CQ143">
            <v>9.1150684931506856</v>
          </cell>
        </row>
        <row r="144">
          <cell r="N144" t="str">
            <v>LIN</v>
          </cell>
          <cell r="O144">
            <v>0</v>
          </cell>
          <cell r="P144">
            <v>0</v>
          </cell>
          <cell r="Q144">
            <v>35.929392499999999</v>
          </cell>
          <cell r="R144">
            <v>67.664448750000005</v>
          </cell>
          <cell r="S144">
            <v>48.931617500000002</v>
          </cell>
          <cell r="T144">
            <v>51.864597083333337</v>
          </cell>
          <cell r="U144">
            <v>41.815270416666664</v>
          </cell>
          <cell r="V144">
            <v>9.1529270833333332</v>
          </cell>
          <cell r="W144">
            <v>12.839644583333332</v>
          </cell>
          <cell r="X144">
            <v>9.3685166666666664</v>
          </cell>
          <cell r="Y144">
            <v>14.129454583333333</v>
          </cell>
          <cell r="Z144">
            <v>17.592009583333333</v>
          </cell>
          <cell r="AA144">
            <v>12.947958333333334</v>
          </cell>
          <cell r="AB144">
            <v>11.157208333333333</v>
          </cell>
          <cell r="AC144">
            <v>20.014826995833335</v>
          </cell>
          <cell r="AD144">
            <v>31.020582916666669</v>
          </cell>
          <cell r="AE144">
            <v>15.7677</v>
          </cell>
          <cell r="AF144">
            <v>51.569416666666669</v>
          </cell>
          <cell r="AG144">
            <v>16.490583333333333</v>
          </cell>
          <cell r="AH144">
            <v>10.342791666666667</v>
          </cell>
          <cell r="AI144">
            <v>35.046958333333336</v>
          </cell>
          <cell r="AJ144">
            <v>16.199458333333332</v>
          </cell>
          <cell r="AK144">
            <v>34.414250000000003</v>
          </cell>
          <cell r="AL144">
            <v>54.564166666666665</v>
          </cell>
          <cell r="AM144">
            <v>21.578041666666667</v>
          </cell>
          <cell r="AN144">
            <v>38.090625000000003</v>
          </cell>
          <cell r="AO144">
            <v>47.234458333333336</v>
          </cell>
          <cell r="AP144">
            <v>32.265000000000001</v>
          </cell>
          <cell r="AQ144">
            <v>34.328791666666667</v>
          </cell>
          <cell r="AR144">
            <v>52.132987499999999</v>
          </cell>
          <cell r="AS144">
            <v>37.445825416666672</v>
          </cell>
          <cell r="AT144">
            <v>33.483131465517246</v>
          </cell>
          <cell r="AU144">
            <v>38.769871370967749</v>
          </cell>
          <cell r="AV144">
            <v>59.012979999999999</v>
          </cell>
          <cell r="AW144">
            <v>101.11979798387098</v>
          </cell>
          <cell r="AX144">
            <v>87.704482916666663</v>
          </cell>
          <cell r="AY144">
            <v>118.15395524193548</v>
          </cell>
          <cell r="AZ144">
            <v>189.03170161290322</v>
          </cell>
          <cell r="BA144">
            <v>210.76570458333336</v>
          </cell>
          <cell r="BB144">
            <v>170.12885846774196</v>
          </cell>
          <cell r="BC144">
            <v>115.09204166666666</v>
          </cell>
          <cell r="BD144">
            <v>178.80536290322581</v>
          </cell>
          <cell r="BE144">
            <v>90.106451612903228</v>
          </cell>
          <cell r="BF144">
            <v>201.48245535714287</v>
          </cell>
          <cell r="BG144">
            <v>155.75568548387096</v>
          </cell>
          <cell r="BH144">
            <v>96.337666666666664</v>
          </cell>
          <cell r="BI144">
            <v>164.54451612903227</v>
          </cell>
          <cell r="BJ144">
            <v>105.50166666666667</v>
          </cell>
          <cell r="BK144">
            <v>130.57100806451615</v>
          </cell>
          <cell r="BL144">
            <v>208.80741935483871</v>
          </cell>
          <cell r="BM144">
            <v>170.07179166666666</v>
          </cell>
          <cell r="BN144">
            <v>141.20786290322582</v>
          </cell>
          <cell r="BO144">
            <v>122.27316666666668</v>
          </cell>
          <cell r="BP144">
            <v>68.645322580645157</v>
          </cell>
          <cell r="BQ144">
            <v>133.41479838709679</v>
          </cell>
          <cell r="BR144">
            <v>102.5389732142857</v>
          </cell>
          <cell r="BS144">
            <v>66.719233870967741</v>
          </cell>
          <cell r="BT144">
            <v>79.617875000000012</v>
          </cell>
          <cell r="BU144">
            <v>140.75383064516129</v>
          </cell>
          <cell r="BV144">
            <v>151.10345833333332</v>
          </cell>
          <cell r="BW144">
            <v>234.27475806451613</v>
          </cell>
          <cell r="BX144">
            <v>240.76762096774195</v>
          </cell>
          <cell r="BY144">
            <v>189.18808333333334</v>
          </cell>
          <cell r="BZ144">
            <v>102.91983870967742</v>
          </cell>
          <cell r="CA144">
            <v>107.59283333333333</v>
          </cell>
          <cell r="CB144">
            <v>146.38838709677418</v>
          </cell>
          <cell r="CC144">
            <v>155.83717741935484</v>
          </cell>
          <cell r="CD144">
            <v>76.60339285714285</v>
          </cell>
          <cell r="CE144">
            <v>147.38895161290321</v>
          </cell>
          <cell r="CF144">
            <v>119.76008333333334</v>
          </cell>
          <cell r="CG144">
            <v>148.79645161290321</v>
          </cell>
          <cell r="CH144">
            <v>117.14016666666667</v>
          </cell>
          <cell r="CI144">
            <v>0</v>
          </cell>
          <cell r="CJ144">
            <v>0</v>
          </cell>
          <cell r="CK144">
            <v>0</v>
          </cell>
          <cell r="CL144">
            <v>52.380434782608695</v>
          </cell>
          <cell r="CM144">
            <v>53.544444444444444</v>
          </cell>
          <cell r="CN144">
            <v>52.956043956043956</v>
          </cell>
          <cell r="CO144">
            <v>52.380434782608695</v>
          </cell>
          <cell r="CP144">
            <v>67.816438356164383</v>
          </cell>
          <cell r="CQ144">
            <v>82.816438356164383</v>
          </cell>
        </row>
        <row r="145">
          <cell r="N145" t="str">
            <v>LAR</v>
          </cell>
          <cell r="Q145">
            <v>9.1314242186666661</v>
          </cell>
          <cell r="R145">
            <v>9.1314242186666661</v>
          </cell>
          <cell r="S145">
            <v>8.5321578053333322</v>
          </cell>
          <cell r="T145">
            <v>6.8175976266666662</v>
          </cell>
          <cell r="U145">
            <v>2.2166104853333333</v>
          </cell>
          <cell r="V145">
            <v>4.9919995039999998</v>
          </cell>
          <cell r="W145">
            <v>6.7335967973333339</v>
          </cell>
          <cell r="X145">
            <v>3.5284713173333335</v>
          </cell>
          <cell r="Y145">
            <v>4.520176698666666</v>
          </cell>
          <cell r="Z145">
            <v>5.4874198720000003</v>
          </cell>
          <cell r="AA145">
            <v>7.828667733333333</v>
          </cell>
          <cell r="AB145">
            <v>3.5253624000000001</v>
          </cell>
          <cell r="AC145">
            <v>9.9013773355466679</v>
          </cell>
          <cell r="AD145">
            <v>5.2578719973333339</v>
          </cell>
          <cell r="AE145">
            <v>2.8222261546666667</v>
          </cell>
          <cell r="AF145">
            <v>3.7458053333333337</v>
          </cell>
          <cell r="AG145">
            <v>6.2099256</v>
          </cell>
          <cell r="AH145">
            <v>2.5853133333333331</v>
          </cell>
          <cell r="AI145">
            <v>8.2185311999999993</v>
          </cell>
          <cell r="AJ145">
            <v>7.5347239999999998</v>
          </cell>
          <cell r="AK145">
            <v>6.3117919999999996</v>
          </cell>
          <cell r="AL145">
            <v>8.4629391999999992</v>
          </cell>
          <cell r="AM145">
            <v>6.7201496000000001</v>
          </cell>
          <cell r="AN145">
            <v>6.6539037333333333</v>
          </cell>
          <cell r="AO145">
            <v>7.9474821333333336</v>
          </cell>
          <cell r="AP145">
            <v>8.4007370666666663</v>
          </cell>
          <cell r="AQ145">
            <v>7.3099400000000001</v>
          </cell>
          <cell r="AR145">
            <v>8.7051213626666666</v>
          </cell>
          <cell r="AS145">
            <v>4.6736351893333339</v>
          </cell>
          <cell r="AT145">
            <v>3.5774958013793103</v>
          </cell>
          <cell r="AU145">
            <v>4.4602664490322583</v>
          </cell>
          <cell r="AV145">
            <v>4.936359517333333</v>
          </cell>
          <cell r="AW145">
            <v>5.1397926245161285</v>
          </cell>
          <cell r="AX145">
            <v>8.1354794586666674</v>
          </cell>
          <cell r="AY145">
            <v>6.9136111638709679</v>
          </cell>
          <cell r="AZ145">
            <v>7.5341260722580641</v>
          </cell>
          <cell r="BA145">
            <v>8.5701903066666656</v>
          </cell>
          <cell r="BB145">
            <v>8.5038463199999992</v>
          </cell>
          <cell r="BC145">
            <v>6.7099807999999994</v>
          </cell>
          <cell r="BD145">
            <v>6.9539744516129032</v>
          </cell>
          <cell r="BE145">
            <v>7.5128268387096773</v>
          </cell>
          <cell r="BF145">
            <v>7.709619714285715</v>
          </cell>
          <cell r="BG145">
            <v>6.046724129032258</v>
          </cell>
          <cell r="BH145">
            <v>6.4560581333333333</v>
          </cell>
          <cell r="BI145">
            <v>6.5117726451612903</v>
          </cell>
          <cell r="BJ145">
            <v>5.5648312000000004</v>
          </cell>
          <cell r="BK145">
            <v>5.7098358709677415</v>
          </cell>
          <cell r="BL145">
            <v>6.0188707096774197</v>
          </cell>
          <cell r="BM145">
            <v>6.2912165333333334</v>
          </cell>
          <cell r="BN145">
            <v>5.832759225806452</v>
          </cell>
          <cell r="BO145">
            <v>5.5951592000000003</v>
          </cell>
          <cell r="BP145">
            <v>4.5784921290322584</v>
          </cell>
          <cell r="BQ145">
            <v>5.9944701935483868</v>
          </cell>
          <cell r="BR145">
            <v>5.6951651428571424</v>
          </cell>
          <cell r="BS145">
            <v>5.9034286451612905</v>
          </cell>
          <cell r="BT145">
            <v>7.2194912000000002</v>
          </cell>
          <cell r="BU145">
            <v>8.5216500645161286</v>
          </cell>
          <cell r="BV145">
            <v>6.8086954666666664</v>
          </cell>
          <cell r="BW145">
            <v>13.450036387096773</v>
          </cell>
          <cell r="BX145">
            <v>14.216638451612903</v>
          </cell>
          <cell r="BY145">
            <v>8.6924805333333328</v>
          </cell>
          <cell r="BZ145">
            <v>10.87814141935484</v>
          </cell>
          <cell r="CA145">
            <v>8.5599293333333346</v>
          </cell>
          <cell r="CB145">
            <v>7.8024678709677424</v>
          </cell>
          <cell r="CC145">
            <v>9.096500903225806</v>
          </cell>
          <cell r="CD145">
            <v>7.5065622857142849</v>
          </cell>
          <cell r="CE145">
            <v>7.8794100645161294</v>
          </cell>
          <cell r="CF145">
            <v>7.3591784000000002</v>
          </cell>
          <cell r="CG145">
            <v>7.0517491612903234</v>
          </cell>
          <cell r="CH145">
            <v>7.2766386666666669</v>
          </cell>
          <cell r="CI145">
            <v>0</v>
          </cell>
          <cell r="CJ145">
            <v>0</v>
          </cell>
          <cell r="CK145">
            <v>0</v>
          </cell>
          <cell r="CL145">
            <v>8.0869565217391308</v>
          </cell>
          <cell r="CM145">
            <v>8.2666666666666675</v>
          </cell>
          <cell r="CN145">
            <v>8.1758241758241752</v>
          </cell>
          <cell r="CO145">
            <v>8.0869565217391308</v>
          </cell>
          <cell r="CP145">
            <v>8.1589041095890416</v>
          </cell>
          <cell r="CQ145">
            <v>8.1589041095890416</v>
          </cell>
        </row>
        <row r="146">
          <cell r="N146" t="str">
            <v>LOX</v>
          </cell>
          <cell r="Q146">
            <v>46.319029865333334</v>
          </cell>
          <cell r="R146">
            <v>84.228069645333335</v>
          </cell>
          <cell r="S146">
            <v>61.276774495333335</v>
          </cell>
          <cell r="T146">
            <v>64.40186056666667</v>
          </cell>
          <cell r="U146">
            <v>50.939044021999997</v>
          </cell>
          <cell r="V146">
            <v>28.138377487333333</v>
          </cell>
          <cell r="W146">
            <v>33.521242590666667</v>
          </cell>
          <cell r="X146">
            <v>24.303296707333335</v>
          </cell>
          <cell r="Y146">
            <v>32.796189421999998</v>
          </cell>
          <cell r="Z146">
            <v>36.883081222000001</v>
          </cell>
          <cell r="AA146">
            <v>35.745103400000005</v>
          </cell>
          <cell r="AB146">
            <v>26.748338733333334</v>
          </cell>
          <cell r="AC146">
            <v>43.382953760846675</v>
          </cell>
          <cell r="AD146">
            <v>58.314863117333338</v>
          </cell>
          <cell r="AE146">
            <v>28.956174427999997</v>
          </cell>
          <cell r="AF146">
            <v>77.111139000000009</v>
          </cell>
          <cell r="AG146">
            <v>31.066580933333334</v>
          </cell>
          <cell r="AH146">
            <v>19.626129666666664</v>
          </cell>
          <cell r="AI146">
            <v>53.453286200000008</v>
          </cell>
          <cell r="AJ146">
            <v>39.517235333333332</v>
          </cell>
          <cell r="AK146">
            <v>54.896722333333329</v>
          </cell>
          <cell r="AL146">
            <v>90.290675533333328</v>
          </cell>
          <cell r="AM146">
            <v>39.739382933333331</v>
          </cell>
          <cell r="AN146">
            <v>57.168797733333335</v>
          </cell>
          <cell r="AO146">
            <v>66.1910338</v>
          </cell>
          <cell r="AP146">
            <v>51.145825733333332</v>
          </cell>
          <cell r="AQ146">
            <v>51.426509666666668</v>
          </cell>
          <cell r="AR146">
            <v>90.197387859333332</v>
          </cell>
          <cell r="AS146">
            <v>49.136385282666673</v>
          </cell>
          <cell r="AT146">
            <v>39.984492546206909</v>
          </cell>
          <cell r="AU146">
            <v>47.929854039354851</v>
          </cell>
          <cell r="AV146">
            <v>66.621591480666666</v>
          </cell>
          <cell r="AW146">
            <v>109.51769707290325</v>
          </cell>
          <cell r="AX146">
            <v>108.620267532</v>
          </cell>
          <cell r="AY146">
            <v>146.99650016064516</v>
          </cell>
          <cell r="AZ146">
            <v>202.73017112387095</v>
          </cell>
          <cell r="BA146">
            <v>230.39344329666667</v>
          </cell>
          <cell r="BB146">
            <v>192.6703145490323</v>
          </cell>
          <cell r="BC146">
            <v>132.9313788</v>
          </cell>
          <cell r="BD146">
            <v>209.62266993548388</v>
          </cell>
          <cell r="BE146">
            <v>119.95933812903225</v>
          </cell>
          <cell r="BF146">
            <v>227.55776935714286</v>
          </cell>
          <cell r="BG146">
            <v>168.25936703225807</v>
          </cell>
          <cell r="BH146">
            <v>121.82135246666665</v>
          </cell>
          <cell r="BI146">
            <v>199.8312561935484</v>
          </cell>
          <cell r="BJ146">
            <v>126.29075453333333</v>
          </cell>
          <cell r="BK146">
            <v>151.2918768387097</v>
          </cell>
          <cell r="BL146">
            <v>226.18178167741937</v>
          </cell>
          <cell r="BM146">
            <v>189.64670719999998</v>
          </cell>
          <cell r="BN146">
            <v>156.35919406451615</v>
          </cell>
          <cell r="BO146">
            <v>143.24201753333335</v>
          </cell>
          <cell r="BP146">
            <v>88.964470516129026</v>
          </cell>
          <cell r="BQ146">
            <v>163.22185922580647</v>
          </cell>
          <cell r="BR146">
            <v>136.6981862142857</v>
          </cell>
          <cell r="BS146">
            <v>102.77859477419354</v>
          </cell>
          <cell r="BT146">
            <v>116.16761953333335</v>
          </cell>
          <cell r="BU146">
            <v>181.92491780645162</v>
          </cell>
          <cell r="BV146">
            <v>188.40909646666665</v>
          </cell>
          <cell r="BW146">
            <v>276.41165541935482</v>
          </cell>
          <cell r="BX146">
            <v>299.89442425806453</v>
          </cell>
          <cell r="BY146">
            <v>233.00083953333333</v>
          </cell>
          <cell r="BZ146">
            <v>168.11094851612904</v>
          </cell>
          <cell r="CA146">
            <v>140.680361</v>
          </cell>
          <cell r="CB146">
            <v>192.68677787096772</v>
          </cell>
          <cell r="CC146">
            <v>191.18663316129033</v>
          </cell>
          <cell r="CD146">
            <v>145.28259728571427</v>
          </cell>
          <cell r="CE146">
            <v>224.54637232258062</v>
          </cell>
          <cell r="CF146">
            <v>150.61220739999999</v>
          </cell>
          <cell r="CG146">
            <v>173.87358141935482</v>
          </cell>
          <cell r="CH146">
            <v>143.82595699999999</v>
          </cell>
          <cell r="CI146">
            <v>0</v>
          </cell>
          <cell r="CJ146">
            <v>0</v>
          </cell>
          <cell r="CK146">
            <v>0</v>
          </cell>
          <cell r="CL146">
            <v>69.510869565217391</v>
          </cell>
          <cell r="CM146">
            <v>71.055555555555557</v>
          </cell>
          <cell r="CN146">
            <v>70.27472527472527</v>
          </cell>
          <cell r="CO146">
            <v>69.510869565217391</v>
          </cell>
          <cell r="CP146">
            <v>85.090410958904116</v>
          </cell>
          <cell r="CQ146">
            <v>100.09041095890412</v>
          </cell>
        </row>
        <row r="147">
          <cell r="N147" t="str">
            <v>LIN</v>
          </cell>
          <cell r="Q147">
            <v>35.929392499999999</v>
          </cell>
          <cell r="R147">
            <v>67.664448750000005</v>
          </cell>
          <cell r="S147">
            <v>48.931617500000002</v>
          </cell>
          <cell r="T147">
            <v>51.864597083333337</v>
          </cell>
          <cell r="U147">
            <v>41.815270416666664</v>
          </cell>
          <cell r="V147">
            <v>9.1529270833333332</v>
          </cell>
          <cell r="W147">
            <v>12.839644583333332</v>
          </cell>
          <cell r="X147">
            <v>9.3685166666666664</v>
          </cell>
          <cell r="Y147">
            <v>14.129454583333333</v>
          </cell>
          <cell r="Z147">
            <v>17.592009583333333</v>
          </cell>
          <cell r="AA147">
            <v>12.947958333333334</v>
          </cell>
          <cell r="AB147">
            <v>11.157208333333333</v>
          </cell>
          <cell r="AC147">
            <v>20.014826995833335</v>
          </cell>
          <cell r="AD147">
            <v>31.020582916666669</v>
          </cell>
          <cell r="AE147">
            <v>15.7677</v>
          </cell>
          <cell r="AF147">
            <v>51.569416666666669</v>
          </cell>
          <cell r="AG147">
            <v>16.490583333333333</v>
          </cell>
          <cell r="AH147">
            <v>10.342791666666667</v>
          </cell>
          <cell r="AI147">
            <v>35.046958333333336</v>
          </cell>
          <cell r="AJ147">
            <v>16.199458333333332</v>
          </cell>
          <cell r="AK147">
            <v>34.414250000000003</v>
          </cell>
          <cell r="AL147">
            <v>54.564166666666665</v>
          </cell>
          <cell r="AM147">
            <v>21.578041666666667</v>
          </cell>
          <cell r="AN147">
            <v>38.090625000000003</v>
          </cell>
          <cell r="AO147">
            <v>47.234458333333336</v>
          </cell>
          <cell r="AP147">
            <v>32.265000000000001</v>
          </cell>
          <cell r="AQ147">
            <v>34.328791666666667</v>
          </cell>
          <cell r="AR147">
            <v>52.132987499999999</v>
          </cell>
          <cell r="AS147">
            <v>37.445825416666672</v>
          </cell>
          <cell r="AT147">
            <v>33.483131465517246</v>
          </cell>
          <cell r="AU147">
            <v>38.769871370967749</v>
          </cell>
          <cell r="AV147">
            <v>59.012979999999999</v>
          </cell>
          <cell r="AW147">
            <v>101.11979798387098</v>
          </cell>
          <cell r="AX147">
            <v>87.704482916666663</v>
          </cell>
          <cell r="AY147">
            <v>118.15395524193548</v>
          </cell>
          <cell r="AZ147">
            <v>189.03170161290322</v>
          </cell>
          <cell r="BA147">
            <v>210.76570458333336</v>
          </cell>
          <cell r="BB147">
            <v>170.12885846774196</v>
          </cell>
          <cell r="BC147">
            <v>115.09204166666666</v>
          </cell>
          <cell r="BD147">
            <v>178.80536290322581</v>
          </cell>
          <cell r="BE147">
            <v>90.106451612903228</v>
          </cell>
          <cell r="BF147">
            <v>201.48245535714287</v>
          </cell>
          <cell r="BG147">
            <v>155.75568548387096</v>
          </cell>
          <cell r="BH147">
            <v>96.337666666666664</v>
          </cell>
          <cell r="BI147">
            <v>164.54451612903227</v>
          </cell>
          <cell r="BJ147">
            <v>105.50166666666667</v>
          </cell>
          <cell r="BK147">
            <v>130.57100806451615</v>
          </cell>
          <cell r="BL147">
            <v>208.80741935483871</v>
          </cell>
          <cell r="BM147">
            <v>170.07179166666666</v>
          </cell>
          <cell r="BN147">
            <v>141.20786290322582</v>
          </cell>
          <cell r="BO147">
            <v>122.27316666666668</v>
          </cell>
          <cell r="BP147">
            <v>68.645322580645157</v>
          </cell>
          <cell r="BQ147">
            <v>133.41479838709679</v>
          </cell>
          <cell r="BR147">
            <v>102.5389732142857</v>
          </cell>
          <cell r="BS147">
            <v>66.719233870967741</v>
          </cell>
          <cell r="BT147">
            <v>79.617875000000012</v>
          </cell>
          <cell r="BU147">
            <v>140.75383064516129</v>
          </cell>
          <cell r="BV147">
            <v>151.10345833333332</v>
          </cell>
          <cell r="BW147">
            <v>234.27475806451613</v>
          </cell>
          <cell r="BX147">
            <v>240.76762096774195</v>
          </cell>
          <cell r="BY147">
            <v>189.18808333333334</v>
          </cell>
          <cell r="BZ147">
            <v>102.91983870967742</v>
          </cell>
          <cell r="CA147">
            <v>107.59283333333333</v>
          </cell>
          <cell r="CB147">
            <v>146.38838709677418</v>
          </cell>
          <cell r="CC147">
            <v>155.83717741935484</v>
          </cell>
          <cell r="CD147">
            <v>76.60339285714285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52.380434782608695</v>
          </cell>
          <cell r="CM147">
            <v>53.544444444444444</v>
          </cell>
          <cell r="CN147">
            <v>52.956043956043956</v>
          </cell>
          <cell r="CO147">
            <v>52.380434782608695</v>
          </cell>
          <cell r="CP147">
            <v>67.816438356164383</v>
          </cell>
          <cell r="CQ147">
            <v>82.816438356164383</v>
          </cell>
        </row>
        <row r="148">
          <cell r="N148" t="str">
            <v>APS-Wholesale</v>
          </cell>
          <cell r="Q148">
            <v>9.1314242186666661</v>
          </cell>
          <cell r="R148">
            <v>9.1314242186666661</v>
          </cell>
          <cell r="S148">
            <v>8.5321578053333322</v>
          </cell>
          <cell r="T148">
            <v>6.8175976266666662</v>
          </cell>
          <cell r="U148">
            <v>2.2166104853333333</v>
          </cell>
          <cell r="V148">
            <v>4.9919995039999998</v>
          </cell>
          <cell r="W148">
            <v>6.7335967973333339</v>
          </cell>
          <cell r="X148">
            <v>3.5284713173333335</v>
          </cell>
          <cell r="Y148">
            <v>4.520176698666666</v>
          </cell>
          <cell r="Z148">
            <v>5.4874198720000003</v>
          </cell>
          <cell r="AA148">
            <v>7.828667733333333</v>
          </cell>
          <cell r="AB148">
            <v>3.5253624000000001</v>
          </cell>
          <cell r="AC148">
            <v>9.9013773355466679</v>
          </cell>
          <cell r="AD148">
            <v>5.2578719973333339</v>
          </cell>
          <cell r="AE148">
            <v>2.8222261546666667</v>
          </cell>
          <cell r="AF148">
            <v>3.7458053333333337</v>
          </cell>
          <cell r="AG148">
            <v>6.2099256</v>
          </cell>
          <cell r="AH148">
            <v>2.5853133333333331</v>
          </cell>
          <cell r="AI148">
            <v>8.2185311999999993</v>
          </cell>
          <cell r="AJ148">
            <v>7.5347239999999998</v>
          </cell>
          <cell r="AK148">
            <v>6.3117919999999996</v>
          </cell>
          <cell r="AL148">
            <v>8.4629391999999992</v>
          </cell>
          <cell r="AM148">
            <v>6.7201496000000001</v>
          </cell>
          <cell r="AN148">
            <v>6.6539037333333333</v>
          </cell>
          <cell r="AO148">
            <v>7.9474821333333336</v>
          </cell>
          <cell r="AP148">
            <v>8.4007370666666663</v>
          </cell>
          <cell r="AQ148">
            <v>7.3099400000000001</v>
          </cell>
          <cell r="AR148">
            <v>8.7051213626666666</v>
          </cell>
          <cell r="AS148">
            <v>4.6736351893333339</v>
          </cell>
          <cell r="AT148">
            <v>3.5774958013793103</v>
          </cell>
          <cell r="AU148">
            <v>4.4602664490322583</v>
          </cell>
          <cell r="AV148">
            <v>4.936359517333333</v>
          </cell>
          <cell r="AW148">
            <v>5.1397926245161285</v>
          </cell>
          <cell r="AX148">
            <v>8.1354794586666674</v>
          </cell>
          <cell r="AY148">
            <v>6.9136111638709679</v>
          </cell>
          <cell r="AZ148">
            <v>7.5341260722580641</v>
          </cell>
          <cell r="BA148">
            <v>8.5701903066666656</v>
          </cell>
          <cell r="BB148">
            <v>8.5038463199999992</v>
          </cell>
          <cell r="BC148">
            <v>6.7099807999999994</v>
          </cell>
          <cell r="BD148">
            <v>6.9539744516129032</v>
          </cell>
          <cell r="BE148">
            <v>7.5128268387096773</v>
          </cell>
          <cell r="BF148">
            <v>7.709619714285715</v>
          </cell>
          <cell r="BG148">
            <v>6.046724129032258</v>
          </cell>
          <cell r="BH148">
            <v>6.4560581333333333</v>
          </cell>
          <cell r="BI148">
            <v>6.5117726451612903</v>
          </cell>
          <cell r="BJ148">
            <v>5.5648312000000004</v>
          </cell>
          <cell r="BK148">
            <v>5.7098358709677415</v>
          </cell>
          <cell r="BL148">
            <v>6.0188707096774197</v>
          </cell>
          <cell r="BM148">
            <v>6.2912165333333334</v>
          </cell>
          <cell r="BN148">
            <v>5.832759225806452</v>
          </cell>
          <cell r="BO148">
            <v>5.5951592000000003</v>
          </cell>
          <cell r="BP148">
            <v>4.5784921290322584</v>
          </cell>
          <cell r="BQ148">
            <v>5.9944701935483868</v>
          </cell>
          <cell r="BR148">
            <v>5.6951651428571424</v>
          </cell>
          <cell r="BS148">
            <v>5.9034286451612905</v>
          </cell>
          <cell r="BT148">
            <v>7.2194912000000002</v>
          </cell>
          <cell r="BU148">
            <v>8.5216500645161286</v>
          </cell>
          <cell r="BV148">
            <v>6.8086954666666664</v>
          </cell>
          <cell r="BW148">
            <v>13.450036387096773</v>
          </cell>
          <cell r="BX148">
            <v>14.216638451612903</v>
          </cell>
          <cell r="BY148">
            <v>8.6924805333333328</v>
          </cell>
          <cell r="BZ148">
            <v>10.87814141935484</v>
          </cell>
          <cell r="CA148">
            <v>8.5599293333333346</v>
          </cell>
          <cell r="CB148">
            <v>7.8024678709677424</v>
          </cell>
          <cell r="CC148">
            <v>9.096500903225806</v>
          </cell>
          <cell r="CD148">
            <v>7.5065622857142849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8.0869565217391308</v>
          </cell>
          <cell r="CM148">
            <v>8.2666666666666675</v>
          </cell>
          <cell r="CN148">
            <v>8.1758241758241752</v>
          </cell>
          <cell r="CO148">
            <v>8.0869565217391308</v>
          </cell>
          <cell r="CP148">
            <v>8.1589041095890416</v>
          </cell>
          <cell r="CQ148">
            <v>8.1589041095890416</v>
          </cell>
        </row>
        <row r="149">
          <cell r="N149" t="str">
            <v>LOX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10.480088666666667</v>
          </cell>
          <cell r="AQ149">
            <v>9.7877780000000012</v>
          </cell>
          <cell r="AR149">
            <v>29.359282333333336</v>
          </cell>
          <cell r="AS149">
            <v>7.0169146666666666</v>
          </cell>
          <cell r="AT149">
            <v>2.8264031033333334</v>
          </cell>
          <cell r="AU149">
            <v>4.8563734266666669</v>
          </cell>
          <cell r="AV149">
            <v>2.6722519633333333</v>
          </cell>
          <cell r="AW149">
            <v>3.3667100133333334</v>
          </cell>
          <cell r="AX149">
            <v>12.780305156666666</v>
          </cell>
          <cell r="AY149">
            <v>22.659898213333335</v>
          </cell>
          <cell r="AZ149">
            <v>5.9951319999999999</v>
          </cell>
          <cell r="BA149">
            <v>10.310872</v>
          </cell>
          <cell r="BB149">
            <v>13.321418709677419</v>
          </cell>
          <cell r="BC149">
            <v>9.2815580000000004</v>
          </cell>
          <cell r="BD149">
            <v>22.428258387096772</v>
          </cell>
          <cell r="BE149">
            <v>22.340059677419355</v>
          </cell>
          <cell r="BF149">
            <v>18.365694285714284</v>
          </cell>
          <cell r="BG149">
            <v>6.4569574193548371</v>
          </cell>
          <cell r="BH149">
            <v>19.027627666666664</v>
          </cell>
          <cell r="BI149">
            <v>28.774967419354837</v>
          </cell>
          <cell r="BJ149">
            <v>15.224256666666665</v>
          </cell>
          <cell r="BK149">
            <v>15.011032903225805</v>
          </cell>
          <cell r="BL149">
            <v>11.355491612903224</v>
          </cell>
          <cell r="BM149">
            <v>13.283698999999997</v>
          </cell>
          <cell r="BN149">
            <v>9.3185719354838685</v>
          </cell>
          <cell r="BO149">
            <v>15.373691666666666</v>
          </cell>
          <cell r="BP149">
            <v>15.74065580645161</v>
          </cell>
          <cell r="BQ149">
            <v>23.812590645161286</v>
          </cell>
          <cell r="BR149">
            <v>28.464047857142855</v>
          </cell>
          <cell r="BS149">
            <v>30.155932258064514</v>
          </cell>
          <cell r="BT149">
            <v>29.330253333333332</v>
          </cell>
          <cell r="BU149">
            <v>32.649437096774186</v>
          </cell>
          <cell r="BV149">
            <v>30.496942666666662</v>
          </cell>
          <cell r="BW149">
            <v>29.182379032258062</v>
          </cell>
          <cell r="BX149">
            <v>44.910164838709676</v>
          </cell>
          <cell r="BY149">
            <v>35.120275666666664</v>
          </cell>
          <cell r="BZ149">
            <v>54.069314838709673</v>
          </cell>
          <cell r="CA149">
            <v>24.193740999999999</v>
          </cell>
          <cell r="CB149">
            <v>37.895230645161284</v>
          </cell>
          <cell r="CC149">
            <v>25.231150645161286</v>
          </cell>
          <cell r="CD149">
            <v>60.841852499999995</v>
          </cell>
          <cell r="CE149">
            <v>68.571129354838703</v>
          </cell>
          <cell r="CF149">
            <v>22.523262666666664</v>
          </cell>
          <cell r="CG149">
            <v>17.710319354838706</v>
          </cell>
          <cell r="CH149">
            <v>18.746680333333334</v>
          </cell>
          <cell r="CI149">
            <v>0</v>
          </cell>
          <cell r="CJ149">
            <v>0</v>
          </cell>
          <cell r="CK149">
            <v>0</v>
          </cell>
          <cell r="CL149">
            <v>69.510869565217391</v>
          </cell>
          <cell r="CM149">
            <v>71.055555555555557</v>
          </cell>
          <cell r="CN149">
            <v>70.27472527472527</v>
          </cell>
          <cell r="CO149">
            <v>69.510869565217391</v>
          </cell>
          <cell r="CP149">
            <v>85.090410958904116</v>
          </cell>
          <cell r="CQ149">
            <v>100.09041095890412</v>
          </cell>
        </row>
        <row r="150">
          <cell r="N150" t="str">
            <v>LIN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16.954833333333333</v>
          </cell>
          <cell r="AQ150">
            <v>14.343500000000001</v>
          </cell>
          <cell r="AR150">
            <v>29.067416666666666</v>
          </cell>
          <cell r="AS150">
            <v>8.0759583333333342</v>
          </cell>
          <cell r="AT150">
            <v>6.456458333333333</v>
          </cell>
          <cell r="AU150">
            <v>9.1282083333333333</v>
          </cell>
          <cell r="AV150">
            <v>29.387250000000002</v>
          </cell>
          <cell r="AW150">
            <v>71.959166666666675</v>
          </cell>
          <cell r="AX150">
            <v>61.155875000000002</v>
          </cell>
          <cell r="AY150">
            <v>90.008041666666671</v>
          </cell>
          <cell r="AZ150">
            <v>137.56004166666668</v>
          </cell>
          <cell r="BA150">
            <v>158.22991666666667</v>
          </cell>
          <cell r="BB150">
            <v>125.07665322580647</v>
          </cell>
          <cell r="BC150">
            <v>83.116375000000005</v>
          </cell>
          <cell r="BD150">
            <v>148.65092741935484</v>
          </cell>
          <cell r="BE150">
            <v>60.377298387096772</v>
          </cell>
          <cell r="BF150">
            <v>165.18566964285714</v>
          </cell>
          <cell r="BG150">
            <v>118.58157258064517</v>
          </cell>
          <cell r="BH150">
            <v>58.465541666666667</v>
          </cell>
          <cell r="BI150">
            <v>100.46310483870968</v>
          </cell>
          <cell r="BJ150">
            <v>73.583541666666676</v>
          </cell>
          <cell r="BK150">
            <v>92.051653225806461</v>
          </cell>
          <cell r="BL150">
            <v>173.56584677419357</v>
          </cell>
          <cell r="BM150">
            <v>127.378625</v>
          </cell>
          <cell r="BN150">
            <v>99.499274193548388</v>
          </cell>
          <cell r="BO150">
            <v>77.665166666666664</v>
          </cell>
          <cell r="BP150">
            <v>33.048991935483876</v>
          </cell>
          <cell r="BQ150">
            <v>86.948145161290327</v>
          </cell>
          <cell r="BR150">
            <v>61.580669642857146</v>
          </cell>
          <cell r="BS150">
            <v>27.365282258064518</v>
          </cell>
          <cell r="BT150">
            <v>38.755000000000003</v>
          </cell>
          <cell r="BU150">
            <v>92.047298387096788</v>
          </cell>
          <cell r="BV150">
            <v>117.12950000000001</v>
          </cell>
          <cell r="BW150">
            <v>199.69653225806451</v>
          </cell>
          <cell r="BX150">
            <v>201.64302419354837</v>
          </cell>
          <cell r="BY150">
            <v>156.31070833333334</v>
          </cell>
          <cell r="BZ150">
            <v>65.671209677419355</v>
          </cell>
          <cell r="CA150">
            <v>51.064</v>
          </cell>
          <cell r="CB150">
            <v>97.000564516129032</v>
          </cell>
          <cell r="CC150">
            <v>106.46201612903225</v>
          </cell>
          <cell r="CD150">
            <v>31.925669642857144</v>
          </cell>
          <cell r="CE150">
            <v>113.52911290322582</v>
          </cell>
          <cell r="CF150">
            <v>76.32779166666667</v>
          </cell>
          <cell r="CG150">
            <v>105.90504032258065</v>
          </cell>
          <cell r="CH150">
            <v>65.727875000000012</v>
          </cell>
          <cell r="CI150">
            <v>0</v>
          </cell>
          <cell r="CJ150">
            <v>0</v>
          </cell>
          <cell r="CK150">
            <v>0</v>
          </cell>
        </row>
        <row r="151">
          <cell r="N151" t="str">
            <v>LAR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6.4871591999999998</v>
          </cell>
          <cell r="AQ151">
            <v>5.4824698666666665</v>
          </cell>
          <cell r="AR151">
            <v>6.8961114666666665</v>
          </cell>
          <cell r="AS151">
            <v>2.9175535999999997</v>
          </cell>
          <cell r="AT151">
            <v>1.4954677333333335</v>
          </cell>
          <cell r="AU151">
            <v>1.9952850666666668</v>
          </cell>
          <cell r="AV151">
            <v>2.6989541333333333</v>
          </cell>
          <cell r="AW151">
            <v>3.6577351999999999</v>
          </cell>
          <cell r="AX151">
            <v>6.3295130666666664</v>
          </cell>
          <cell r="AY151">
            <v>5.0091746666666666</v>
          </cell>
          <cell r="AZ151">
            <v>5.4283551999999995</v>
          </cell>
          <cell r="BA151">
            <v>7.073619466666667</v>
          </cell>
          <cell r="BB151">
            <v>5.9877945806451613</v>
          </cell>
          <cell r="BC151">
            <v>3.9977656000000001</v>
          </cell>
          <cell r="BD151">
            <v>4.1052717419354838</v>
          </cell>
          <cell r="BE151">
            <v>5.1459192258064519</v>
          </cell>
          <cell r="BF151">
            <v>4.8447068571428575</v>
          </cell>
          <cell r="BG151">
            <v>3.9497184516129034</v>
          </cell>
          <cell r="BH151">
            <v>4.2474661333333339</v>
          </cell>
          <cell r="BI151">
            <v>3.9667527741935484</v>
          </cell>
          <cell r="BJ151">
            <v>2.5917952</v>
          </cell>
          <cell r="BK151">
            <v>3.2379024516129031</v>
          </cell>
          <cell r="BL151">
            <v>2.7748681290322583</v>
          </cell>
          <cell r="BM151">
            <v>3.3751496000000003</v>
          </cell>
          <cell r="BN151">
            <v>2.7748681290322583</v>
          </cell>
          <cell r="BO151">
            <v>2.7200648000000003</v>
          </cell>
          <cell r="BP151">
            <v>2.1643372903225808</v>
          </cell>
          <cell r="BQ151">
            <v>2.7303832258064515</v>
          </cell>
          <cell r="BR151">
            <v>2.6860031428571429</v>
          </cell>
          <cell r="BS151">
            <v>2.6731225806451615</v>
          </cell>
          <cell r="BT151">
            <v>3.1783744</v>
          </cell>
          <cell r="BU151">
            <v>4.8904043870967744</v>
          </cell>
          <cell r="BV151">
            <v>3.6105781333333331</v>
          </cell>
          <cell r="BW151">
            <v>9.3859117419354838</v>
          </cell>
          <cell r="BX151">
            <v>9.8816335483870965</v>
          </cell>
          <cell r="BY151">
            <v>4.6749720000000003</v>
          </cell>
          <cell r="BZ151">
            <v>6.8300727741935487</v>
          </cell>
          <cell r="CA151">
            <v>4.9454263999999997</v>
          </cell>
          <cell r="CB151">
            <v>3.5727189677419355</v>
          </cell>
          <cell r="CC151">
            <v>5.6342172903225807</v>
          </cell>
          <cell r="CD151">
            <v>3.645540285714286</v>
          </cell>
          <cell r="CE151">
            <v>4.5489698064516135</v>
          </cell>
          <cell r="CF151">
            <v>3.3123528000000002</v>
          </cell>
          <cell r="CG151">
            <v>3.7316676129032254</v>
          </cell>
          <cell r="CH151">
            <v>4.0936258666666667</v>
          </cell>
          <cell r="CI151">
            <v>0</v>
          </cell>
          <cell r="CJ151">
            <v>0</v>
          </cell>
          <cell r="CK151">
            <v>0</v>
          </cell>
        </row>
        <row r="152">
          <cell r="N152" t="str">
            <v>LOX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10.480088666666667</v>
          </cell>
          <cell r="AQ152">
            <v>9.7877780000000012</v>
          </cell>
          <cell r="AR152">
            <v>29.359282333333336</v>
          </cell>
          <cell r="AS152">
            <v>7.0169146666666666</v>
          </cell>
          <cell r="AT152">
            <v>2.8264031033333334</v>
          </cell>
          <cell r="AU152">
            <v>4.8563734266666669</v>
          </cell>
          <cell r="AV152">
            <v>2.6722519633333333</v>
          </cell>
          <cell r="AW152">
            <v>3.3667100133333334</v>
          </cell>
          <cell r="AX152">
            <v>12.780305156666666</v>
          </cell>
          <cell r="AY152">
            <v>22.659898213333335</v>
          </cell>
          <cell r="AZ152">
            <v>5.9951319999999999</v>
          </cell>
          <cell r="BA152">
            <v>175.61440813333331</v>
          </cell>
          <cell r="BB152">
            <v>144.38586651612906</v>
          </cell>
          <cell r="BC152">
            <v>96.395698600000003</v>
          </cell>
          <cell r="BD152">
            <v>175.18445754838712</v>
          </cell>
          <cell r="BE152">
            <v>87.863277290322586</v>
          </cell>
          <cell r="BF152">
            <v>188.39607078571427</v>
          </cell>
          <cell r="BG152">
            <v>128.98824845161292</v>
          </cell>
          <cell r="BH152">
            <v>81.74063546666666</v>
          </cell>
          <cell r="BI152">
            <v>133.20482503225804</v>
          </cell>
          <cell r="BJ152">
            <v>91.399593533333331</v>
          </cell>
          <cell r="BK152">
            <v>110.30058858064517</v>
          </cell>
          <cell r="BL152">
            <v>187.69620651612905</v>
          </cell>
          <cell r="BM152">
            <v>144.0374736</v>
          </cell>
          <cell r="BN152">
            <v>111.59271425806452</v>
          </cell>
          <cell r="BO152">
            <v>95.75892313333334</v>
          </cell>
          <cell r="BP152">
            <v>50.953985032258061</v>
          </cell>
          <cell r="BQ152">
            <v>113.49111903225806</v>
          </cell>
          <cell r="BR152">
            <v>92.73072064285715</v>
          </cell>
          <cell r="BS152">
            <v>60.194337096774198</v>
          </cell>
          <cell r="BT152">
            <v>71.263627733333323</v>
          </cell>
          <cell r="BU152">
            <v>129.58713987096775</v>
          </cell>
          <cell r="BV152">
            <v>151.23702079999998</v>
          </cell>
          <cell r="BW152">
            <v>238.26482303225805</v>
          </cell>
          <cell r="BX152">
            <v>256.43482258064512</v>
          </cell>
          <cell r="BY152">
            <v>196.10595599999999</v>
          </cell>
          <cell r="BZ152">
            <v>126.57059729032258</v>
          </cell>
          <cell r="CA152">
            <v>80.203167399999998</v>
          </cell>
          <cell r="CB152">
            <v>138.46851412903226</v>
          </cell>
          <cell r="CC152">
            <v>137.32738406451611</v>
          </cell>
          <cell r="CD152">
            <v>96.413062428571422</v>
          </cell>
          <cell r="CE152">
            <v>186.64921206451615</v>
          </cell>
          <cell r="CF152">
            <v>102.16340713333334</v>
          </cell>
          <cell r="CG152">
            <v>127.34702729032257</v>
          </cell>
          <cell r="CH152">
            <v>88.568181200000012</v>
          </cell>
          <cell r="CI152">
            <v>0</v>
          </cell>
          <cell r="CJ152">
            <v>0</v>
          </cell>
          <cell r="CK152">
            <v>0</v>
          </cell>
        </row>
        <row r="153">
          <cell r="N153" t="str">
            <v>LIN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16.954833333333333</v>
          </cell>
          <cell r="AQ153">
            <v>14.343500000000001</v>
          </cell>
          <cell r="AR153">
            <v>29.067416666666666</v>
          </cell>
          <cell r="AS153">
            <v>8.0759583333333342</v>
          </cell>
          <cell r="AT153">
            <v>6.456458333333333</v>
          </cell>
          <cell r="AU153">
            <v>9.1282083333333333</v>
          </cell>
          <cell r="AV153">
            <v>29.387250000000002</v>
          </cell>
          <cell r="AW153">
            <v>71.959166666666675</v>
          </cell>
          <cell r="AX153">
            <v>61.155875000000002</v>
          </cell>
          <cell r="AY153">
            <v>90.008041666666671</v>
          </cell>
          <cell r="AZ153">
            <v>137.56004166666668</v>
          </cell>
          <cell r="BA153">
            <v>158.22991666666667</v>
          </cell>
          <cell r="BB153">
            <v>125.07665322580647</v>
          </cell>
          <cell r="BC153">
            <v>83.116375000000005</v>
          </cell>
          <cell r="BD153">
            <v>148.65092741935484</v>
          </cell>
          <cell r="BE153">
            <v>60.377298387096772</v>
          </cell>
          <cell r="BF153">
            <v>165.18566964285714</v>
          </cell>
          <cell r="BG153">
            <v>118.58157258064517</v>
          </cell>
          <cell r="BH153">
            <v>58.465541666666667</v>
          </cell>
          <cell r="BI153">
            <v>100.46310483870968</v>
          </cell>
          <cell r="BJ153">
            <v>73.583541666666676</v>
          </cell>
          <cell r="BK153">
            <v>92.051653225806461</v>
          </cell>
          <cell r="BL153">
            <v>173.56584677419357</v>
          </cell>
          <cell r="BM153">
            <v>127.378625</v>
          </cell>
          <cell r="BN153">
            <v>99.499274193548388</v>
          </cell>
          <cell r="BO153">
            <v>77.665166666666664</v>
          </cell>
          <cell r="BP153">
            <v>33.048991935483876</v>
          </cell>
          <cell r="BQ153">
            <v>86.948145161290327</v>
          </cell>
          <cell r="BR153">
            <v>61.580669642857146</v>
          </cell>
          <cell r="BS153">
            <v>27.365282258064518</v>
          </cell>
          <cell r="BT153">
            <v>38.755000000000003</v>
          </cell>
          <cell r="BU153">
            <v>92.047298387096788</v>
          </cell>
          <cell r="BV153">
            <v>117.12950000000001</v>
          </cell>
          <cell r="BW153">
            <v>199.69653225806451</v>
          </cell>
          <cell r="BX153">
            <v>201.64302419354837</v>
          </cell>
          <cell r="BY153">
            <v>156.31070833333334</v>
          </cell>
          <cell r="BZ153">
            <v>65.671209677419355</v>
          </cell>
          <cell r="CA153">
            <v>51.064</v>
          </cell>
          <cell r="CB153">
            <v>97.000564516129032</v>
          </cell>
          <cell r="CC153">
            <v>106.46201612903225</v>
          </cell>
          <cell r="CD153">
            <v>31.925669642857144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N154" t="str">
            <v>APS-Retail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6.4871591999999998</v>
          </cell>
          <cell r="AQ154">
            <v>5.4824698666666665</v>
          </cell>
          <cell r="AR154">
            <v>6.8961114666666665</v>
          </cell>
          <cell r="AS154">
            <v>2.9175535999999997</v>
          </cell>
          <cell r="AT154">
            <v>1.4954677333333335</v>
          </cell>
          <cell r="AU154">
            <v>1.9952850666666668</v>
          </cell>
          <cell r="AV154">
            <v>2.6989541333333333</v>
          </cell>
          <cell r="AW154">
            <v>3.6577351999999999</v>
          </cell>
          <cell r="AX154">
            <v>6.3295130666666664</v>
          </cell>
          <cell r="AY154">
            <v>5.0091746666666666</v>
          </cell>
          <cell r="AZ154">
            <v>5.4283551999999995</v>
          </cell>
          <cell r="BA154">
            <v>7.073619466666667</v>
          </cell>
          <cell r="BB154">
            <v>5.9877945806451613</v>
          </cell>
          <cell r="BC154">
            <v>3.9977656000000001</v>
          </cell>
          <cell r="BD154">
            <v>4.1052717419354838</v>
          </cell>
          <cell r="BE154">
            <v>5.1459192258064519</v>
          </cell>
          <cell r="BF154">
            <v>4.8447068571428575</v>
          </cell>
          <cell r="BG154">
            <v>3.9497184516129034</v>
          </cell>
          <cell r="BH154">
            <v>4.2474661333333339</v>
          </cell>
          <cell r="BI154">
            <v>3.9667527741935484</v>
          </cell>
          <cell r="BJ154">
            <v>2.5917952</v>
          </cell>
          <cell r="BK154">
            <v>3.2379024516129031</v>
          </cell>
          <cell r="BL154">
            <v>2.7748681290322583</v>
          </cell>
          <cell r="BM154">
            <v>3.3751496000000003</v>
          </cell>
          <cell r="BN154">
            <v>2.7748681290322583</v>
          </cell>
          <cell r="BO154">
            <v>2.7200648000000003</v>
          </cell>
          <cell r="BP154">
            <v>2.1643372903225808</v>
          </cell>
          <cell r="BQ154">
            <v>2.7303832258064515</v>
          </cell>
          <cell r="BR154">
            <v>2.6860031428571429</v>
          </cell>
          <cell r="BS154">
            <v>2.6731225806451615</v>
          </cell>
          <cell r="BT154">
            <v>3.1783744</v>
          </cell>
          <cell r="BU154">
            <v>4.8904043870967744</v>
          </cell>
          <cell r="BV154">
            <v>3.6105781333333331</v>
          </cell>
          <cell r="BW154">
            <v>9.3859117419354838</v>
          </cell>
          <cell r="BX154">
            <v>9.8816335483870965</v>
          </cell>
          <cell r="BY154">
            <v>4.6749720000000003</v>
          </cell>
          <cell r="BZ154">
            <v>6.8300727741935487</v>
          </cell>
          <cell r="CA154">
            <v>4.9454263999999997</v>
          </cell>
          <cell r="CB154">
            <v>3.5727189677419355</v>
          </cell>
          <cell r="CC154">
            <v>5.6342172903225807</v>
          </cell>
          <cell r="CD154">
            <v>3.645540285714286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N155" t="str">
            <v>LOX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-3.3366666642250494E-6</v>
          </cell>
          <cell r="AS155">
            <v>1.000999999961156E-5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0.37468955333333309</v>
          </cell>
          <cell r="BA155">
            <v>0.74667640666666713</v>
          </cell>
          <cell r="BB155">
            <v>0.71619105161290342</v>
          </cell>
          <cell r="BC155">
            <v>1.8477983333333332</v>
          </cell>
          <cell r="BD155">
            <v>1.4350741935483868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0.24365354838709674</v>
          </cell>
          <cell r="CA155">
            <v>0.33385733333333328</v>
          </cell>
          <cell r="CB155">
            <v>0.60069225806451609</v>
          </cell>
          <cell r="CC155">
            <v>1.021804193548387</v>
          </cell>
          <cell r="CD155">
            <v>0.33078964285714285</v>
          </cell>
          <cell r="CE155">
            <v>0.70688129032258051</v>
          </cell>
          <cell r="CF155">
            <v>0.96968299999999996</v>
          </cell>
          <cell r="CG155">
            <v>0.31506129032258062</v>
          </cell>
          <cell r="CH155">
            <v>0.66247133333333319</v>
          </cell>
          <cell r="CI155">
            <v>0</v>
          </cell>
          <cell r="CJ155">
            <v>0</v>
          </cell>
          <cell r="CK155">
            <v>0</v>
          </cell>
        </row>
        <row r="156">
          <cell r="N156" t="str">
            <v>LIN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15.310166666666667</v>
          </cell>
          <cell r="AQ156">
            <v>19.985291666666669</v>
          </cell>
          <cell r="AR156">
            <v>23.065570833333332</v>
          </cell>
          <cell r="AS156">
            <v>29.36986708333334</v>
          </cell>
          <cell r="AT156">
            <v>25.910568749999999</v>
          </cell>
          <cell r="AU156">
            <v>30.933992083333337</v>
          </cell>
          <cell r="AV156">
            <v>29.625730000000001</v>
          </cell>
          <cell r="AW156">
            <v>32.53129125000001</v>
          </cell>
          <cell r="AX156">
            <v>26.548607916666661</v>
          </cell>
          <cell r="AY156">
            <v>32.084378749999999</v>
          </cell>
          <cell r="AZ156">
            <v>57.772716666666682</v>
          </cell>
          <cell r="BA156">
            <v>52.535787916666671</v>
          </cell>
          <cell r="BB156">
            <v>45.052205241935496</v>
          </cell>
          <cell r="BC156">
            <v>31.975666666666665</v>
          </cell>
          <cell r="BD156">
            <v>30.154435483870966</v>
          </cell>
          <cell r="BE156">
            <v>29.729153225806453</v>
          </cell>
          <cell r="BF156">
            <v>36.296785714285718</v>
          </cell>
          <cell r="BG156">
            <v>37.174112903225804</v>
          </cell>
          <cell r="BH156">
            <v>37.872125000000004</v>
          </cell>
          <cell r="BI156">
            <v>64.081411290322592</v>
          </cell>
          <cell r="BJ156">
            <v>31.918125</v>
          </cell>
          <cell r="BK156">
            <v>38.519354838709681</v>
          </cell>
          <cell r="BL156">
            <v>35.241572580645162</v>
          </cell>
          <cell r="BM156">
            <v>42.69316666666667</v>
          </cell>
          <cell r="BN156">
            <v>41.708588709677414</v>
          </cell>
          <cell r="BO156">
            <v>44.607958333333336</v>
          </cell>
          <cell r="BP156">
            <v>35.596330645161295</v>
          </cell>
          <cell r="BQ156">
            <v>46.466653225806446</v>
          </cell>
          <cell r="BR156">
            <v>40.958303571428573</v>
          </cell>
          <cell r="BS156">
            <v>39.353951612903224</v>
          </cell>
          <cell r="BT156">
            <v>40.862833333333334</v>
          </cell>
          <cell r="BU156">
            <v>48.706572580645165</v>
          </cell>
          <cell r="BV156">
            <v>33.974000000000004</v>
          </cell>
          <cell r="BW156">
            <v>34.578225806451613</v>
          </cell>
          <cell r="BX156">
            <v>39.124596774193549</v>
          </cell>
          <cell r="BY156">
            <v>32.877375000000001</v>
          </cell>
          <cell r="BZ156">
            <v>37.248629032258066</v>
          </cell>
          <cell r="CA156">
            <v>56.528833333333331</v>
          </cell>
          <cell r="CB156">
            <v>49.387822580645164</v>
          </cell>
          <cell r="CC156">
            <v>49.375161290322588</v>
          </cell>
          <cell r="CD156">
            <v>44.677723214285713</v>
          </cell>
          <cell r="CE156">
            <v>33.859838709677419</v>
          </cell>
          <cell r="CF156">
            <v>43.432291666666671</v>
          </cell>
          <cell r="CG156">
            <v>42.891411290322587</v>
          </cell>
          <cell r="CH156">
            <v>51.412291666666668</v>
          </cell>
          <cell r="CI156">
            <v>0</v>
          </cell>
          <cell r="CJ156">
            <v>0</v>
          </cell>
          <cell r="CK156">
            <v>0</v>
          </cell>
        </row>
        <row r="157">
          <cell r="N157" t="str">
            <v>LAR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1.9135778666666667</v>
          </cell>
          <cell r="AQ157">
            <v>1.8274701333333332</v>
          </cell>
          <cell r="AR157">
            <v>1.8090098960000003</v>
          </cell>
          <cell r="AS157">
            <v>1.7560815893333337</v>
          </cell>
          <cell r="AT157">
            <v>1.962778208</v>
          </cell>
          <cell r="AU157">
            <v>2.6136569306666666</v>
          </cell>
          <cell r="AV157">
            <v>2.2374053839999997</v>
          </cell>
          <cell r="AW157">
            <v>1.6533838453333329</v>
          </cell>
          <cell r="AX157">
            <v>1.8059663920000009</v>
          </cell>
          <cell r="AY157">
            <v>2.1348902026666665</v>
          </cell>
          <cell r="AZ157">
            <v>2.3569084080000002</v>
          </cell>
          <cell r="BA157">
            <v>1.4965708399999993</v>
          </cell>
          <cell r="BB157">
            <v>2.5160517393548392</v>
          </cell>
          <cell r="BC157">
            <v>2.7122151999999997</v>
          </cell>
          <cell r="BD157">
            <v>2.8487027096774193</v>
          </cell>
          <cell r="BE157">
            <v>2.3669076129032258</v>
          </cell>
          <cell r="BF157">
            <v>2.864912857142857</v>
          </cell>
          <cell r="BG157">
            <v>2.0970056774193551</v>
          </cell>
          <cell r="BH157">
            <v>2.2085919999999999</v>
          </cell>
          <cell r="BI157">
            <v>2.5450198709677418</v>
          </cell>
          <cell r="BJ157">
            <v>2.973036</v>
          </cell>
          <cell r="BK157">
            <v>2.4719334193548383</v>
          </cell>
          <cell r="BL157">
            <v>3.2440025806451613</v>
          </cell>
          <cell r="BM157">
            <v>2.9160669333333331</v>
          </cell>
          <cell r="BN157">
            <v>3.0578335483870966</v>
          </cell>
          <cell r="BO157">
            <v>2.8750944</v>
          </cell>
          <cell r="BP157">
            <v>2.4140972903225806</v>
          </cell>
          <cell r="BQ157">
            <v>3.2640869677419357</v>
          </cell>
          <cell r="BR157">
            <v>3.0091619999999999</v>
          </cell>
          <cell r="BS157">
            <v>3.230306064516129</v>
          </cell>
          <cell r="BT157">
            <v>4.0411762666666666</v>
          </cell>
          <cell r="BU157">
            <v>3.6312456774193551</v>
          </cell>
          <cell r="BV157">
            <v>3.1981173333333333</v>
          </cell>
          <cell r="BW157">
            <v>4.0641246451612902</v>
          </cell>
          <cell r="BX157">
            <v>4.3350049032258067</v>
          </cell>
          <cell r="BY157">
            <v>4.0175085333333334</v>
          </cell>
          <cell r="BZ157">
            <v>4.0480686451612904</v>
          </cell>
          <cell r="CA157">
            <v>3.6145029333333332</v>
          </cell>
          <cell r="CB157">
            <v>4.2297489032258069</v>
          </cell>
          <cell r="CC157">
            <v>3.4622836129032257</v>
          </cell>
          <cell r="CD157">
            <v>3.8610220000000002</v>
          </cell>
          <cell r="CE157">
            <v>3.3304402580645158</v>
          </cell>
          <cell r="CF157">
            <v>4.0468256</v>
          </cell>
          <cell r="CG157">
            <v>3.3200815483870967</v>
          </cell>
          <cell r="CH157">
            <v>3.1830128000000002</v>
          </cell>
          <cell r="CI157">
            <v>0</v>
          </cell>
          <cell r="CJ157">
            <v>0</v>
          </cell>
          <cell r="CK157">
            <v>0</v>
          </cell>
        </row>
        <row r="158">
          <cell r="N158" t="str">
            <v>LOX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-3.3366666642250494E-6</v>
          </cell>
          <cell r="AS158">
            <v>1.000999999961156E-5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0.37468955333333309</v>
          </cell>
          <cell r="BA158">
            <v>54.779035163333333</v>
          </cell>
          <cell r="BB158">
            <v>48.284448032903235</v>
          </cell>
          <cell r="BC158">
            <v>36.535680200000002</v>
          </cell>
          <cell r="BD158">
            <v>34.438212387096776</v>
          </cell>
          <cell r="BE158">
            <v>32.096060838709676</v>
          </cell>
          <cell r="BF158">
            <v>39.161698571428573</v>
          </cell>
          <cell r="BG158">
            <v>39.271118580645158</v>
          </cell>
          <cell r="BH158">
            <v>40.080717000000007</v>
          </cell>
          <cell r="BI158">
            <v>66.626431161290327</v>
          </cell>
          <cell r="BJ158">
            <v>34.891160999999997</v>
          </cell>
          <cell r="BK158">
            <v>40.991288258064522</v>
          </cell>
          <cell r="BL158">
            <v>38.485575161290321</v>
          </cell>
          <cell r="BM158">
            <v>45.609233600000003</v>
          </cell>
          <cell r="BN158">
            <v>44.766422258064509</v>
          </cell>
          <cell r="BO158">
            <v>47.483052733333338</v>
          </cell>
          <cell r="BP158">
            <v>38.010427935483875</v>
          </cell>
          <cell r="BQ158">
            <v>49.730740193548385</v>
          </cell>
          <cell r="BR158">
            <v>43.967465571428576</v>
          </cell>
          <cell r="BS158">
            <v>42.584257677419352</v>
          </cell>
          <cell r="BT158">
            <v>44.904009600000002</v>
          </cell>
          <cell r="BU158">
            <v>52.337818258064523</v>
          </cell>
          <cell r="BV158">
            <v>37.17211733333334</v>
          </cell>
          <cell r="BW158">
            <v>38.642350451612906</v>
          </cell>
          <cell r="BX158">
            <v>43.459601677419357</v>
          </cell>
          <cell r="BY158">
            <v>36.894883533333335</v>
          </cell>
          <cell r="BZ158">
            <v>41.540351225806447</v>
          </cell>
          <cell r="CA158">
            <v>60.4771936</v>
          </cell>
          <cell r="CB158">
            <v>54.218263741935488</v>
          </cell>
          <cell r="CC158">
            <v>53.859249096774199</v>
          </cell>
          <cell r="CD158">
            <v>48.869534857142853</v>
          </cell>
          <cell r="CE158">
            <v>37.89716025806451</v>
          </cell>
          <cell r="CF158">
            <v>48.448800266666673</v>
          </cell>
          <cell r="CG158">
            <v>46.526554129032263</v>
          </cell>
          <cell r="CH158">
            <v>55.257775800000005</v>
          </cell>
          <cell r="CI158">
            <v>0</v>
          </cell>
          <cell r="CJ158">
            <v>0</v>
          </cell>
          <cell r="CK158">
            <v>0</v>
          </cell>
        </row>
        <row r="159">
          <cell r="N159" t="str">
            <v>LIN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15.310166666666667</v>
          </cell>
          <cell r="AQ159">
            <v>19.985291666666669</v>
          </cell>
          <cell r="AR159">
            <v>23.065570833333332</v>
          </cell>
          <cell r="AS159">
            <v>29.36986708333334</v>
          </cell>
          <cell r="AT159">
            <v>25.910568749999999</v>
          </cell>
          <cell r="AU159">
            <v>30.933992083333337</v>
          </cell>
          <cell r="AV159">
            <v>29.625730000000001</v>
          </cell>
          <cell r="AW159">
            <v>32.53129125000001</v>
          </cell>
          <cell r="AX159">
            <v>26.548607916666661</v>
          </cell>
          <cell r="AY159">
            <v>32.084378749999999</v>
          </cell>
          <cell r="AZ159">
            <v>57.772716666666682</v>
          </cell>
          <cell r="BA159">
            <v>52.535787916666671</v>
          </cell>
          <cell r="BB159">
            <v>45.052205241935496</v>
          </cell>
          <cell r="BC159">
            <v>31.975666666666665</v>
          </cell>
          <cell r="BD159">
            <v>30.154435483870966</v>
          </cell>
          <cell r="BE159">
            <v>29.729153225806453</v>
          </cell>
          <cell r="BF159">
            <v>36.296785714285718</v>
          </cell>
          <cell r="BG159">
            <v>37.174112903225804</v>
          </cell>
          <cell r="BH159">
            <v>37.872125000000004</v>
          </cell>
          <cell r="BI159">
            <v>64.081411290322592</v>
          </cell>
          <cell r="BJ159">
            <v>31.918125</v>
          </cell>
          <cell r="BK159">
            <v>38.519354838709681</v>
          </cell>
          <cell r="BL159">
            <v>35.241572580645162</v>
          </cell>
          <cell r="BM159">
            <v>42.69316666666667</v>
          </cell>
          <cell r="BN159">
            <v>41.708588709677414</v>
          </cell>
          <cell r="BO159">
            <v>44.607958333333336</v>
          </cell>
          <cell r="BP159">
            <v>35.596330645161295</v>
          </cell>
          <cell r="BQ159">
            <v>46.466653225806446</v>
          </cell>
          <cell r="BR159">
            <v>40.958303571428573</v>
          </cell>
          <cell r="BS159">
            <v>39.353951612903224</v>
          </cell>
          <cell r="BT159">
            <v>40.862833333333334</v>
          </cell>
          <cell r="BU159">
            <v>48.706572580645165</v>
          </cell>
          <cell r="BV159">
            <v>33.974000000000004</v>
          </cell>
          <cell r="BW159">
            <v>34.578225806451613</v>
          </cell>
          <cell r="BX159">
            <v>39.124596774193549</v>
          </cell>
          <cell r="BY159">
            <v>32.877375000000001</v>
          </cell>
          <cell r="BZ159">
            <v>37.248629032258066</v>
          </cell>
          <cell r="CA159">
            <v>56.528833333333331</v>
          </cell>
          <cell r="CB159">
            <v>49.387822580645164</v>
          </cell>
          <cell r="CC159">
            <v>49.375161290322588</v>
          </cell>
          <cell r="CD159">
            <v>44.677723214285713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N160" t="str">
            <v>CWIGPRC/SAP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1.9135778666666667</v>
          </cell>
          <cell r="AQ160">
            <v>1.8274701333333332</v>
          </cell>
          <cell r="AR160">
            <v>1.8090098960000003</v>
          </cell>
          <cell r="AS160">
            <v>1.7560815893333337</v>
          </cell>
          <cell r="AT160">
            <v>1.962778208</v>
          </cell>
          <cell r="AU160">
            <v>2.6136569306666666</v>
          </cell>
          <cell r="AV160">
            <v>2.2374053839999997</v>
          </cell>
          <cell r="AW160">
            <v>1.6533838453333329</v>
          </cell>
          <cell r="AX160">
            <v>1.8059663920000009</v>
          </cell>
          <cell r="AY160">
            <v>2.1348902026666665</v>
          </cell>
          <cell r="AZ160">
            <v>2.3569084080000002</v>
          </cell>
          <cell r="BA160">
            <v>1.4965708399999993</v>
          </cell>
          <cell r="BB160">
            <v>2.5160517393548392</v>
          </cell>
          <cell r="BC160">
            <v>2.7122151999999997</v>
          </cell>
          <cell r="BD160">
            <v>2.8487027096774193</v>
          </cell>
          <cell r="BE160">
            <v>2.3669076129032258</v>
          </cell>
          <cell r="BF160">
            <v>2.864912857142857</v>
          </cell>
          <cell r="BG160">
            <v>2.0970056774193551</v>
          </cell>
          <cell r="BH160">
            <v>2.2085919999999999</v>
          </cell>
          <cell r="BI160">
            <v>2.5450198709677418</v>
          </cell>
          <cell r="BJ160">
            <v>2.973036</v>
          </cell>
          <cell r="BK160">
            <v>2.4719334193548383</v>
          </cell>
          <cell r="BL160">
            <v>3.2440025806451613</v>
          </cell>
          <cell r="BM160">
            <v>2.9160669333333331</v>
          </cell>
          <cell r="BN160">
            <v>3.0578335483870966</v>
          </cell>
          <cell r="BO160">
            <v>2.8750944</v>
          </cell>
          <cell r="BP160">
            <v>2.4140972903225806</v>
          </cell>
          <cell r="BQ160">
            <v>3.2640869677419357</v>
          </cell>
          <cell r="BR160">
            <v>3.0091619999999999</v>
          </cell>
          <cell r="BS160">
            <v>3.230306064516129</v>
          </cell>
          <cell r="BT160">
            <v>4.0411762666666666</v>
          </cell>
          <cell r="BU160">
            <v>3.6312456774193551</v>
          </cell>
          <cell r="BV160">
            <v>3.1981173333333333</v>
          </cell>
          <cell r="BW160">
            <v>4.0641246451612902</v>
          </cell>
          <cell r="BX160">
            <v>4.3350049032258067</v>
          </cell>
          <cell r="BY160">
            <v>4.0175085333333334</v>
          </cell>
          <cell r="BZ160">
            <v>4.0480686451612904</v>
          </cell>
          <cell r="CA160">
            <v>3.6145029333333332</v>
          </cell>
          <cell r="CB160">
            <v>4.2297489032258069</v>
          </cell>
          <cell r="CC160">
            <v>3.4622836129032257</v>
          </cell>
          <cell r="CD160">
            <v>3.8610220000000002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N161" t="str">
            <v>LOX</v>
          </cell>
          <cell r="O161">
            <v>371598</v>
          </cell>
          <cell r="P161">
            <v>338970</v>
          </cell>
          <cell r="Q161">
            <v>314972</v>
          </cell>
          <cell r="R161">
            <v>343477</v>
          </cell>
          <cell r="S161">
            <v>385101</v>
          </cell>
          <cell r="T161">
            <v>402053</v>
          </cell>
          <cell r="U161">
            <v>652972</v>
          </cell>
          <cell r="V161">
            <v>637457</v>
          </cell>
          <cell r="W161">
            <v>561840</v>
          </cell>
          <cell r="X161">
            <v>851680</v>
          </cell>
          <cell r="Y161">
            <v>663744</v>
          </cell>
          <cell r="Z161">
            <v>865807</v>
          </cell>
          <cell r="AA161">
            <v>549420</v>
          </cell>
          <cell r="AB161">
            <v>512315</v>
          </cell>
          <cell r="AC161">
            <v>478167</v>
          </cell>
          <cell r="AD161">
            <v>405502</v>
          </cell>
          <cell r="AE161">
            <v>434010</v>
          </cell>
          <cell r="AF161">
            <v>480035</v>
          </cell>
          <cell r="AG161">
            <v>510307</v>
          </cell>
          <cell r="AH161">
            <v>607230</v>
          </cell>
          <cell r="AI161">
            <v>421520</v>
          </cell>
          <cell r="AJ161">
            <v>705748</v>
          </cell>
          <cell r="AK161">
            <v>831003</v>
          </cell>
          <cell r="AL161">
            <v>703301</v>
          </cell>
          <cell r="AM161">
            <v>669316</v>
          </cell>
          <cell r="AN161">
            <v>572650</v>
          </cell>
          <cell r="AO161">
            <v>531077</v>
          </cell>
          <cell r="AP161">
            <v>480870</v>
          </cell>
          <cell r="AQ161">
            <v>457425</v>
          </cell>
          <cell r="AR161">
            <v>576204</v>
          </cell>
          <cell r="AS161">
            <v>587588</v>
          </cell>
          <cell r="AT161">
            <v>547924</v>
          </cell>
          <cell r="AU161">
            <v>645122</v>
          </cell>
          <cell r="AV161">
            <v>778307</v>
          </cell>
          <cell r="AW161">
            <v>913912</v>
          </cell>
          <cell r="AX161">
            <v>890414.21</v>
          </cell>
          <cell r="AY161">
            <v>788066</v>
          </cell>
          <cell r="AZ161">
            <v>657692</v>
          </cell>
          <cell r="BA161">
            <v>783961</v>
          </cell>
          <cell r="BB161">
            <v>641624</v>
          </cell>
          <cell r="BC161">
            <v>489218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44.766422258064509</v>
          </cell>
          <cell r="BO161">
            <v>47.483052733333338</v>
          </cell>
          <cell r="BP161">
            <v>38.010427935483875</v>
          </cell>
          <cell r="BQ161">
            <v>49.730740193548385</v>
          </cell>
          <cell r="BR161">
            <v>43.967465571428576</v>
          </cell>
          <cell r="BS161">
            <v>42.584257677419352</v>
          </cell>
          <cell r="BT161">
            <v>44.904009600000002</v>
          </cell>
          <cell r="BU161">
            <v>52.337818258064523</v>
          </cell>
          <cell r="BV161">
            <v>37.17211733333334</v>
          </cell>
          <cell r="BW161">
            <v>38.642350451612906</v>
          </cell>
          <cell r="BX161">
            <v>43.459601677419357</v>
          </cell>
          <cell r="BY161">
            <v>36.894883533333335</v>
          </cell>
          <cell r="BZ161">
            <v>41.540351225806447</v>
          </cell>
          <cell r="CA161">
            <v>60.4771936</v>
          </cell>
          <cell r="CB161">
            <v>54.218263741935488</v>
          </cell>
          <cell r="CC161">
            <v>53.859249096774199</v>
          </cell>
          <cell r="CD161">
            <v>48.869534857142853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11.666666666666666</v>
          </cell>
          <cell r="CM161">
            <v>10.944444444444445</v>
          </cell>
          <cell r="CN161">
            <v>11</v>
          </cell>
          <cell r="CO161">
            <v>11</v>
          </cell>
          <cell r="CP161">
            <v>14.791780821917808</v>
          </cell>
          <cell r="CQ161">
            <v>17.326027397260273</v>
          </cell>
        </row>
        <row r="162">
          <cell r="N162" t="str">
            <v>LIN</v>
          </cell>
          <cell r="O162">
            <v>643583</v>
          </cell>
          <cell r="P162">
            <v>595129</v>
          </cell>
          <cell r="Q162">
            <v>547185</v>
          </cell>
          <cell r="R162">
            <v>710925</v>
          </cell>
          <cell r="S162">
            <v>602597</v>
          </cell>
          <cell r="T162">
            <v>554559</v>
          </cell>
          <cell r="U162">
            <v>682190</v>
          </cell>
          <cell r="V162">
            <v>502147</v>
          </cell>
          <cell r="W162">
            <v>557943</v>
          </cell>
          <cell r="X162">
            <v>764152</v>
          </cell>
          <cell r="Y162">
            <v>812830</v>
          </cell>
          <cell r="Z162">
            <v>630664</v>
          </cell>
          <cell r="AA162">
            <v>870607</v>
          </cell>
          <cell r="AB162">
            <v>888710</v>
          </cell>
          <cell r="AC162">
            <v>836399</v>
          </cell>
          <cell r="AD162">
            <v>977116</v>
          </cell>
          <cell r="AE162">
            <v>1040307</v>
          </cell>
          <cell r="AF162">
            <v>1090437</v>
          </cell>
          <cell r="AG162">
            <v>1137762</v>
          </cell>
          <cell r="AH162">
            <v>1139673</v>
          </cell>
          <cell r="AI162">
            <v>838809</v>
          </cell>
          <cell r="AJ162">
            <v>1307283</v>
          </cell>
          <cell r="AK162">
            <v>1136576</v>
          </cell>
          <cell r="AL162">
            <v>1241559</v>
          </cell>
          <cell r="AM162">
            <v>1594251</v>
          </cell>
          <cell r="AN162">
            <v>1381708</v>
          </cell>
          <cell r="AO162">
            <v>1185830</v>
          </cell>
          <cell r="AP162">
            <v>1306305</v>
          </cell>
          <cell r="AQ162">
            <v>1322493</v>
          </cell>
          <cell r="AR162">
            <v>1352860</v>
          </cell>
          <cell r="AS162">
            <v>1542999</v>
          </cell>
          <cell r="AT162">
            <v>1427348</v>
          </cell>
          <cell r="AU162">
            <v>1162273</v>
          </cell>
          <cell r="AV162">
            <v>1494429</v>
          </cell>
          <cell r="AW162">
            <v>1635552</v>
          </cell>
          <cell r="AX162">
            <v>1651163.93</v>
          </cell>
          <cell r="AY162">
            <v>1681039</v>
          </cell>
          <cell r="AZ162">
            <v>1306575</v>
          </cell>
          <cell r="BA162">
            <v>1379945</v>
          </cell>
          <cell r="BB162">
            <v>1526816</v>
          </cell>
          <cell r="BC162">
            <v>1239203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CL162">
            <v>404.72222222222223</v>
          </cell>
          <cell r="CM162">
            <v>406.61111111111114</v>
          </cell>
          <cell r="CN162">
            <v>445.8</v>
          </cell>
          <cell r="CO162">
            <v>455.70000000000005</v>
          </cell>
          <cell r="CP162">
            <v>434.67671232876711</v>
          </cell>
          <cell r="CQ162">
            <v>453.55890410958904</v>
          </cell>
        </row>
        <row r="163">
          <cell r="N163" t="str">
            <v>LAR</v>
          </cell>
          <cell r="O163">
            <v>3260</v>
          </cell>
          <cell r="P163">
            <v>8150</v>
          </cell>
          <cell r="Q163">
            <v>10016</v>
          </cell>
          <cell r="R163">
            <v>8038</v>
          </cell>
          <cell r="S163">
            <v>32447</v>
          </cell>
          <cell r="T163">
            <v>57562</v>
          </cell>
          <cell r="U163">
            <v>62557</v>
          </cell>
          <cell r="V163">
            <v>48741</v>
          </cell>
          <cell r="W163">
            <v>33845</v>
          </cell>
          <cell r="X163">
            <v>81368</v>
          </cell>
          <cell r="Y163">
            <v>41791</v>
          </cell>
          <cell r="Z163">
            <v>38487</v>
          </cell>
          <cell r="AA163">
            <v>27465</v>
          </cell>
          <cell r="AB163">
            <v>53024</v>
          </cell>
          <cell r="AC163">
            <v>40255</v>
          </cell>
          <cell r="AD163">
            <v>32166</v>
          </cell>
          <cell r="AE163">
            <v>46437</v>
          </cell>
          <cell r="AF163">
            <v>35530</v>
          </cell>
          <cell r="AG163">
            <v>61987</v>
          </cell>
          <cell r="AH163">
            <v>45040</v>
          </cell>
          <cell r="AI163">
            <v>36317</v>
          </cell>
          <cell r="AJ163">
            <v>36021</v>
          </cell>
          <cell r="AK163">
            <v>45947</v>
          </cell>
          <cell r="AL163">
            <v>32702</v>
          </cell>
          <cell r="AM163">
            <v>36573</v>
          </cell>
          <cell r="AN163">
            <v>34933</v>
          </cell>
          <cell r="AO163">
            <v>30101</v>
          </cell>
          <cell r="AP163">
            <v>37231</v>
          </cell>
          <cell r="AQ163">
            <v>53171</v>
          </cell>
          <cell r="AR163">
            <v>35282</v>
          </cell>
          <cell r="AS163">
            <v>13613</v>
          </cell>
          <cell r="AT163">
            <v>44242</v>
          </cell>
          <cell r="AU163">
            <v>32771</v>
          </cell>
          <cell r="AV163">
            <v>53896</v>
          </cell>
          <cell r="AW163">
            <v>51434</v>
          </cell>
          <cell r="AX163">
            <v>59648.5</v>
          </cell>
          <cell r="AY163">
            <v>30200</v>
          </cell>
          <cell r="AZ163">
            <v>16039</v>
          </cell>
          <cell r="BA163">
            <v>20095</v>
          </cell>
          <cell r="BB163">
            <v>35623</v>
          </cell>
          <cell r="BC163">
            <v>104682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</row>
        <row r="164">
          <cell r="N164" t="str">
            <v>LOX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</row>
        <row r="165">
          <cell r="N165" t="str">
            <v>LOX</v>
          </cell>
          <cell r="O165">
            <v>12.3866</v>
          </cell>
          <cell r="P165">
            <v>11.299000000000001</v>
          </cell>
          <cell r="Q165">
            <v>10.499066666666666</v>
          </cell>
          <cell r="R165">
            <v>11.449233333333334</v>
          </cell>
          <cell r="S165">
            <v>12.8367</v>
          </cell>
          <cell r="T165">
            <v>13.401766666666667</v>
          </cell>
          <cell r="U165">
            <v>21.765733333333333</v>
          </cell>
          <cell r="V165">
            <v>21.248566666666665</v>
          </cell>
          <cell r="W165">
            <v>18.728000000000002</v>
          </cell>
          <cell r="X165">
            <v>28.389333333333337</v>
          </cell>
          <cell r="Y165">
            <v>22.1248</v>
          </cell>
          <cell r="Z165">
            <v>28.860233333333333</v>
          </cell>
          <cell r="AA165">
            <v>18.314</v>
          </cell>
          <cell r="AB165">
            <v>17.077166666666667</v>
          </cell>
          <cell r="AC165">
            <v>15.9389</v>
          </cell>
          <cell r="AD165">
            <v>13.516733333333333</v>
          </cell>
          <cell r="AE165">
            <v>14.467000000000001</v>
          </cell>
          <cell r="AF165">
            <v>16.001166666666666</v>
          </cell>
          <cell r="AG165">
            <v>17.010233333333336</v>
          </cell>
          <cell r="AH165">
            <v>20.241</v>
          </cell>
          <cell r="AI165">
            <v>14.050666666666666</v>
          </cell>
          <cell r="AJ165">
            <v>23.524933333333333</v>
          </cell>
          <cell r="AK165">
            <v>27.700100000000003</v>
          </cell>
          <cell r="AL165">
            <v>23.44336666666667</v>
          </cell>
          <cell r="AM165">
            <v>22.310533333333336</v>
          </cell>
          <cell r="AN165">
            <v>19.088333333333331</v>
          </cell>
          <cell r="AO165">
            <v>17.702566666666666</v>
          </cell>
          <cell r="AP165">
            <v>16.029</v>
          </cell>
          <cell r="AQ165">
            <v>15.2475</v>
          </cell>
          <cell r="AR165">
            <v>19.206800000000001</v>
          </cell>
          <cell r="AS165">
            <v>19.586266666666667</v>
          </cell>
          <cell r="AT165">
            <v>17.674967741935482</v>
          </cell>
          <cell r="AU165">
            <v>22.245586206896551</v>
          </cell>
          <cell r="AV165">
            <v>25.106677419354838</v>
          </cell>
          <cell r="AW165">
            <v>30.463733333333334</v>
          </cell>
          <cell r="AX165">
            <v>28.723039032258065</v>
          </cell>
          <cell r="AY165">
            <v>26.268866666666668</v>
          </cell>
          <cell r="AZ165">
            <v>21.215870967741935</v>
          </cell>
          <cell r="BA165">
            <v>25.289064516129034</v>
          </cell>
          <cell r="BB165">
            <v>31.820800000000002</v>
          </cell>
          <cell r="BC165">
            <v>31.781225806451616</v>
          </cell>
          <cell r="BD165">
            <v>29.747566666666668</v>
          </cell>
          <cell r="BE165">
            <v>25.360967741935486</v>
          </cell>
          <cell r="BF165">
            <v>35.88203225806452</v>
          </cell>
          <cell r="BG165">
            <v>114.67571428571429</v>
          </cell>
          <cell r="BH165">
            <v>102.45935483870967</v>
          </cell>
          <cell r="BI165">
            <v>50.489645161290319</v>
          </cell>
          <cell r="BJ165">
            <v>86.732903225806453</v>
          </cell>
          <cell r="BK165">
            <v>66.712860215053766</v>
          </cell>
          <cell r="BL165">
            <v>115.1258064516129</v>
          </cell>
          <cell r="BM165">
            <v>113</v>
          </cell>
          <cell r="BN165">
            <v>112</v>
          </cell>
          <cell r="BO165">
            <v>120</v>
          </cell>
          <cell r="BP165">
            <v>94</v>
          </cell>
          <cell r="BQ165">
            <v>84</v>
          </cell>
          <cell r="BR165">
            <v>62</v>
          </cell>
          <cell r="BS165">
            <v>124.19315032258064</v>
          </cell>
          <cell r="BT165">
            <v>233.26429133333335</v>
          </cell>
          <cell r="BU165">
            <v>203.49067903225804</v>
          </cell>
          <cell r="BV165">
            <v>208.70002966666667</v>
          </cell>
          <cell r="BW165">
            <v>180.38057129032259</v>
          </cell>
          <cell r="BX165">
            <v>171.04342806451615</v>
          </cell>
          <cell r="BY165">
            <v>184.22695766666666</v>
          </cell>
          <cell r="BZ165">
            <v>192.20203387096774</v>
          </cell>
          <cell r="CA165">
            <v>190.32248566666667</v>
          </cell>
          <cell r="CB165">
            <v>203.10596935483872</v>
          </cell>
          <cell r="CC165">
            <v>166.75761677419354</v>
          </cell>
          <cell r="CD165">
            <v>139.35445821428573</v>
          </cell>
          <cell r="CE165">
            <v>208.22517935483873</v>
          </cell>
          <cell r="CF165">
            <v>185.45100233333332</v>
          </cell>
          <cell r="CG165">
            <v>136.23896999999999</v>
          </cell>
          <cell r="CH165">
            <v>198.07951</v>
          </cell>
          <cell r="CI165">
            <v>0</v>
          </cell>
          <cell r="CJ165">
            <v>0</v>
          </cell>
          <cell r="CK165">
            <v>0</v>
          </cell>
          <cell r="CL165">
            <v>171.25</v>
          </cell>
          <cell r="CM165">
            <v>143.24444444444444</v>
          </cell>
          <cell r="CN165">
            <v>206.71428571428572</v>
          </cell>
          <cell r="CO165">
            <v>223.01086956521738</v>
          </cell>
          <cell r="CP165">
            <v>219.29589041095892</v>
          </cell>
          <cell r="CQ165">
            <v>237.32328767123289</v>
          </cell>
        </row>
        <row r="166">
          <cell r="N166" t="str">
            <v>LIN</v>
          </cell>
          <cell r="O166">
            <v>21.452766666666665</v>
          </cell>
          <cell r="P166">
            <v>19.837633333333333</v>
          </cell>
          <cell r="Q166">
            <v>18.239500000000003</v>
          </cell>
          <cell r="R166">
            <v>23.697500000000002</v>
          </cell>
          <cell r="S166">
            <v>20.086566666666666</v>
          </cell>
          <cell r="T166">
            <v>18.485299999999999</v>
          </cell>
          <cell r="U166">
            <v>22.739666666666668</v>
          </cell>
          <cell r="V166">
            <v>16.738233333333334</v>
          </cell>
          <cell r="W166">
            <v>18.598099999999999</v>
          </cell>
          <cell r="X166">
            <v>25.471733333333336</v>
          </cell>
          <cell r="Y166">
            <v>27.094333333333335</v>
          </cell>
          <cell r="Z166">
            <v>21.022133333333333</v>
          </cell>
          <cell r="AA166">
            <v>29.020233333333334</v>
          </cell>
          <cell r="AB166">
            <v>29.623666666666669</v>
          </cell>
          <cell r="AC166">
            <v>27.879966666666668</v>
          </cell>
          <cell r="AD166">
            <v>32.57053333333333</v>
          </cell>
          <cell r="AE166">
            <v>34.676900000000003</v>
          </cell>
          <cell r="AF166">
            <v>36.347900000000003</v>
          </cell>
          <cell r="AG166">
            <v>37.925399999999996</v>
          </cell>
          <cell r="AH166">
            <v>37.989100000000001</v>
          </cell>
          <cell r="AI166">
            <v>27.9603</v>
          </cell>
          <cell r="AJ166">
            <v>43.576100000000004</v>
          </cell>
          <cell r="AK166">
            <v>37.885866666666665</v>
          </cell>
          <cell r="AL166">
            <v>41.385300000000001</v>
          </cell>
          <cell r="AM166">
            <v>53.1417</v>
          </cell>
          <cell r="AN166">
            <v>46.056933333333333</v>
          </cell>
          <cell r="AO166">
            <v>39.527666666666661</v>
          </cell>
          <cell r="AP166">
            <v>43.543500000000002</v>
          </cell>
          <cell r="AQ166">
            <v>44.083099999999995</v>
          </cell>
          <cell r="AR166">
            <v>45.095333333333336</v>
          </cell>
          <cell r="AS166">
            <v>51.433300000000003</v>
          </cell>
          <cell r="AT166">
            <v>46.043483870967741</v>
          </cell>
          <cell r="AU166">
            <v>40.078379310344822</v>
          </cell>
          <cell r="AV166">
            <v>48.207387096774198</v>
          </cell>
          <cell r="AW166">
            <v>54.518400000000007</v>
          </cell>
          <cell r="AX166">
            <v>53.263352580645162</v>
          </cell>
          <cell r="AY166">
            <v>54.227064516129033</v>
          </cell>
          <cell r="AZ166">
            <v>42.147580645161291</v>
          </cell>
          <cell r="BA166">
            <v>44.514354838709679</v>
          </cell>
          <cell r="BB166">
            <v>64.427199999999999</v>
          </cell>
          <cell r="BC166">
            <v>57.200096774193547</v>
          </cell>
          <cell r="BD166">
            <v>66.231833333333327</v>
          </cell>
          <cell r="BE166">
            <v>62.567999999999998</v>
          </cell>
          <cell r="BF166">
            <v>66.04996774193549</v>
          </cell>
          <cell r="BG166">
            <v>84.972499999999997</v>
          </cell>
          <cell r="BH166">
            <v>77.39867741935484</v>
          </cell>
          <cell r="BI166">
            <v>78.741766666666663</v>
          </cell>
          <cell r="BJ166">
            <v>77.853870967741926</v>
          </cell>
          <cell r="BK166">
            <v>79.180540860215046</v>
          </cell>
          <cell r="BL166">
            <v>76.944870967741934</v>
          </cell>
          <cell r="BM166">
            <v>67</v>
          </cell>
          <cell r="BN166">
            <v>89</v>
          </cell>
          <cell r="BO166">
            <v>79</v>
          </cell>
          <cell r="BP166">
            <v>85</v>
          </cell>
          <cell r="BQ166">
            <v>84</v>
          </cell>
          <cell r="BR166">
            <v>84</v>
          </cell>
          <cell r="BS166">
            <v>110.16366935483872</v>
          </cell>
          <cell r="BT166">
            <v>108.13366666666667</v>
          </cell>
          <cell r="BU166">
            <v>97.715161290322584</v>
          </cell>
          <cell r="BV166">
            <v>110.60566666666666</v>
          </cell>
          <cell r="BW166">
            <v>135.57580645161289</v>
          </cell>
          <cell r="BX166">
            <v>141.16338709677419</v>
          </cell>
          <cell r="BY166">
            <v>149.52875</v>
          </cell>
          <cell r="BZ166">
            <v>134.30032258064517</v>
          </cell>
          <cell r="CA166">
            <v>138.85500000000002</v>
          </cell>
          <cell r="CB166">
            <v>150.16806451612902</v>
          </cell>
          <cell r="CC166">
            <v>151.69814516129031</v>
          </cell>
          <cell r="CD166">
            <v>125.66</v>
          </cell>
          <cell r="CE166">
            <v>159.31778225806451</v>
          </cell>
          <cell r="CF166">
            <v>178.28166666666667</v>
          </cell>
          <cell r="CG166">
            <v>166.41935483870969</v>
          </cell>
          <cell r="CH166">
            <v>164.44229166666665</v>
          </cell>
          <cell r="CI166">
            <v>0</v>
          </cell>
          <cell r="CJ166">
            <v>0</v>
          </cell>
          <cell r="CK166">
            <v>0</v>
          </cell>
          <cell r="CL166">
            <v>148.16304347826087</v>
          </cell>
          <cell r="CM166">
            <v>122.72222222222221</v>
          </cell>
          <cell r="CN166">
            <v>169.57142857142858</v>
          </cell>
          <cell r="CO166">
            <v>182.2608695652174</v>
          </cell>
          <cell r="CP166">
            <v>188.86849315068494</v>
          </cell>
          <cell r="CQ166">
            <v>219.46849315068491</v>
          </cell>
        </row>
        <row r="167">
          <cell r="N167" t="str">
            <v>LAR</v>
          </cell>
          <cell r="O167">
            <v>0.10866666666666668</v>
          </cell>
          <cell r="P167">
            <v>0.27166666666666667</v>
          </cell>
          <cell r="Q167">
            <v>0.33386666666666664</v>
          </cell>
          <cell r="R167">
            <v>0.26793333333333336</v>
          </cell>
          <cell r="S167">
            <v>1.0815666666666668</v>
          </cell>
          <cell r="T167">
            <v>1.9187333333333334</v>
          </cell>
          <cell r="U167">
            <v>2.0852333333333335</v>
          </cell>
          <cell r="V167">
            <v>1.6247</v>
          </cell>
          <cell r="W167">
            <v>1.1281666666666665</v>
          </cell>
          <cell r="X167">
            <v>2.7122666666666664</v>
          </cell>
          <cell r="Y167">
            <v>1.3930333333333336</v>
          </cell>
          <cell r="Z167">
            <v>1.2829000000000002</v>
          </cell>
          <cell r="AA167">
            <v>0.91549999999999998</v>
          </cell>
          <cell r="AB167">
            <v>1.7674666666666667</v>
          </cell>
          <cell r="AC167">
            <v>1.3418333333333334</v>
          </cell>
          <cell r="AD167">
            <v>1.0722</v>
          </cell>
          <cell r="AE167">
            <v>1.5478999999999998</v>
          </cell>
          <cell r="AF167">
            <v>1.1843333333333335</v>
          </cell>
          <cell r="AG167">
            <v>2.0662333333333334</v>
          </cell>
          <cell r="AH167">
            <v>1.5013333333333334</v>
          </cell>
          <cell r="AI167">
            <v>1.2105666666666666</v>
          </cell>
          <cell r="AJ167">
            <v>1.2007000000000001</v>
          </cell>
          <cell r="AK167">
            <v>1.5315666666666667</v>
          </cell>
          <cell r="AL167">
            <v>1.0900666666666665</v>
          </cell>
          <cell r="AM167">
            <v>1.2191000000000001</v>
          </cell>
          <cell r="AN167">
            <v>1.1644333333333334</v>
          </cell>
          <cell r="AO167">
            <v>1.0033666666666667</v>
          </cell>
          <cell r="AP167">
            <v>1.2410333333333334</v>
          </cell>
          <cell r="AQ167">
            <v>1.7723666666666666</v>
          </cell>
          <cell r="AR167">
            <v>1.1760666666666668</v>
          </cell>
          <cell r="AS167">
            <v>0.45376666666666665</v>
          </cell>
          <cell r="AT167">
            <v>1.4271612903225808</v>
          </cell>
          <cell r="AU167">
            <v>1.1300344827586206</v>
          </cell>
          <cell r="AV167">
            <v>1.7385806451612904</v>
          </cell>
          <cell r="AW167">
            <v>1.7144666666666668</v>
          </cell>
          <cell r="AX167">
            <v>1.9241451612903224</v>
          </cell>
          <cell r="AY167">
            <v>0.97419354838709671</v>
          </cell>
          <cell r="AZ167">
            <v>0.51738709677419359</v>
          </cell>
          <cell r="BA167">
            <v>0.64822580645161287</v>
          </cell>
          <cell r="BB167">
            <v>4.4541000000000004</v>
          </cell>
          <cell r="BC167">
            <v>7.2800645161290332</v>
          </cell>
          <cell r="BD167">
            <v>4.2648333333333337</v>
          </cell>
          <cell r="BE167">
            <v>2.6384516129032258</v>
          </cell>
          <cell r="BF167">
            <v>2.1508064516129033</v>
          </cell>
          <cell r="BG167">
            <v>2.1342857142857143</v>
          </cell>
          <cell r="BH167">
            <v>2.4925806451612909</v>
          </cell>
          <cell r="BI167">
            <v>3.1220860215053765</v>
          </cell>
          <cell r="BJ167">
            <v>2.1065591397849461</v>
          </cell>
          <cell r="BK167">
            <v>2.6822795698924731</v>
          </cell>
          <cell r="BL167">
            <v>3.3061290322580645</v>
          </cell>
          <cell r="BM167">
            <v>3</v>
          </cell>
          <cell r="BN167">
            <v>3.2580645161290325</v>
          </cell>
          <cell r="BO167">
            <v>5.2</v>
          </cell>
          <cell r="BP167">
            <v>5.645161290322581</v>
          </cell>
          <cell r="BQ167">
            <v>4</v>
          </cell>
          <cell r="BR167">
            <v>2.9285714285714284</v>
          </cell>
          <cell r="BS167">
            <v>4.741935483870968</v>
          </cell>
          <cell r="BT167">
            <v>7.2333333333333334</v>
          </cell>
          <cell r="BU167">
            <v>6.096774193548387</v>
          </cell>
          <cell r="BV167">
            <v>6.1333333333333337</v>
          </cell>
          <cell r="BW167">
            <v>5.967741935483871</v>
          </cell>
          <cell r="BX167">
            <v>6.32258064516129</v>
          </cell>
          <cell r="BY167">
            <v>7.8666666666666663</v>
          </cell>
          <cell r="BZ167">
            <v>7.4838709677419351</v>
          </cell>
          <cell r="CA167">
            <v>7.833333333333333</v>
          </cell>
          <cell r="CB167">
            <v>8.064516129032258</v>
          </cell>
          <cell r="CC167">
            <v>6.67741935483871</v>
          </cell>
          <cell r="CD167">
            <v>6.1785714285714288</v>
          </cell>
          <cell r="CE167">
            <v>6.225806451612903</v>
          </cell>
          <cell r="CF167">
            <v>6.0333333333333332</v>
          </cell>
          <cell r="CG167">
            <v>6.193548387096774</v>
          </cell>
          <cell r="CH167">
            <v>6.4333333333333336</v>
          </cell>
          <cell r="CI167">
            <v>0</v>
          </cell>
          <cell r="CJ167">
            <v>0</v>
          </cell>
          <cell r="CK167">
            <v>0</v>
          </cell>
          <cell r="CL167">
            <v>9.8369565217391308</v>
          </cell>
          <cell r="CM167">
            <v>7.2777777777777786</v>
          </cell>
          <cell r="CN167">
            <v>8.8021978021978011</v>
          </cell>
          <cell r="CO167">
            <v>10.141304347826088</v>
          </cell>
          <cell r="CP167">
            <v>10.632876712328768</v>
          </cell>
          <cell r="CQ167">
            <v>10.805479452054795</v>
          </cell>
        </row>
        <row r="168">
          <cell r="N168" t="str">
            <v>LOX</v>
          </cell>
          <cell r="O168">
            <v>33.948033333333328</v>
          </cell>
          <cell r="P168">
            <v>31.408300000000004</v>
          </cell>
          <cell r="Q168">
            <v>29.072433333333336</v>
          </cell>
          <cell r="R168">
            <v>35.414666666666669</v>
          </cell>
          <cell r="S168">
            <v>34.00483333333333</v>
          </cell>
          <cell r="T168">
            <v>33.805799999999998</v>
          </cell>
          <cell r="U168">
            <v>46.590633333333336</v>
          </cell>
          <cell r="V168">
            <v>39.611499999999999</v>
          </cell>
          <cell r="W168">
            <v>38.454266666666662</v>
          </cell>
          <cell r="X168">
            <v>56.573333333333338</v>
          </cell>
          <cell r="Y168">
            <v>50.612166666666667</v>
          </cell>
          <cell r="Z168">
            <v>51.165266666666668</v>
          </cell>
          <cell r="AA168">
            <v>48.249733333333332</v>
          </cell>
          <cell r="AB168">
            <v>48.468299999999999</v>
          </cell>
          <cell r="AC168">
            <v>45.160699999999999</v>
          </cell>
          <cell r="AD168">
            <v>47.159466666666667</v>
          </cell>
          <cell r="AE168">
            <v>50.691800000000001</v>
          </cell>
          <cell r="AF168">
            <v>53.533400000000007</v>
          </cell>
          <cell r="AG168">
            <v>57.001866666666665</v>
          </cell>
          <cell r="AH168">
            <v>59.731433333333335</v>
          </cell>
          <cell r="AI168">
            <v>43.221533333333333</v>
          </cell>
          <cell r="AJ168">
            <v>68.301733333333331</v>
          </cell>
          <cell r="AK168">
            <v>67.117533333333327</v>
          </cell>
          <cell r="AL168">
            <v>65.918733333333336</v>
          </cell>
          <cell r="AM168">
            <v>76.671333333333337</v>
          </cell>
          <cell r="AN168">
            <v>66.309699999999992</v>
          </cell>
          <cell r="AO168">
            <v>58.233599999999996</v>
          </cell>
          <cell r="AP168">
            <v>60.813533333333339</v>
          </cell>
          <cell r="AQ168">
            <v>61.10296666666666</v>
          </cell>
          <cell r="AR168">
            <v>65.478200000000001</v>
          </cell>
          <cell r="AS168">
            <v>71.473333333333329</v>
          </cell>
          <cell r="AT168">
            <v>65.14561290322581</v>
          </cell>
          <cell r="AU168">
            <v>63.453999999999994</v>
          </cell>
          <cell r="AV168">
            <v>75.052645161290329</v>
          </cell>
          <cell r="AW168">
            <v>86.696600000000004</v>
          </cell>
          <cell r="AX168">
            <v>83.910536774193545</v>
          </cell>
          <cell r="AY168">
            <v>81.470124731182793</v>
          </cell>
          <cell r="AZ168">
            <v>63.88083870967742</v>
          </cell>
          <cell r="BA168">
            <v>70.451645161290315</v>
          </cell>
          <cell r="BB168">
            <v>100.7021</v>
          </cell>
          <cell r="BC168">
            <v>96.261387096774186</v>
          </cell>
          <cell r="BD168">
            <v>100.24423333333333</v>
          </cell>
          <cell r="BE168">
            <v>90.567419354838705</v>
          </cell>
          <cell r="BF168">
            <v>104.08280645161292</v>
          </cell>
          <cell r="BG168">
            <v>201.7825</v>
          </cell>
          <cell r="BH168">
            <v>182.35061290322579</v>
          </cell>
          <cell r="BI168">
            <v>132.35349784946234</v>
          </cell>
          <cell r="BJ168">
            <v>166.6933333333333</v>
          </cell>
          <cell r="BK168">
            <v>148.57568064516127</v>
          </cell>
          <cell r="BL168">
            <v>195.37680645161291</v>
          </cell>
          <cell r="BM168">
            <v>183</v>
          </cell>
          <cell r="BN168">
            <v>204.25806451612902</v>
          </cell>
          <cell r="BO168">
            <v>204.2</v>
          </cell>
          <cell r="BP168">
            <v>184.64516129032259</v>
          </cell>
          <cell r="BQ168">
            <v>172</v>
          </cell>
          <cell r="BR168">
            <v>148.92857142857142</v>
          </cell>
          <cell r="BS168">
            <v>239.09875516129034</v>
          </cell>
          <cell r="BT168">
            <v>348.63129133333337</v>
          </cell>
          <cell r="BU168">
            <v>307.30261451612904</v>
          </cell>
          <cell r="BV168">
            <v>325.43902966666667</v>
          </cell>
          <cell r="BW168">
            <v>321.92411967741936</v>
          </cell>
          <cell r="BX168">
            <v>318.52939580645165</v>
          </cell>
          <cell r="BY168">
            <v>341.62237433333337</v>
          </cell>
          <cell r="BZ168">
            <v>333.98622741935486</v>
          </cell>
          <cell r="CA168">
            <v>337.01081900000003</v>
          </cell>
          <cell r="CB168">
            <v>361.33855</v>
          </cell>
          <cell r="CC168">
            <v>325.13318129032257</v>
          </cell>
          <cell r="CD168">
            <v>271.19302964285714</v>
          </cell>
          <cell r="CE168">
            <v>373.76876806451617</v>
          </cell>
          <cell r="CF168">
            <v>369.76600233333335</v>
          </cell>
          <cell r="CG168">
            <v>308.85187322580646</v>
          </cell>
          <cell r="CH168">
            <v>368.95513499999998</v>
          </cell>
          <cell r="CI168">
            <v>0</v>
          </cell>
          <cell r="CJ168">
            <v>0</v>
          </cell>
          <cell r="CK168">
            <v>0</v>
          </cell>
          <cell r="CL168">
            <v>329.25</v>
          </cell>
          <cell r="CM168">
            <v>273.24444444444441</v>
          </cell>
          <cell r="CN168">
            <v>385.08791208791212</v>
          </cell>
          <cell r="CO168">
            <v>415.41304347826082</v>
          </cell>
          <cell r="CP168">
            <v>418.7972602739726</v>
          </cell>
          <cell r="CQ168">
            <v>467.59726027397255</v>
          </cell>
        </row>
        <row r="169">
          <cell r="N169" t="str">
            <v>LIN</v>
          </cell>
          <cell r="O169">
            <v>21.452766666666665</v>
          </cell>
          <cell r="P169">
            <v>19.837633333333333</v>
          </cell>
          <cell r="Q169">
            <v>18.239500000000003</v>
          </cell>
          <cell r="R169">
            <v>23.697500000000002</v>
          </cell>
          <cell r="S169">
            <v>20.086566666666666</v>
          </cell>
          <cell r="T169">
            <v>18.485299999999999</v>
          </cell>
          <cell r="U169">
            <v>22.739666666666668</v>
          </cell>
          <cell r="V169">
            <v>16.738233333333334</v>
          </cell>
          <cell r="W169">
            <v>18.598099999999999</v>
          </cell>
          <cell r="X169">
            <v>25.471733333333336</v>
          </cell>
          <cell r="Y169">
            <v>27.094333333333335</v>
          </cell>
          <cell r="Z169">
            <v>21.022133333333333</v>
          </cell>
          <cell r="AA169">
            <v>29.020233333333334</v>
          </cell>
          <cell r="AB169">
            <v>29.623666666666669</v>
          </cell>
          <cell r="AC169">
            <v>27.879966666666668</v>
          </cell>
          <cell r="AD169">
            <v>32.57053333333333</v>
          </cell>
          <cell r="AE169">
            <v>34.676900000000003</v>
          </cell>
          <cell r="AF169">
            <v>36.347900000000003</v>
          </cell>
          <cell r="AG169">
            <v>37.925399999999996</v>
          </cell>
          <cell r="AH169">
            <v>37.989100000000001</v>
          </cell>
          <cell r="AI169">
            <v>27.9603</v>
          </cell>
          <cell r="AJ169">
            <v>43.576100000000004</v>
          </cell>
          <cell r="AK169">
            <v>37.885866666666665</v>
          </cell>
          <cell r="AL169">
            <v>41.385300000000001</v>
          </cell>
          <cell r="AM169">
            <v>53.1417</v>
          </cell>
          <cell r="AN169">
            <v>46.056933333333333</v>
          </cell>
          <cell r="AO169">
            <v>39.527666666666661</v>
          </cell>
          <cell r="AP169">
            <v>43.543500000000002</v>
          </cell>
          <cell r="AQ169">
            <v>44.083099999999995</v>
          </cell>
          <cell r="AR169">
            <v>45.095333333333336</v>
          </cell>
          <cell r="AS169">
            <v>51.433300000000003</v>
          </cell>
          <cell r="AT169">
            <v>46.043483870967741</v>
          </cell>
          <cell r="AU169">
            <v>40.078379310344822</v>
          </cell>
          <cell r="AV169">
            <v>48.207387096774198</v>
          </cell>
          <cell r="AW169">
            <v>54.518400000000007</v>
          </cell>
          <cell r="AX169">
            <v>53.263352580645162</v>
          </cell>
          <cell r="AY169">
            <v>54.227064516129033</v>
          </cell>
          <cell r="AZ169">
            <v>42.147580645161291</v>
          </cell>
          <cell r="BA169">
            <v>44.514354838709679</v>
          </cell>
          <cell r="BB169">
            <v>64.427199999999999</v>
          </cell>
          <cell r="BC169">
            <v>57.200096774193547</v>
          </cell>
          <cell r="BD169">
            <v>66.231833333333327</v>
          </cell>
          <cell r="BE169">
            <v>62.567999999999998</v>
          </cell>
          <cell r="BF169">
            <v>66.04996774193549</v>
          </cell>
          <cell r="BG169">
            <v>84.972499999999997</v>
          </cell>
          <cell r="BH169">
            <v>77.39867741935484</v>
          </cell>
          <cell r="BI169">
            <v>78.741766666666663</v>
          </cell>
          <cell r="BJ169">
            <v>77.853870967741926</v>
          </cell>
          <cell r="BK169">
            <v>79.180540860215046</v>
          </cell>
          <cell r="BL169">
            <v>76.944870967741934</v>
          </cell>
          <cell r="BM169">
            <v>67</v>
          </cell>
          <cell r="BN169">
            <v>89</v>
          </cell>
          <cell r="BO169">
            <v>79</v>
          </cell>
          <cell r="BP169">
            <v>85</v>
          </cell>
          <cell r="BQ169">
            <v>84</v>
          </cell>
          <cell r="BR169">
            <v>84</v>
          </cell>
          <cell r="BS169">
            <v>110.16366935483872</v>
          </cell>
          <cell r="BT169">
            <v>108.13366666666667</v>
          </cell>
          <cell r="BU169">
            <v>97.715161290322584</v>
          </cell>
          <cell r="BV169">
            <v>110.60566666666666</v>
          </cell>
          <cell r="BW169">
            <v>135.57580645161289</v>
          </cell>
          <cell r="BX169">
            <v>141.16338709677419</v>
          </cell>
          <cell r="BY169">
            <v>149.52875</v>
          </cell>
          <cell r="BZ169">
            <v>134.30032258064517</v>
          </cell>
          <cell r="CA169">
            <v>138.85500000000002</v>
          </cell>
          <cell r="CB169">
            <v>150.16806451612902</v>
          </cell>
          <cell r="CC169">
            <v>151.69814516129031</v>
          </cell>
          <cell r="CD169">
            <v>125.66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148.16304347826087</v>
          </cell>
          <cell r="CM169">
            <v>122.72222222222221</v>
          </cell>
          <cell r="CN169">
            <v>169.57142857142858</v>
          </cell>
          <cell r="CO169">
            <v>182.2608695652174</v>
          </cell>
          <cell r="CP169">
            <v>188.86849315068494</v>
          </cell>
          <cell r="CQ169">
            <v>219.46849315068491</v>
          </cell>
        </row>
        <row r="170">
          <cell r="N170" t="str">
            <v>LAR</v>
          </cell>
          <cell r="O170">
            <v>0.10866666666666668</v>
          </cell>
          <cell r="P170">
            <v>0.27166666666666667</v>
          </cell>
          <cell r="Q170">
            <v>0.33386666666666664</v>
          </cell>
          <cell r="R170">
            <v>0.26793333333333336</v>
          </cell>
          <cell r="S170">
            <v>1.0815666666666668</v>
          </cell>
          <cell r="T170">
            <v>1.9187333333333334</v>
          </cell>
          <cell r="U170">
            <v>2.0852333333333335</v>
          </cell>
          <cell r="V170">
            <v>1.6247</v>
          </cell>
          <cell r="W170">
            <v>1.1281666666666665</v>
          </cell>
          <cell r="X170">
            <v>2.7122666666666664</v>
          </cell>
          <cell r="Y170">
            <v>1.3930333333333336</v>
          </cell>
          <cell r="Z170">
            <v>1.2829000000000002</v>
          </cell>
          <cell r="AA170">
            <v>0.91549999999999998</v>
          </cell>
          <cell r="AB170">
            <v>1.7674666666666667</v>
          </cell>
          <cell r="AC170">
            <v>1.3418333333333334</v>
          </cell>
          <cell r="AD170">
            <v>1.0722</v>
          </cell>
          <cell r="AE170">
            <v>1.5478999999999998</v>
          </cell>
          <cell r="AF170">
            <v>1.1843333333333335</v>
          </cell>
          <cell r="AG170">
            <v>2.0662333333333334</v>
          </cell>
          <cell r="AH170">
            <v>1.5013333333333334</v>
          </cell>
          <cell r="AI170">
            <v>1.2105666666666666</v>
          </cell>
          <cell r="AJ170">
            <v>1.2007000000000001</v>
          </cell>
          <cell r="AK170">
            <v>1.5315666666666667</v>
          </cell>
          <cell r="AL170">
            <v>1.0900666666666665</v>
          </cell>
          <cell r="AM170">
            <v>1.2191000000000001</v>
          </cell>
          <cell r="AN170">
            <v>1.1644333333333334</v>
          </cell>
          <cell r="AO170">
            <v>1.0033666666666667</v>
          </cell>
          <cell r="AP170">
            <v>1.2410333333333334</v>
          </cell>
          <cell r="AQ170">
            <v>1.7723666666666666</v>
          </cell>
          <cell r="AR170">
            <v>1.1760666666666668</v>
          </cell>
          <cell r="AS170">
            <v>0.45376666666666665</v>
          </cell>
          <cell r="AT170">
            <v>1.4271612903225808</v>
          </cell>
          <cell r="AU170">
            <v>1.1300344827586206</v>
          </cell>
          <cell r="AV170">
            <v>1.7385806451612904</v>
          </cell>
          <cell r="AW170">
            <v>1.7144666666666668</v>
          </cell>
          <cell r="AX170">
            <v>1.9241451612903224</v>
          </cell>
          <cell r="AY170">
            <v>0.97419354838709671</v>
          </cell>
          <cell r="AZ170">
            <v>0.51738709677419359</v>
          </cell>
          <cell r="BA170">
            <v>0.64822580645161287</v>
          </cell>
          <cell r="BB170">
            <v>4.4541000000000004</v>
          </cell>
          <cell r="BC170">
            <v>7.2800645161290332</v>
          </cell>
          <cell r="BD170">
            <v>4.2648333333333337</v>
          </cell>
          <cell r="BE170">
            <v>2.6384516129032258</v>
          </cell>
          <cell r="BF170">
            <v>2.1508064516129033</v>
          </cell>
          <cell r="BG170">
            <v>2.1342857142857143</v>
          </cell>
          <cell r="BH170">
            <v>2.4925806451612909</v>
          </cell>
          <cell r="BI170">
            <v>3.1220860215053765</v>
          </cell>
          <cell r="BJ170">
            <v>2.1065591397849461</v>
          </cell>
          <cell r="BK170">
            <v>2.6822795698924731</v>
          </cell>
          <cell r="BL170">
            <v>3.3061290322580645</v>
          </cell>
          <cell r="BM170">
            <v>3</v>
          </cell>
          <cell r="BN170">
            <v>3.2580645161290325</v>
          </cell>
          <cell r="BO170">
            <v>5.2</v>
          </cell>
          <cell r="BP170">
            <v>5.645161290322581</v>
          </cell>
          <cell r="BQ170">
            <v>4</v>
          </cell>
          <cell r="BR170">
            <v>2.9285714285714284</v>
          </cell>
          <cell r="BS170">
            <v>4.741935483870968</v>
          </cell>
          <cell r="BT170">
            <v>7.2333333333333334</v>
          </cell>
          <cell r="BU170">
            <v>6.096774193548387</v>
          </cell>
          <cell r="BV170">
            <v>6.1333333333333337</v>
          </cell>
          <cell r="BW170">
            <v>5.967741935483871</v>
          </cell>
          <cell r="BX170">
            <v>6.32258064516129</v>
          </cell>
          <cell r="BY170">
            <v>7.8666666666666663</v>
          </cell>
          <cell r="BZ170">
            <v>7.4838709677419351</v>
          </cell>
          <cell r="CA170">
            <v>7.833333333333333</v>
          </cell>
          <cell r="CB170">
            <v>8.064516129032258</v>
          </cell>
          <cell r="CC170">
            <v>6.67741935483871</v>
          </cell>
          <cell r="CD170">
            <v>6.1785714285714288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9.8369565217391308</v>
          </cell>
          <cell r="CM170">
            <v>7.2777777777777786</v>
          </cell>
          <cell r="CN170">
            <v>8.8021978021978011</v>
          </cell>
          <cell r="CO170">
            <v>10.141304347826088</v>
          </cell>
          <cell r="CP170">
            <v>10.632876712328768</v>
          </cell>
          <cell r="CQ170">
            <v>10.805479452054795</v>
          </cell>
        </row>
        <row r="171">
          <cell r="N171" t="str">
            <v>NAP</v>
          </cell>
          <cell r="O171">
            <v>33.948033333333328</v>
          </cell>
          <cell r="P171">
            <v>31.408300000000004</v>
          </cell>
          <cell r="Q171">
            <v>29.072433333333336</v>
          </cell>
          <cell r="R171">
            <v>35.414666666666669</v>
          </cell>
          <cell r="S171">
            <v>34.00483333333333</v>
          </cell>
          <cell r="T171">
            <v>33.805799999999998</v>
          </cell>
          <cell r="U171">
            <v>46.590633333333336</v>
          </cell>
          <cell r="V171">
            <v>39.611499999999999</v>
          </cell>
          <cell r="W171">
            <v>38.454266666666662</v>
          </cell>
          <cell r="X171">
            <v>56.573333333333338</v>
          </cell>
          <cell r="Y171">
            <v>50.612166666666667</v>
          </cell>
          <cell r="Z171">
            <v>51.165266666666668</v>
          </cell>
          <cell r="AA171">
            <v>48.249733333333332</v>
          </cell>
          <cell r="AB171">
            <v>48.468299999999999</v>
          </cell>
          <cell r="AC171">
            <v>45.160699999999999</v>
          </cell>
          <cell r="AD171">
            <v>47.159466666666667</v>
          </cell>
          <cell r="AE171">
            <v>50.691800000000001</v>
          </cell>
          <cell r="AF171">
            <v>53.533400000000007</v>
          </cell>
          <cell r="AG171">
            <v>57.001866666666665</v>
          </cell>
          <cell r="AH171">
            <v>59.731433333333335</v>
          </cell>
          <cell r="AI171">
            <v>43.221533333333333</v>
          </cell>
          <cell r="AJ171">
            <v>68.301733333333331</v>
          </cell>
          <cell r="AK171">
            <v>67.117533333333327</v>
          </cell>
          <cell r="AL171">
            <v>65.918733333333336</v>
          </cell>
          <cell r="AM171">
            <v>76.671333333333337</v>
          </cell>
          <cell r="AN171">
            <v>66.309699999999992</v>
          </cell>
          <cell r="AO171">
            <v>58.233599999999996</v>
          </cell>
          <cell r="AP171">
            <v>60.813533333333339</v>
          </cell>
          <cell r="AQ171">
            <v>61.10296666666666</v>
          </cell>
          <cell r="AR171">
            <v>65.478200000000001</v>
          </cell>
          <cell r="AS171">
            <v>71.473333333333329</v>
          </cell>
          <cell r="AT171">
            <v>65.14561290322581</v>
          </cell>
          <cell r="AU171">
            <v>63.453999999999994</v>
          </cell>
          <cell r="AV171">
            <v>75.052645161290329</v>
          </cell>
          <cell r="AW171">
            <v>86.696600000000004</v>
          </cell>
          <cell r="AX171">
            <v>83.910536774193545</v>
          </cell>
          <cell r="AY171">
            <v>81.470124731182793</v>
          </cell>
          <cell r="AZ171">
            <v>63.88083870967742</v>
          </cell>
          <cell r="BA171">
            <v>70.451645161290315</v>
          </cell>
          <cell r="BB171">
            <v>100.7021</v>
          </cell>
          <cell r="BC171">
            <v>96.261387096774186</v>
          </cell>
          <cell r="BD171">
            <v>100.24423333333333</v>
          </cell>
          <cell r="BE171">
            <v>90.567419354838705</v>
          </cell>
          <cell r="BF171">
            <v>104.08280645161292</v>
          </cell>
          <cell r="BG171">
            <v>201.7825</v>
          </cell>
          <cell r="BH171">
            <v>182.35061290322579</v>
          </cell>
          <cell r="BI171">
            <v>132.35349784946234</v>
          </cell>
          <cell r="BJ171">
            <v>166.6933333333333</v>
          </cell>
          <cell r="BK171">
            <v>148.57568064516127</v>
          </cell>
          <cell r="BL171">
            <v>195.37680645161291</v>
          </cell>
          <cell r="BM171">
            <v>183</v>
          </cell>
          <cell r="BN171">
            <v>204.25806451612902</v>
          </cell>
          <cell r="BO171">
            <v>204.2</v>
          </cell>
          <cell r="BP171">
            <v>184.64516129032259</v>
          </cell>
          <cell r="BQ171">
            <v>172</v>
          </cell>
          <cell r="BR171">
            <v>148.92857142857142</v>
          </cell>
          <cell r="BS171">
            <v>239.09875516129034</v>
          </cell>
          <cell r="BT171">
            <v>348.63129133333337</v>
          </cell>
          <cell r="BU171">
            <v>307.30261451612904</v>
          </cell>
          <cell r="BV171">
            <v>325.43902966666667</v>
          </cell>
          <cell r="BW171">
            <v>321.92411967741936</v>
          </cell>
          <cell r="BX171">
            <v>318.52939580645165</v>
          </cell>
          <cell r="BY171">
            <v>341.62237433333337</v>
          </cell>
          <cell r="BZ171">
            <v>333.98622741935486</v>
          </cell>
          <cell r="CA171">
            <v>337.01081900000003</v>
          </cell>
          <cell r="CB171">
            <v>361.33855</v>
          </cell>
          <cell r="CC171">
            <v>325.13318129032257</v>
          </cell>
          <cell r="CD171">
            <v>271.19302964285714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329.25</v>
          </cell>
          <cell r="CM171">
            <v>273.24444444444441</v>
          </cell>
          <cell r="CN171">
            <v>385.08791208791212</v>
          </cell>
          <cell r="CO171">
            <v>415.41304347826082</v>
          </cell>
          <cell r="CP171">
            <v>418.7972602739726</v>
          </cell>
          <cell r="CQ171">
            <v>467.59726027397255</v>
          </cell>
        </row>
        <row r="172">
          <cell r="N172" t="str">
            <v>LOX</v>
          </cell>
          <cell r="O172">
            <v>0</v>
          </cell>
          <cell r="P172">
            <v>0</v>
          </cell>
          <cell r="Q172">
            <v>0</v>
          </cell>
          <cell r="R172">
            <v>109</v>
          </cell>
          <cell r="S172">
            <v>203</v>
          </cell>
          <cell r="T172">
            <v>183</v>
          </cell>
          <cell r="U172">
            <v>125</v>
          </cell>
          <cell r="V172">
            <v>151</v>
          </cell>
          <cell r="W172">
            <v>192</v>
          </cell>
          <cell r="X172">
            <v>109</v>
          </cell>
          <cell r="Y172">
            <v>318</v>
          </cell>
          <cell r="Z172">
            <v>263</v>
          </cell>
          <cell r="AA172">
            <v>248</v>
          </cell>
          <cell r="AB172">
            <v>682</v>
          </cell>
          <cell r="AC172">
            <v>845</v>
          </cell>
          <cell r="AD172">
            <v>814</v>
          </cell>
          <cell r="AE172">
            <v>899</v>
          </cell>
          <cell r="AF172">
            <v>1152</v>
          </cell>
          <cell r="AG172">
            <v>1155</v>
          </cell>
          <cell r="AH172">
            <v>726</v>
          </cell>
          <cell r="AI172">
            <v>1941</v>
          </cell>
          <cell r="AJ172">
            <v>1613</v>
          </cell>
          <cell r="AK172">
            <v>1663</v>
          </cell>
          <cell r="AL172">
            <v>1912</v>
          </cell>
          <cell r="AM172">
            <v>2556</v>
          </cell>
          <cell r="AN172">
            <v>3501</v>
          </cell>
          <cell r="AO172">
            <v>4117</v>
          </cell>
          <cell r="AP172">
            <v>4141</v>
          </cell>
          <cell r="AQ172">
            <v>4424</v>
          </cell>
          <cell r="AR172">
            <v>4606</v>
          </cell>
          <cell r="AS172">
            <v>4312</v>
          </cell>
          <cell r="AT172">
            <v>4480.4114285714286</v>
          </cell>
          <cell r="AU172">
            <v>6514.94</v>
          </cell>
          <cell r="AV172">
            <v>6817.8628571428571</v>
          </cell>
          <cell r="AW172">
            <v>7612.6657142857139</v>
          </cell>
          <cell r="AX172">
            <v>8195.471428571429</v>
          </cell>
          <cell r="AY172">
            <v>8047.5</v>
          </cell>
          <cell r="AZ172">
            <v>7911.44</v>
          </cell>
          <cell r="BA172">
            <v>8039.91</v>
          </cell>
          <cell r="BB172">
            <v>7927.53</v>
          </cell>
          <cell r="BC172">
            <v>7894.3957142857143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CL172">
            <v>20</v>
          </cell>
          <cell r="CM172">
            <v>18</v>
          </cell>
          <cell r="CN172">
            <v>18</v>
          </cell>
          <cell r="CO172">
            <v>24</v>
          </cell>
          <cell r="CP172">
            <v>23.424657534246574</v>
          </cell>
          <cell r="CQ172">
            <v>25.643835616438356</v>
          </cell>
        </row>
        <row r="173">
          <cell r="N173" t="str">
            <v>LIN</v>
          </cell>
          <cell r="O173">
            <v>0</v>
          </cell>
          <cell r="P173">
            <v>0</v>
          </cell>
          <cell r="Q173">
            <v>0</v>
          </cell>
          <cell r="R173">
            <v>29</v>
          </cell>
          <cell r="S173">
            <v>56</v>
          </cell>
          <cell r="T173">
            <v>55</v>
          </cell>
          <cell r="U173">
            <v>66</v>
          </cell>
          <cell r="V173">
            <v>125</v>
          </cell>
          <cell r="W173">
            <v>161</v>
          </cell>
          <cell r="X173">
            <v>144</v>
          </cell>
          <cell r="Y173">
            <v>118</v>
          </cell>
          <cell r="Z173">
            <v>273</v>
          </cell>
          <cell r="AA173">
            <v>217</v>
          </cell>
          <cell r="AB173">
            <v>264</v>
          </cell>
          <cell r="AC173">
            <v>762</v>
          </cell>
          <cell r="AD173">
            <v>734</v>
          </cell>
          <cell r="AE173">
            <v>913</v>
          </cell>
          <cell r="AF173">
            <v>1299</v>
          </cell>
          <cell r="AG173">
            <v>1149</v>
          </cell>
          <cell r="AH173">
            <v>935</v>
          </cell>
          <cell r="AI173">
            <v>1286</v>
          </cell>
          <cell r="AJ173">
            <v>1811</v>
          </cell>
          <cell r="AK173">
            <v>1380</v>
          </cell>
          <cell r="AL173">
            <v>1790</v>
          </cell>
          <cell r="AM173">
            <v>1622</v>
          </cell>
          <cell r="AN173">
            <v>1157</v>
          </cell>
          <cell r="AO173">
            <v>973</v>
          </cell>
          <cell r="AP173">
            <v>1061</v>
          </cell>
          <cell r="AQ173">
            <v>1073</v>
          </cell>
          <cell r="AR173">
            <v>1423</v>
          </cell>
          <cell r="AS173">
            <v>1268</v>
          </cell>
          <cell r="AT173">
            <v>1552.5150000000001</v>
          </cell>
          <cell r="AU173">
            <v>1537.76</v>
          </cell>
          <cell r="AV173">
            <v>1652.13</v>
          </cell>
          <cell r="AW173">
            <v>1941.2275</v>
          </cell>
          <cell r="AX173">
            <v>2468.5475000000001</v>
          </cell>
          <cell r="AY173">
            <v>2024.5525</v>
          </cell>
          <cell r="AZ173">
            <v>2273.7775000000001</v>
          </cell>
          <cell r="BA173">
            <v>2211.1374999999998</v>
          </cell>
          <cell r="BB173">
            <v>2599.0812500000002</v>
          </cell>
          <cell r="BC173">
            <v>2984.6887499999998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CL173">
            <v>215</v>
          </cell>
          <cell r="CM173">
            <v>193.5</v>
          </cell>
          <cell r="CN173">
            <v>193.5</v>
          </cell>
          <cell r="CO173">
            <v>258</v>
          </cell>
          <cell r="CP173">
            <v>263.83561643835617</v>
          </cell>
          <cell r="CQ173">
            <v>314.13698630136986</v>
          </cell>
        </row>
        <row r="174">
          <cell r="N174" t="str">
            <v>LAR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4</v>
          </cell>
          <cell r="T174">
            <v>0</v>
          </cell>
          <cell r="U174">
            <v>0</v>
          </cell>
          <cell r="V174">
            <v>8</v>
          </cell>
          <cell r="W174">
            <v>15</v>
          </cell>
          <cell r="X174">
            <v>15</v>
          </cell>
          <cell r="Y174">
            <v>54</v>
          </cell>
          <cell r="Z174">
            <v>64</v>
          </cell>
          <cell r="AA174">
            <v>102</v>
          </cell>
          <cell r="AB174">
            <v>96</v>
          </cell>
          <cell r="AC174">
            <v>193</v>
          </cell>
          <cell r="AD174">
            <v>213</v>
          </cell>
          <cell r="AE174">
            <v>93</v>
          </cell>
          <cell r="AF174">
            <v>159</v>
          </cell>
          <cell r="AG174">
            <v>206</v>
          </cell>
          <cell r="AH174">
            <v>101</v>
          </cell>
          <cell r="AI174">
            <v>119</v>
          </cell>
          <cell r="AJ174">
            <v>159</v>
          </cell>
          <cell r="AK174">
            <v>221</v>
          </cell>
          <cell r="AL174">
            <v>149</v>
          </cell>
          <cell r="AM174">
            <v>154</v>
          </cell>
          <cell r="AN174">
            <v>195</v>
          </cell>
          <cell r="AO174">
            <v>116</v>
          </cell>
          <cell r="AP174">
            <v>73</v>
          </cell>
          <cell r="AQ174">
            <v>146</v>
          </cell>
          <cell r="AR174">
            <v>161</v>
          </cell>
          <cell r="AS174">
            <v>238</v>
          </cell>
          <cell r="AT174">
            <v>113.01960784313725</v>
          </cell>
          <cell r="AU174">
            <v>240.1301247771836</v>
          </cell>
          <cell r="AV174">
            <v>243.85918003565061</v>
          </cell>
          <cell r="AW174">
            <v>362.96078431372547</v>
          </cell>
          <cell r="AX174">
            <v>285.34046345811049</v>
          </cell>
          <cell r="AY174">
            <v>274.09982174688059</v>
          </cell>
          <cell r="AZ174">
            <v>442.16042780748666</v>
          </cell>
          <cell r="BA174">
            <v>336.90017825311941</v>
          </cell>
          <cell r="BB174">
            <v>324</v>
          </cell>
          <cell r="BC174">
            <v>343.01069518716577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</row>
        <row r="175">
          <cell r="N175" t="str">
            <v>LOX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</row>
        <row r="176">
          <cell r="N176" t="str">
            <v>LOX</v>
          </cell>
          <cell r="O176">
            <v>0</v>
          </cell>
          <cell r="P176">
            <v>0</v>
          </cell>
          <cell r="Q176">
            <v>0</v>
          </cell>
          <cell r="R176">
            <v>3.6333333333333333</v>
          </cell>
          <cell r="S176">
            <v>6.7666666666666666</v>
          </cell>
          <cell r="T176">
            <v>6.1</v>
          </cell>
          <cell r="U176">
            <v>4.166666666666667</v>
          </cell>
          <cell r="V176">
            <v>5.0333333333333332</v>
          </cell>
          <cell r="W176">
            <v>6.4</v>
          </cell>
          <cell r="X176">
            <v>3.6333333333333333</v>
          </cell>
          <cell r="Y176">
            <v>10.6</v>
          </cell>
          <cell r="Z176">
            <v>8.7666666666666675</v>
          </cell>
          <cell r="AA176">
            <v>8.2666666666666675</v>
          </cell>
          <cell r="AB176">
            <v>22.733333333333334</v>
          </cell>
          <cell r="AC176">
            <v>28.166666666666668</v>
          </cell>
          <cell r="AD176">
            <v>27.133333333333333</v>
          </cell>
          <cell r="AE176">
            <v>29.966666666666665</v>
          </cell>
          <cell r="AF176">
            <v>38.4</v>
          </cell>
          <cell r="AG176">
            <v>38.5</v>
          </cell>
          <cell r="AH176">
            <v>24.2</v>
          </cell>
          <cell r="AI176">
            <v>64.7</v>
          </cell>
          <cell r="AJ176">
            <v>53.766666666666666</v>
          </cell>
          <cell r="AK176">
            <v>55.43333333333333</v>
          </cell>
          <cell r="AL176">
            <v>63.733333333333334</v>
          </cell>
          <cell r="AM176">
            <v>85.2</v>
          </cell>
          <cell r="AN176">
            <v>116.7</v>
          </cell>
          <cell r="AO176">
            <v>137.23333333333332</v>
          </cell>
          <cell r="AP176">
            <v>138.03333333333333</v>
          </cell>
          <cell r="AQ176">
            <v>147.46666666666667</v>
          </cell>
          <cell r="AR176">
            <v>153.53333333333333</v>
          </cell>
          <cell r="AS176">
            <v>143.73333333333332</v>
          </cell>
          <cell r="AT176">
            <v>154.49694581280789</v>
          </cell>
          <cell r="AU176">
            <v>210.15935483870967</v>
          </cell>
          <cell r="AV176">
            <v>227.26209523809524</v>
          </cell>
          <cell r="AW176">
            <v>245.56986175115205</v>
          </cell>
          <cell r="AX176">
            <v>273.18238095238098</v>
          </cell>
          <cell r="AY176">
            <v>259.59677419354841</v>
          </cell>
          <cell r="AZ176">
            <v>255.20774193548385</v>
          </cell>
          <cell r="BA176">
            <v>259.35193548387099</v>
          </cell>
          <cell r="BB176">
            <v>255.72677419354838</v>
          </cell>
          <cell r="BC176">
            <v>263.40967033333334</v>
          </cell>
          <cell r="BD176">
            <v>266.34321999999997</v>
          </cell>
          <cell r="BE176">
            <v>232.22581870967741</v>
          </cell>
          <cell r="BF176">
            <v>271.32426749999996</v>
          </cell>
          <cell r="BG176">
            <v>277.24115774193547</v>
          </cell>
          <cell r="BH176">
            <v>271.55828699999995</v>
          </cell>
          <cell r="BI176">
            <v>271.68689935483872</v>
          </cell>
          <cell r="BJ176">
            <v>265.29536366666662</v>
          </cell>
          <cell r="BK176">
            <v>253.90323483870966</v>
          </cell>
          <cell r="BL176">
            <v>277.90324774193544</v>
          </cell>
          <cell r="BM176">
            <v>267.33840466666663</v>
          </cell>
          <cell r="BN176">
            <v>254.16423290322578</v>
          </cell>
          <cell r="BO176">
            <v>199.1706383333333</v>
          </cell>
          <cell r="BP176">
            <v>180.79480774193547</v>
          </cell>
          <cell r="BQ176">
            <v>159.79479645161288</v>
          </cell>
          <cell r="BR176">
            <v>87.555324999999996</v>
          </cell>
          <cell r="BS176">
            <v>186.51153258064514</v>
          </cell>
          <cell r="BT176">
            <v>277.08280600000001</v>
          </cell>
          <cell r="BU176">
            <v>267.2573129032258</v>
          </cell>
          <cell r="BV176">
            <v>259.36644066666662</v>
          </cell>
          <cell r="BW176">
            <v>274.84876774193543</v>
          </cell>
          <cell r="BX176">
            <v>247.95900161290319</v>
          </cell>
          <cell r="BY176">
            <v>255.29103599999999</v>
          </cell>
          <cell r="BZ176">
            <v>238.40360322580642</v>
          </cell>
          <cell r="CA176">
            <v>295.328033</v>
          </cell>
          <cell r="CB176">
            <v>237.86020322580643</v>
          </cell>
          <cell r="CC176">
            <v>243.07315290322578</v>
          </cell>
          <cell r="CD176">
            <v>300.49912749999999</v>
          </cell>
          <cell r="CE176">
            <v>269.42431645161287</v>
          </cell>
          <cell r="CF176">
            <v>262.68408833333331</v>
          </cell>
          <cell r="CG176">
            <v>255.98766741935481</v>
          </cell>
          <cell r="CH176">
            <v>247.16758733333333</v>
          </cell>
          <cell r="CI176">
            <v>0</v>
          </cell>
          <cell r="CJ176">
            <v>0</v>
          </cell>
          <cell r="CK176">
            <v>0</v>
          </cell>
          <cell r="CL176">
            <v>390.05434782608694</v>
          </cell>
          <cell r="CM176">
            <v>290.01111111111112</v>
          </cell>
          <cell r="CN176">
            <v>390.15384615384613</v>
          </cell>
          <cell r="CO176">
            <v>390.05434782608694</v>
          </cell>
          <cell r="CP176">
            <v>365.68219178082194</v>
          </cell>
          <cell r="CQ176">
            <v>365.33424657534249</v>
          </cell>
        </row>
        <row r="177">
          <cell r="N177" t="str">
            <v>LIN</v>
          </cell>
          <cell r="O177">
            <v>0</v>
          </cell>
          <cell r="P177">
            <v>0</v>
          </cell>
          <cell r="Q177">
            <v>0</v>
          </cell>
          <cell r="R177">
            <v>0.96666666666666667</v>
          </cell>
          <cell r="S177">
            <v>1.8666666666666667</v>
          </cell>
          <cell r="T177">
            <v>1.8333333333333333</v>
          </cell>
          <cell r="U177">
            <v>2.2000000000000002</v>
          </cell>
          <cell r="V177">
            <v>4.166666666666667</v>
          </cell>
          <cell r="W177">
            <v>5.3666666666666663</v>
          </cell>
          <cell r="X177">
            <v>4.8</v>
          </cell>
          <cell r="Y177">
            <v>3.9333333333333331</v>
          </cell>
          <cell r="Z177">
            <v>9.1</v>
          </cell>
          <cell r="AA177">
            <v>7.2333333333333334</v>
          </cell>
          <cell r="AB177">
            <v>8.8000000000000007</v>
          </cell>
          <cell r="AC177">
            <v>25.4</v>
          </cell>
          <cell r="AD177">
            <v>24.466666666666665</v>
          </cell>
          <cell r="AE177">
            <v>30.433333333333334</v>
          </cell>
          <cell r="AF177">
            <v>43.3</v>
          </cell>
          <cell r="AG177">
            <v>38.299999999999997</v>
          </cell>
          <cell r="AH177">
            <v>31.166666666666668</v>
          </cell>
          <cell r="AI177">
            <v>42.866666666666667</v>
          </cell>
          <cell r="AJ177">
            <v>60.366666666666667</v>
          </cell>
          <cell r="AK177">
            <v>46</v>
          </cell>
          <cell r="AL177">
            <v>59.666666666666664</v>
          </cell>
          <cell r="AM177">
            <v>54.06666666666667</v>
          </cell>
          <cell r="AN177">
            <v>38.56666666666667</v>
          </cell>
          <cell r="AO177">
            <v>32.43333333333333</v>
          </cell>
          <cell r="AP177">
            <v>35.366666666666667</v>
          </cell>
          <cell r="AQ177">
            <v>35.766666666666666</v>
          </cell>
          <cell r="AR177">
            <v>47.43333333333333</v>
          </cell>
          <cell r="AS177">
            <v>42.266666666666666</v>
          </cell>
          <cell r="AT177">
            <v>53.535000000000004</v>
          </cell>
          <cell r="AU177">
            <v>49.605161290322577</v>
          </cell>
          <cell r="AV177">
            <v>55.071000000000005</v>
          </cell>
          <cell r="AW177">
            <v>62.620241935483868</v>
          </cell>
          <cell r="AX177">
            <v>82.284916666666675</v>
          </cell>
          <cell r="AY177">
            <v>65.308145161290327</v>
          </cell>
          <cell r="AZ177">
            <v>73.347661290322591</v>
          </cell>
          <cell r="BA177">
            <v>71.327016129032259</v>
          </cell>
          <cell r="BB177">
            <v>83.841330645161293</v>
          </cell>
          <cell r="BC177">
            <v>99.4</v>
          </cell>
          <cell r="BD177">
            <v>96.715161290322584</v>
          </cell>
          <cell r="BE177">
            <v>92.870967741935488</v>
          </cell>
          <cell r="BF177">
            <v>94.5</v>
          </cell>
          <cell r="BG177">
            <v>95.677419354838719</v>
          </cell>
          <cell r="BH177">
            <v>77.733333333333334</v>
          </cell>
          <cell r="BI177">
            <v>85.387096774193537</v>
          </cell>
          <cell r="BJ177">
            <v>75.3</v>
          </cell>
          <cell r="BK177">
            <v>86.387096774193537</v>
          </cell>
          <cell r="BL177">
            <v>72.774193548387089</v>
          </cell>
          <cell r="BM177">
            <v>64.8</v>
          </cell>
          <cell r="BN177">
            <v>87.25645161290322</v>
          </cell>
          <cell r="BO177">
            <v>76.293333333333337</v>
          </cell>
          <cell r="BP177">
            <v>83.959032258064511</v>
          </cell>
          <cell r="BQ177">
            <v>71.625645161290322</v>
          </cell>
          <cell r="BR177">
            <v>63.96</v>
          </cell>
          <cell r="BS177">
            <v>96.821935483870973</v>
          </cell>
          <cell r="BT177">
            <v>91.477000000000004</v>
          </cell>
          <cell r="BU177">
            <v>79.754032258064512</v>
          </cell>
          <cell r="BV177">
            <v>95.354500000000016</v>
          </cell>
          <cell r="BW177">
            <v>72.161935483870963</v>
          </cell>
          <cell r="BX177">
            <v>81.335000000000008</v>
          </cell>
          <cell r="BY177">
            <v>86.960833333333341</v>
          </cell>
          <cell r="BZ177">
            <v>86.67</v>
          </cell>
          <cell r="CA177">
            <v>94.059500000000014</v>
          </cell>
          <cell r="CB177">
            <v>74.327903225806452</v>
          </cell>
          <cell r="CC177">
            <v>69.016774193548386</v>
          </cell>
          <cell r="CD177">
            <v>84.220535714285703</v>
          </cell>
          <cell r="CE177">
            <v>70.479032258064521</v>
          </cell>
          <cell r="CF177">
            <v>79.323999999999998</v>
          </cell>
          <cell r="CG177">
            <v>70.909919354838721</v>
          </cell>
          <cell r="CH177">
            <v>88.473916666666668</v>
          </cell>
          <cell r="CI177">
            <v>0</v>
          </cell>
          <cell r="CJ177">
            <v>0</v>
          </cell>
          <cell r="CK177">
            <v>0</v>
          </cell>
          <cell r="CL177">
            <v>100.33695652173913</v>
          </cell>
          <cell r="CM177">
            <v>72.577777777777783</v>
          </cell>
          <cell r="CN177">
            <v>99.098901098901095</v>
          </cell>
          <cell r="CO177">
            <v>99.630434782608702</v>
          </cell>
          <cell r="CP177">
            <v>96.646575342465752</v>
          </cell>
          <cell r="CQ177">
            <v>96.646575342465752</v>
          </cell>
        </row>
        <row r="178">
          <cell r="N178" t="str">
            <v>LAR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0.13333333333333333</v>
          </cell>
          <cell r="T178">
            <v>0</v>
          </cell>
          <cell r="U178">
            <v>0</v>
          </cell>
          <cell r="V178">
            <v>0.26666666666666666</v>
          </cell>
          <cell r="W178">
            <v>0.5</v>
          </cell>
          <cell r="X178">
            <v>0.5</v>
          </cell>
          <cell r="Y178">
            <v>1.8</v>
          </cell>
          <cell r="Z178">
            <v>2.1333333333333333</v>
          </cell>
          <cell r="AA178">
            <v>3.4</v>
          </cell>
          <cell r="AB178">
            <v>3.2</v>
          </cell>
          <cell r="AC178">
            <v>6.4333333333333336</v>
          </cell>
          <cell r="AD178">
            <v>7.1</v>
          </cell>
          <cell r="AE178">
            <v>3.1</v>
          </cell>
          <cell r="AF178">
            <v>5.3</v>
          </cell>
          <cell r="AG178">
            <v>6.8666666666666663</v>
          </cell>
          <cell r="AH178">
            <v>3.3666666666666667</v>
          </cell>
          <cell r="AI178">
            <v>3.9666666666666668</v>
          </cell>
          <cell r="AJ178">
            <v>5.3</v>
          </cell>
          <cell r="AK178">
            <v>7.3666666666666663</v>
          </cell>
          <cell r="AL178">
            <v>4.9666666666666668</v>
          </cell>
          <cell r="AM178">
            <v>5.1333333333333337</v>
          </cell>
          <cell r="AN178">
            <v>6.5</v>
          </cell>
          <cell r="AO178">
            <v>3.8666666666666667</v>
          </cell>
          <cell r="AP178">
            <v>2.4333333333333331</v>
          </cell>
          <cell r="AQ178">
            <v>4.8666666666666663</v>
          </cell>
          <cell r="AR178">
            <v>5.3666666666666663</v>
          </cell>
          <cell r="AS178">
            <v>7.9333333333333336</v>
          </cell>
          <cell r="AT178">
            <v>3.8972278566599052</v>
          </cell>
          <cell r="AU178">
            <v>7.7461330573285032</v>
          </cell>
          <cell r="AV178">
            <v>8.1286393345216865</v>
          </cell>
          <cell r="AW178">
            <v>11.70841239721695</v>
          </cell>
          <cell r="AX178">
            <v>9.5113487819370164</v>
          </cell>
          <cell r="AY178">
            <v>8.8419297337703409</v>
          </cell>
          <cell r="AZ178">
            <v>14.263239606693118</v>
          </cell>
          <cell r="BA178">
            <v>10.867747685584497</v>
          </cell>
          <cell r="BB178">
            <v>10.451612903225806</v>
          </cell>
          <cell r="BC178">
            <v>11.266673599999999</v>
          </cell>
          <cell r="BD178">
            <v>10.32256929032258</v>
          </cell>
          <cell r="BE178">
            <v>7.5836689032258064</v>
          </cell>
          <cell r="BF178">
            <v>11.607150000000001</v>
          </cell>
          <cell r="BG178">
            <v>11.366151741935484</v>
          </cell>
          <cell r="BH178">
            <v>10.766677866666667</v>
          </cell>
          <cell r="BI178">
            <v>7.507474838709677</v>
          </cell>
          <cell r="BJ178">
            <v>6.6181047999999993</v>
          </cell>
          <cell r="BK178">
            <v>5.2580810322580644</v>
          </cell>
          <cell r="BL178">
            <v>6.3225535483870967</v>
          </cell>
          <cell r="BM178">
            <v>7.1000226666666668</v>
          </cell>
          <cell r="BN178">
            <v>7.2822880000000003</v>
          </cell>
          <cell r="BO178">
            <v>12.064597333333333</v>
          </cell>
          <cell r="BP178">
            <v>11.59761135483871</v>
          </cell>
          <cell r="BQ178">
            <v>12.491798193548387</v>
          </cell>
          <cell r="BR178">
            <v>7.6634268571428565</v>
          </cell>
          <cell r="BS178">
            <v>11.741942709677419</v>
          </cell>
          <cell r="BT178">
            <v>10.5396936</v>
          </cell>
          <cell r="BU178">
            <v>11.477853161290323</v>
          </cell>
          <cell r="BV178">
            <v>12.666399999999999</v>
          </cell>
          <cell r="BW178">
            <v>15.129528516129033</v>
          </cell>
          <cell r="BX178">
            <v>12.927094193548387</v>
          </cell>
          <cell r="BY178">
            <v>10.577692799999999</v>
          </cell>
          <cell r="BZ178">
            <v>11.11771535483871</v>
          </cell>
          <cell r="CA178">
            <v>13.376669866666667</v>
          </cell>
          <cell r="CB178">
            <v>10.033100903225806</v>
          </cell>
          <cell r="CC178">
            <v>13.576988129032257</v>
          </cell>
          <cell r="CD178">
            <v>10.452902</v>
          </cell>
          <cell r="CE178">
            <v>13.336781161290324</v>
          </cell>
          <cell r="CF178">
            <v>13.788536000000001</v>
          </cell>
          <cell r="CG178">
            <v>11.286389677419354</v>
          </cell>
          <cell r="CH178">
            <v>9.8374517333333333</v>
          </cell>
          <cell r="CI178">
            <v>0</v>
          </cell>
          <cell r="CJ178">
            <v>0</v>
          </cell>
          <cell r="CK178">
            <v>0</v>
          </cell>
          <cell r="CL178">
            <v>11.565217391304348</v>
          </cell>
          <cell r="CM178">
            <v>8.3000000000000007</v>
          </cell>
          <cell r="CN178">
            <v>11.571428571428571</v>
          </cell>
          <cell r="CO178">
            <v>11.565217391304348</v>
          </cell>
          <cell r="CP178">
            <v>10.747945205479452</v>
          </cell>
          <cell r="CQ178">
            <v>13.347945205479451</v>
          </cell>
        </row>
        <row r="179">
          <cell r="N179" t="str">
            <v>LOX</v>
          </cell>
          <cell r="R179">
            <v>4.5999999999999996</v>
          </cell>
          <cell r="S179">
            <v>8.7666666666666657</v>
          </cell>
          <cell r="T179">
            <v>7.9333333333333327</v>
          </cell>
          <cell r="U179">
            <v>6.3666666666666671</v>
          </cell>
          <cell r="V179">
            <v>9.4666666666666668</v>
          </cell>
          <cell r="W179">
            <v>12.266666666666666</v>
          </cell>
          <cell r="X179">
            <v>8.9333333333333336</v>
          </cell>
          <cell r="Y179">
            <v>16.333333333333332</v>
          </cell>
          <cell r="Z179">
            <v>20</v>
          </cell>
          <cell r="AA179">
            <v>18.899999999999999</v>
          </cell>
          <cell r="AB179">
            <v>34.733333333333334</v>
          </cell>
          <cell r="AC179">
            <v>60</v>
          </cell>
          <cell r="AD179">
            <v>58.699999999999996</v>
          </cell>
          <cell r="AE179">
            <v>63.5</v>
          </cell>
          <cell r="AF179">
            <v>86.999999999999986</v>
          </cell>
          <cell r="AG179">
            <v>83.666666666666657</v>
          </cell>
          <cell r="AH179">
            <v>58.733333333333334</v>
          </cell>
          <cell r="AI179">
            <v>111.53333333333333</v>
          </cell>
          <cell r="AJ179">
            <v>119.43333333333332</v>
          </cell>
          <cell r="AK179">
            <v>108.8</v>
          </cell>
          <cell r="AL179">
            <v>128.36666666666667</v>
          </cell>
          <cell r="AM179">
            <v>144.4</v>
          </cell>
          <cell r="AN179">
            <v>161.76666666666668</v>
          </cell>
          <cell r="AO179">
            <v>173.53333333333333</v>
          </cell>
          <cell r="AP179">
            <v>175.83333333333334</v>
          </cell>
          <cell r="AQ179">
            <v>188.10000000000002</v>
          </cell>
          <cell r="AR179">
            <v>206.33333333333334</v>
          </cell>
          <cell r="AS179">
            <v>193.93333333333334</v>
          </cell>
          <cell r="AT179">
            <v>211.92917366946779</v>
          </cell>
          <cell r="AU179">
            <v>267.51064918636075</v>
          </cell>
          <cell r="AV179">
            <v>290.46173457261693</v>
          </cell>
          <cell r="AW179">
            <v>319.89851608385283</v>
          </cell>
          <cell r="AX179">
            <v>364.97864640098464</v>
          </cell>
          <cell r="AY179">
            <v>333.74684908860905</v>
          </cell>
          <cell r="AZ179">
            <v>342.81864283249956</v>
          </cell>
          <cell r="BA179">
            <v>341.54669929848774</v>
          </cell>
          <cell r="BB179">
            <v>350.01971774193549</v>
          </cell>
          <cell r="BC179">
            <v>374.07634393333331</v>
          </cell>
          <cell r="BD179">
            <v>373.38095058064516</v>
          </cell>
          <cell r="BE179">
            <v>332.68045535483873</v>
          </cell>
          <cell r="BF179">
            <v>377.43141749999995</v>
          </cell>
          <cell r="BG179">
            <v>384.28472883870967</v>
          </cell>
          <cell r="BH179">
            <v>360.05829819999997</v>
          </cell>
          <cell r="BI179">
            <v>364.58147096774195</v>
          </cell>
          <cell r="BJ179">
            <v>347.21346846666665</v>
          </cell>
          <cell r="BK179">
            <v>345.54841264516125</v>
          </cell>
          <cell r="BL179">
            <v>356.9999948387096</v>
          </cell>
          <cell r="BM179">
            <v>339.23842733333333</v>
          </cell>
          <cell r="BN179">
            <v>348.70297251612897</v>
          </cell>
          <cell r="BO179">
            <v>287.52856899999995</v>
          </cell>
          <cell r="BP179">
            <v>276.35145135483867</v>
          </cell>
          <cell r="BQ179">
            <v>243.91223980645159</v>
          </cell>
          <cell r="BR179">
            <v>159.17875185714286</v>
          </cell>
          <cell r="BS179">
            <v>295.07541077419353</v>
          </cell>
          <cell r="BT179">
            <v>379.0994996</v>
          </cell>
          <cell r="BU179">
            <v>358.48919832258065</v>
          </cell>
          <cell r="BV179">
            <v>367.38734066666666</v>
          </cell>
          <cell r="BW179">
            <v>362.14023174193545</v>
          </cell>
          <cell r="BX179">
            <v>342.22109580645161</v>
          </cell>
          <cell r="BY179">
            <v>352.82956213333335</v>
          </cell>
          <cell r="BZ179">
            <v>336.19131858064515</v>
          </cell>
          <cell r="CA179">
            <v>402.76420286666666</v>
          </cell>
          <cell r="CB179">
            <v>322.22120735483873</v>
          </cell>
          <cell r="CC179">
            <v>325.66691522580641</v>
          </cell>
          <cell r="CD179">
            <v>395.17256521428567</v>
          </cell>
          <cell r="CE179">
            <v>353.24012987096773</v>
          </cell>
          <cell r="CF179">
            <v>355.79662433333334</v>
          </cell>
          <cell r="CG179">
            <v>338.18397645161292</v>
          </cell>
          <cell r="CH179">
            <v>345.47895573333335</v>
          </cell>
          <cell r="CI179">
            <v>0</v>
          </cell>
          <cell r="CJ179">
            <v>0</v>
          </cell>
          <cell r="CK179">
            <v>0</v>
          </cell>
          <cell r="CL179">
            <v>501.95652173913044</v>
          </cell>
          <cell r="CM179">
            <v>370.88888888888891</v>
          </cell>
          <cell r="CN179">
            <v>500.82417582417577</v>
          </cell>
          <cell r="CO179">
            <v>501.25</v>
          </cell>
          <cell r="CP179">
            <v>473.07671232876709</v>
          </cell>
          <cell r="CQ179">
            <v>475.32876712328772</v>
          </cell>
        </row>
        <row r="180">
          <cell r="N180" t="str">
            <v>LIN</v>
          </cell>
          <cell r="R180">
            <v>0.96666666666666667</v>
          </cell>
          <cell r="S180">
            <v>1.8666666666666667</v>
          </cell>
          <cell r="T180">
            <v>1.8333333333333333</v>
          </cell>
          <cell r="U180">
            <v>2.2000000000000002</v>
          </cell>
          <cell r="V180">
            <v>4.166666666666667</v>
          </cell>
          <cell r="W180">
            <v>5.3666666666666663</v>
          </cell>
          <cell r="X180">
            <v>4.8</v>
          </cell>
          <cell r="Y180">
            <v>3.9333333333333331</v>
          </cell>
          <cell r="Z180">
            <v>9.1</v>
          </cell>
          <cell r="AA180">
            <v>7.2333333333333334</v>
          </cell>
          <cell r="AB180">
            <v>8.8000000000000007</v>
          </cell>
          <cell r="AC180">
            <v>25.4</v>
          </cell>
          <cell r="AD180">
            <v>24.466666666666665</v>
          </cell>
          <cell r="AE180">
            <v>30.433333333333334</v>
          </cell>
          <cell r="AF180">
            <v>43.3</v>
          </cell>
          <cell r="AG180">
            <v>38.299999999999997</v>
          </cell>
          <cell r="AH180">
            <v>31.166666666666668</v>
          </cell>
          <cell r="AI180">
            <v>42.866666666666667</v>
          </cell>
          <cell r="AJ180">
            <v>60.366666666666667</v>
          </cell>
          <cell r="AK180">
            <v>46</v>
          </cell>
          <cell r="AL180">
            <v>59.666666666666664</v>
          </cell>
          <cell r="AM180">
            <v>54.06666666666667</v>
          </cell>
          <cell r="AN180">
            <v>38.56666666666667</v>
          </cell>
          <cell r="AO180">
            <v>32.43333333333333</v>
          </cell>
          <cell r="AP180">
            <v>35.366666666666667</v>
          </cell>
          <cell r="AQ180">
            <v>35.766666666666666</v>
          </cell>
          <cell r="AR180">
            <v>47.43333333333333</v>
          </cell>
          <cell r="AS180">
            <v>42.266666666666666</v>
          </cell>
          <cell r="AT180">
            <v>53.535000000000004</v>
          </cell>
          <cell r="AU180">
            <v>49.605161290322577</v>
          </cell>
          <cell r="AV180">
            <v>55.071000000000005</v>
          </cell>
          <cell r="AW180">
            <v>62.620241935483868</v>
          </cell>
          <cell r="AX180">
            <v>82.284916666666675</v>
          </cell>
          <cell r="AY180">
            <v>65.308145161290327</v>
          </cell>
          <cell r="AZ180">
            <v>73.347661290322591</v>
          </cell>
          <cell r="BA180">
            <v>71.327016129032259</v>
          </cell>
          <cell r="BB180">
            <v>83.841330645161293</v>
          </cell>
          <cell r="BC180">
            <v>99.4</v>
          </cell>
          <cell r="BD180">
            <v>96.715161290322584</v>
          </cell>
          <cell r="BE180">
            <v>92.870967741935488</v>
          </cell>
          <cell r="BF180">
            <v>94.5</v>
          </cell>
          <cell r="BG180">
            <v>95.677419354838719</v>
          </cell>
          <cell r="BH180">
            <v>77.733333333333334</v>
          </cell>
          <cell r="BI180">
            <v>85.387096774193537</v>
          </cell>
          <cell r="BJ180">
            <v>75.3</v>
          </cell>
          <cell r="BK180">
            <v>86.387096774193537</v>
          </cell>
          <cell r="BL180">
            <v>72.774193548387089</v>
          </cell>
          <cell r="BM180">
            <v>64.8</v>
          </cell>
          <cell r="BN180">
            <v>87.25645161290322</v>
          </cell>
          <cell r="BO180">
            <v>76.293333333333337</v>
          </cell>
          <cell r="BP180">
            <v>83.959032258064511</v>
          </cell>
          <cell r="BQ180">
            <v>71.625645161290322</v>
          </cell>
          <cell r="BR180">
            <v>63.96</v>
          </cell>
          <cell r="BS180">
            <v>96.821935483870973</v>
          </cell>
          <cell r="BT180">
            <v>91.477000000000004</v>
          </cell>
          <cell r="BU180">
            <v>79.754032258064512</v>
          </cell>
          <cell r="BV180">
            <v>95.354500000000016</v>
          </cell>
          <cell r="BW180">
            <v>72.161935483870963</v>
          </cell>
          <cell r="BX180">
            <v>81.335000000000008</v>
          </cell>
          <cell r="BY180">
            <v>86.960833333333341</v>
          </cell>
          <cell r="BZ180">
            <v>86.67</v>
          </cell>
          <cell r="CA180">
            <v>94.059500000000014</v>
          </cell>
          <cell r="CB180">
            <v>74.327903225806452</v>
          </cell>
          <cell r="CC180">
            <v>69.016774193548386</v>
          </cell>
          <cell r="CD180">
            <v>84.220535714285703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100.33695652173913</v>
          </cell>
          <cell r="CM180">
            <v>72.577777777777783</v>
          </cell>
          <cell r="CN180">
            <v>99.098901098901095</v>
          </cell>
          <cell r="CO180">
            <v>99.630434782608702</v>
          </cell>
          <cell r="CP180">
            <v>96.646575342465752</v>
          </cell>
          <cell r="CQ180">
            <v>96.646575342465752</v>
          </cell>
        </row>
        <row r="181">
          <cell r="N181" t="str">
            <v>LAR</v>
          </cell>
          <cell r="R181">
            <v>0</v>
          </cell>
          <cell r="S181">
            <v>0.13333333333333333</v>
          </cell>
          <cell r="T181">
            <v>0</v>
          </cell>
          <cell r="U181">
            <v>0</v>
          </cell>
          <cell r="V181">
            <v>0.26666666666666666</v>
          </cell>
          <cell r="W181">
            <v>0.5</v>
          </cell>
          <cell r="X181">
            <v>0.5</v>
          </cell>
          <cell r="Y181">
            <v>1.8</v>
          </cell>
          <cell r="Z181">
            <v>2.1333333333333333</v>
          </cell>
          <cell r="AA181">
            <v>3.4</v>
          </cell>
          <cell r="AB181">
            <v>3.2</v>
          </cell>
          <cell r="AC181">
            <v>6.4333333333333336</v>
          </cell>
          <cell r="AD181">
            <v>7.1</v>
          </cell>
          <cell r="AE181">
            <v>3.1</v>
          </cell>
          <cell r="AF181">
            <v>5.3</v>
          </cell>
          <cell r="AG181">
            <v>6.8666666666666663</v>
          </cell>
          <cell r="AH181">
            <v>3.3666666666666667</v>
          </cell>
          <cell r="AI181">
            <v>3.9666666666666668</v>
          </cell>
          <cell r="AJ181">
            <v>5.3</v>
          </cell>
          <cell r="AK181">
            <v>7.3666666666666663</v>
          </cell>
          <cell r="AL181">
            <v>4.9666666666666668</v>
          </cell>
          <cell r="AM181">
            <v>5.1333333333333337</v>
          </cell>
          <cell r="AN181">
            <v>6.5</v>
          </cell>
          <cell r="AO181">
            <v>3.8666666666666667</v>
          </cell>
          <cell r="AP181">
            <v>2.4333333333333331</v>
          </cell>
          <cell r="AQ181">
            <v>4.8666666666666663</v>
          </cell>
          <cell r="AR181">
            <v>5.3666666666666663</v>
          </cell>
          <cell r="AS181">
            <v>7.9333333333333336</v>
          </cell>
          <cell r="AT181">
            <v>3.8972278566599052</v>
          </cell>
          <cell r="AU181">
            <v>7.7461330573285032</v>
          </cell>
          <cell r="AV181">
            <v>8.1286393345216865</v>
          </cell>
          <cell r="AW181">
            <v>11.70841239721695</v>
          </cell>
          <cell r="AX181">
            <v>9.5113487819370164</v>
          </cell>
          <cell r="AY181">
            <v>8.8419297337703409</v>
          </cell>
          <cell r="AZ181">
            <v>14.263239606693118</v>
          </cell>
          <cell r="BA181">
            <v>10.867747685584497</v>
          </cell>
          <cell r="BB181">
            <v>10.451612903225806</v>
          </cell>
          <cell r="BC181">
            <v>11.266673599999999</v>
          </cell>
          <cell r="BD181">
            <v>10.32256929032258</v>
          </cell>
          <cell r="BE181">
            <v>7.5836689032258064</v>
          </cell>
          <cell r="BF181">
            <v>11.607150000000001</v>
          </cell>
          <cell r="BG181">
            <v>11.366151741935484</v>
          </cell>
          <cell r="BH181">
            <v>10.766677866666667</v>
          </cell>
          <cell r="BI181">
            <v>7.507474838709677</v>
          </cell>
          <cell r="BJ181">
            <v>6.6181047999999993</v>
          </cell>
          <cell r="BK181">
            <v>5.2580810322580644</v>
          </cell>
          <cell r="BL181">
            <v>6.3225535483870967</v>
          </cell>
          <cell r="BM181">
            <v>7.1000226666666668</v>
          </cell>
          <cell r="BN181">
            <v>7.2822880000000003</v>
          </cell>
          <cell r="BO181">
            <v>12.064597333333333</v>
          </cell>
          <cell r="BP181">
            <v>11.59761135483871</v>
          </cell>
          <cell r="BQ181">
            <v>12.491798193548387</v>
          </cell>
          <cell r="BR181">
            <v>7.6634268571428565</v>
          </cell>
          <cell r="BS181">
            <v>11.741942709677419</v>
          </cell>
          <cell r="BT181">
            <v>10.5396936</v>
          </cell>
          <cell r="BU181">
            <v>11.477853161290323</v>
          </cell>
          <cell r="BV181">
            <v>12.666399999999999</v>
          </cell>
          <cell r="BW181">
            <v>15.129528516129033</v>
          </cell>
          <cell r="BX181">
            <v>12.927094193548387</v>
          </cell>
          <cell r="BY181">
            <v>10.577692799999999</v>
          </cell>
          <cell r="BZ181">
            <v>11.11771535483871</v>
          </cell>
          <cell r="CA181">
            <v>13.376669866666667</v>
          </cell>
          <cell r="CB181">
            <v>10.033100903225806</v>
          </cell>
          <cell r="CC181">
            <v>13.576988129032257</v>
          </cell>
          <cell r="CD181">
            <v>10.452902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11.565217391304348</v>
          </cell>
          <cell r="CM181">
            <v>8.3000000000000007</v>
          </cell>
          <cell r="CN181">
            <v>11.571428571428571</v>
          </cell>
          <cell r="CO181">
            <v>11.565217391304348</v>
          </cell>
          <cell r="CP181">
            <v>10.747945205479452</v>
          </cell>
          <cell r="CQ181">
            <v>13.347945205479451</v>
          </cell>
        </row>
        <row r="182">
          <cell r="N182" t="str">
            <v>EAP</v>
          </cell>
          <cell r="R182">
            <v>4.5999999999999996</v>
          </cell>
          <cell r="S182">
            <v>8.7666666666666657</v>
          </cell>
          <cell r="T182">
            <v>7.9333333333333327</v>
          </cell>
          <cell r="U182">
            <v>6.3666666666666671</v>
          </cell>
          <cell r="V182">
            <v>9.4666666666666668</v>
          </cell>
          <cell r="W182">
            <v>12.266666666666666</v>
          </cell>
          <cell r="X182">
            <v>8.9333333333333336</v>
          </cell>
          <cell r="Y182">
            <v>16.333333333333332</v>
          </cell>
          <cell r="Z182">
            <v>20</v>
          </cell>
          <cell r="AA182">
            <v>18.899999999999999</v>
          </cell>
          <cell r="AB182">
            <v>34.733333333333334</v>
          </cell>
          <cell r="AC182">
            <v>60</v>
          </cell>
          <cell r="AD182">
            <v>58.699999999999996</v>
          </cell>
          <cell r="AE182">
            <v>63.5</v>
          </cell>
          <cell r="AF182">
            <v>86.999999999999986</v>
          </cell>
          <cell r="AG182">
            <v>83.666666666666657</v>
          </cell>
          <cell r="AH182">
            <v>58.733333333333334</v>
          </cell>
          <cell r="AI182">
            <v>111.53333333333333</v>
          </cell>
          <cell r="AJ182">
            <v>119.43333333333332</v>
          </cell>
          <cell r="AK182">
            <v>108.8</v>
          </cell>
          <cell r="AL182">
            <v>128.36666666666667</v>
          </cell>
          <cell r="AM182">
            <v>144.4</v>
          </cell>
          <cell r="AN182">
            <v>161.76666666666668</v>
          </cell>
          <cell r="AO182">
            <v>173.53333333333333</v>
          </cell>
          <cell r="AP182">
            <v>175.83333333333334</v>
          </cell>
          <cell r="AQ182">
            <v>188.10000000000002</v>
          </cell>
          <cell r="AR182">
            <v>206.33333333333334</v>
          </cell>
          <cell r="AS182">
            <v>193.93333333333334</v>
          </cell>
          <cell r="AT182">
            <v>211.92917366946779</v>
          </cell>
          <cell r="AU182">
            <v>267.51064918636075</v>
          </cell>
          <cell r="AV182">
            <v>290.46173457261693</v>
          </cell>
          <cell r="AW182">
            <v>319.89851608385283</v>
          </cell>
          <cell r="AX182">
            <v>364.97864640098464</v>
          </cell>
          <cell r="AY182">
            <v>333.74684908860905</v>
          </cell>
          <cell r="AZ182">
            <v>342.81864283249956</v>
          </cell>
          <cell r="BA182">
            <v>341.54669929848774</v>
          </cell>
          <cell r="BB182">
            <v>350.01971774193549</v>
          </cell>
          <cell r="BC182">
            <v>374.07634393333331</v>
          </cell>
          <cell r="BD182">
            <v>373.38095058064516</v>
          </cell>
          <cell r="BE182">
            <v>332.68045535483873</v>
          </cell>
          <cell r="BF182">
            <v>377.43141749999995</v>
          </cell>
          <cell r="BG182">
            <v>384.28472883870967</v>
          </cell>
          <cell r="BH182">
            <v>360.05829819999997</v>
          </cell>
          <cell r="BI182">
            <v>364.58147096774195</v>
          </cell>
          <cell r="BJ182">
            <v>347.21346846666665</v>
          </cell>
          <cell r="BK182">
            <v>345.54841264516125</v>
          </cell>
          <cell r="BL182">
            <v>356.9999948387096</v>
          </cell>
          <cell r="BM182">
            <v>339.23842733333333</v>
          </cell>
          <cell r="BN182">
            <v>348.70297251612897</v>
          </cell>
          <cell r="BO182">
            <v>287.52856899999995</v>
          </cell>
          <cell r="BP182">
            <v>276.35145135483867</v>
          </cell>
          <cell r="BQ182">
            <v>243.91223980645159</v>
          </cell>
          <cell r="BR182">
            <v>159.17875185714286</v>
          </cell>
          <cell r="BS182">
            <v>295.07541077419353</v>
          </cell>
          <cell r="BT182">
            <v>379.0994996</v>
          </cell>
          <cell r="BU182">
            <v>358.48919832258065</v>
          </cell>
          <cell r="BV182">
            <v>367.38734066666666</v>
          </cell>
          <cell r="BW182">
            <v>362.14023174193545</v>
          </cell>
          <cell r="BX182">
            <v>342.22109580645161</v>
          </cell>
          <cell r="BY182">
            <v>352.82956213333335</v>
          </cell>
          <cell r="BZ182">
            <v>336.19131858064515</v>
          </cell>
          <cell r="CA182">
            <v>402.76420286666666</v>
          </cell>
          <cell r="CB182">
            <v>322.22120735483873</v>
          </cell>
          <cell r="CC182">
            <v>325.66691522580641</v>
          </cell>
          <cell r="CD182">
            <v>395.17256521428567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501.95652173913044</v>
          </cell>
          <cell r="CM182">
            <v>370.88888888888891</v>
          </cell>
          <cell r="CN182">
            <v>500.82417582417577</v>
          </cell>
          <cell r="CO182">
            <v>501.25</v>
          </cell>
          <cell r="CP182">
            <v>473.07671232876709</v>
          </cell>
          <cell r="CQ182">
            <v>475.32876712328772</v>
          </cell>
        </row>
        <row r="183">
          <cell r="N183" t="str">
            <v>LOX</v>
          </cell>
          <cell r="R183">
            <v>0</v>
          </cell>
          <cell r="S183">
            <v>0</v>
          </cell>
          <cell r="T183">
            <v>0</v>
          </cell>
          <cell r="U183">
            <v>9</v>
          </cell>
          <cell r="V183">
            <v>351</v>
          </cell>
          <cell r="W183">
            <v>361</v>
          </cell>
          <cell r="X183">
            <v>1162</v>
          </cell>
          <cell r="Y183">
            <v>978</v>
          </cell>
          <cell r="Z183">
            <v>1334</v>
          </cell>
          <cell r="AA183">
            <v>2223</v>
          </cell>
          <cell r="AB183">
            <v>1596</v>
          </cell>
          <cell r="AC183">
            <v>1690</v>
          </cell>
          <cell r="AD183">
            <v>1425</v>
          </cell>
          <cell r="AE183">
            <v>1772</v>
          </cell>
          <cell r="AF183">
            <v>1324</v>
          </cell>
          <cell r="AG183">
            <v>2177</v>
          </cell>
          <cell r="AH183">
            <v>1030</v>
          </cell>
          <cell r="AI183">
            <v>1804</v>
          </cell>
          <cell r="AJ183">
            <v>2333</v>
          </cell>
          <cell r="AK183">
            <v>2283</v>
          </cell>
          <cell r="AL183">
            <v>2301</v>
          </cell>
          <cell r="AM183">
            <v>2274</v>
          </cell>
          <cell r="AN183">
            <v>2836</v>
          </cell>
          <cell r="AO183">
            <v>2918</v>
          </cell>
          <cell r="AP183">
            <v>2104</v>
          </cell>
          <cell r="AQ183">
            <v>2244</v>
          </cell>
          <cell r="AR183">
            <v>2389</v>
          </cell>
          <cell r="AS183">
            <v>2059</v>
          </cell>
          <cell r="AT183">
            <v>2239.8200000000002</v>
          </cell>
          <cell r="AU183">
            <v>3435.06</v>
          </cell>
          <cell r="AV183">
            <v>3660.98</v>
          </cell>
          <cell r="AW183">
            <v>3300.2957142857144</v>
          </cell>
          <cell r="AX183">
            <v>2917.17</v>
          </cell>
          <cell r="AY183">
            <v>3148.87</v>
          </cell>
          <cell r="AZ183">
            <v>3518.9557142857143</v>
          </cell>
          <cell r="BA183">
            <v>3543.85</v>
          </cell>
          <cell r="BB183">
            <v>3598.81</v>
          </cell>
          <cell r="BC183">
            <v>3012.9357142857143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CL183" t="str">
            <v>Budget</v>
          </cell>
          <cell r="CM183" t="str">
            <v>Budget</v>
          </cell>
          <cell r="CN183" t="str">
            <v>Budget</v>
          </cell>
          <cell r="CO183" t="str">
            <v>Budget</v>
          </cell>
          <cell r="CP183" t="str">
            <v>Budget</v>
          </cell>
          <cell r="CQ183" t="str">
            <v>Budget</v>
          </cell>
        </row>
        <row r="184">
          <cell r="N184" t="str">
            <v>LIN</v>
          </cell>
          <cell r="R184">
            <v>29</v>
          </cell>
          <cell r="S184">
            <v>64</v>
          </cell>
          <cell r="T184">
            <v>137</v>
          </cell>
          <cell r="U184">
            <v>130</v>
          </cell>
          <cell r="V184">
            <v>225</v>
          </cell>
          <cell r="W184">
            <v>262</v>
          </cell>
          <cell r="X184">
            <v>276</v>
          </cell>
          <cell r="Y184">
            <v>522</v>
          </cell>
          <cell r="Z184">
            <v>502</v>
          </cell>
          <cell r="AA184">
            <v>772</v>
          </cell>
          <cell r="AB184">
            <v>1570</v>
          </cell>
          <cell r="AC184">
            <v>1355</v>
          </cell>
          <cell r="AD184">
            <v>749</v>
          </cell>
          <cell r="AE184">
            <v>738</v>
          </cell>
          <cell r="AF184">
            <v>780</v>
          </cell>
          <cell r="AG184">
            <v>738</v>
          </cell>
          <cell r="AH184">
            <v>605</v>
          </cell>
          <cell r="AI184">
            <v>1162</v>
          </cell>
          <cell r="AJ184">
            <v>1213</v>
          </cell>
          <cell r="AK184">
            <v>1057</v>
          </cell>
          <cell r="AL184">
            <v>1291</v>
          </cell>
          <cell r="AM184">
            <v>1368</v>
          </cell>
          <cell r="AN184">
            <v>1395</v>
          </cell>
          <cell r="AO184">
            <v>1739</v>
          </cell>
          <cell r="AP184">
            <v>1247</v>
          </cell>
          <cell r="AQ184">
            <v>1416</v>
          </cell>
          <cell r="AR184">
            <v>1842</v>
          </cell>
          <cell r="AS184">
            <v>1389</v>
          </cell>
          <cell r="AT184">
            <v>2631.3</v>
          </cell>
          <cell r="AU184">
            <v>2624.75</v>
          </cell>
          <cell r="AV184">
            <v>2818.76</v>
          </cell>
          <cell r="AW184">
            <v>2403.5300000000002</v>
          </cell>
          <cell r="AX184">
            <v>2239.3200000000002</v>
          </cell>
          <cell r="AY184">
            <v>2328.7800000000002</v>
          </cell>
          <cell r="AZ184">
            <v>2180.11</v>
          </cell>
          <cell r="BA184">
            <v>2176.25</v>
          </cell>
          <cell r="BB184">
            <v>2469.0500000000002</v>
          </cell>
          <cell r="BC184">
            <v>2225.1799999999998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CL184" t="str">
            <v>Q1 FY02</v>
          </cell>
          <cell r="CM184" t="str">
            <v>Q2 FY02</v>
          </cell>
          <cell r="CN184" t="str">
            <v>Q3 FY02</v>
          </cell>
          <cell r="CO184" t="str">
            <v>Q4 FY02</v>
          </cell>
          <cell r="CP184" t="str">
            <v>FY03</v>
          </cell>
          <cell r="CQ184" t="str">
            <v>FY04</v>
          </cell>
        </row>
        <row r="185">
          <cell r="N185" t="str">
            <v>LAR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6</v>
          </cell>
          <cell r="W185">
            <v>18</v>
          </cell>
          <cell r="X185">
            <v>33</v>
          </cell>
          <cell r="Y185">
            <v>174</v>
          </cell>
          <cell r="Z185">
            <v>7</v>
          </cell>
          <cell r="AA185">
            <v>8</v>
          </cell>
          <cell r="AB185">
            <v>21</v>
          </cell>
          <cell r="AC185">
            <v>34</v>
          </cell>
          <cell r="AD185">
            <v>43</v>
          </cell>
          <cell r="AE185">
            <v>44</v>
          </cell>
          <cell r="AF185">
            <v>81</v>
          </cell>
          <cell r="AG185">
            <v>56</v>
          </cell>
          <cell r="AH185">
            <v>46</v>
          </cell>
          <cell r="AI185">
            <v>77</v>
          </cell>
          <cell r="AJ185">
            <v>77</v>
          </cell>
          <cell r="AK185">
            <v>63</v>
          </cell>
          <cell r="AL185">
            <v>66</v>
          </cell>
          <cell r="AM185">
            <v>248</v>
          </cell>
          <cell r="AN185">
            <v>294</v>
          </cell>
          <cell r="AO185">
            <v>336</v>
          </cell>
          <cell r="AP185">
            <v>68</v>
          </cell>
          <cell r="AQ185">
            <v>91</v>
          </cell>
          <cell r="AR185">
            <v>88</v>
          </cell>
          <cell r="AS185">
            <v>83</v>
          </cell>
          <cell r="AT185">
            <v>88.925133689839569</v>
          </cell>
          <cell r="AU185">
            <v>246.0891265597148</v>
          </cell>
          <cell r="AV185">
            <v>138.73796791443851</v>
          </cell>
          <cell r="AW185">
            <v>211.89126559714796</v>
          </cell>
          <cell r="AX185">
            <v>282.75222816399287</v>
          </cell>
          <cell r="AY185">
            <v>169.96791443850267</v>
          </cell>
          <cell r="AZ185">
            <v>392.07486631016042</v>
          </cell>
          <cell r="BA185">
            <v>565.37254901960785</v>
          </cell>
          <cell r="BB185">
            <v>817.43672014260244</v>
          </cell>
          <cell r="BC185">
            <v>804.04278074866306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CL185">
            <v>1250.4722277777778</v>
          </cell>
          <cell r="CM185">
            <v>1239.69445</v>
          </cell>
          <cell r="CN185">
            <v>1362.9944499999999</v>
          </cell>
          <cell r="CO185">
            <v>1439.7944500000001</v>
          </cell>
          <cell r="CP185">
            <v>1461.1983698630136</v>
          </cell>
          <cell r="CQ185">
            <v>1605.9749315068493</v>
          </cell>
        </row>
        <row r="186">
          <cell r="N186" t="str">
            <v>LOX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CL186">
            <v>1863.5527777777777</v>
          </cell>
          <cell r="CM186">
            <v>1935.4972222222225</v>
          </cell>
          <cell r="CN186">
            <v>2062.1861111111111</v>
          </cell>
          <cell r="CO186">
            <v>2134.0305555555556</v>
          </cell>
          <cell r="CP186">
            <v>2225.0484931506849</v>
          </cell>
          <cell r="CQ186">
            <v>2471.2945205479455</v>
          </cell>
        </row>
        <row r="187">
          <cell r="N187" t="str">
            <v>LOX</v>
          </cell>
          <cell r="R187">
            <v>0</v>
          </cell>
          <cell r="S187">
            <v>0</v>
          </cell>
          <cell r="T187">
            <v>0</v>
          </cell>
          <cell r="U187">
            <v>0.3</v>
          </cell>
          <cell r="V187">
            <v>11.7</v>
          </cell>
          <cell r="W187">
            <v>12.033333333333333</v>
          </cell>
          <cell r="X187">
            <v>38.733333333333334</v>
          </cell>
          <cell r="Y187">
            <v>32.6</v>
          </cell>
          <cell r="Z187">
            <v>44.466666666666669</v>
          </cell>
          <cell r="AA187">
            <v>74.099999999999994</v>
          </cell>
          <cell r="AB187">
            <v>53.2</v>
          </cell>
          <cell r="AC187">
            <v>56.333333333333336</v>
          </cell>
          <cell r="AD187">
            <v>47.5</v>
          </cell>
          <cell r="AE187">
            <v>59.06666666666667</v>
          </cell>
          <cell r="AF187">
            <v>44.133333333333333</v>
          </cell>
          <cell r="AG187">
            <v>72.566666666666663</v>
          </cell>
          <cell r="AH187">
            <v>34.333333333333336</v>
          </cell>
          <cell r="AI187">
            <v>60.133333333333333</v>
          </cell>
          <cell r="AJ187">
            <v>77.766666666666666</v>
          </cell>
          <cell r="AK187">
            <v>76.099999999999994</v>
          </cell>
          <cell r="AL187">
            <v>76.7</v>
          </cell>
          <cell r="AM187">
            <v>75.8</v>
          </cell>
          <cell r="AN187">
            <v>94.533333333333331</v>
          </cell>
          <cell r="AO187">
            <v>97.266666666666666</v>
          </cell>
          <cell r="AP187">
            <v>70.13333333333334</v>
          </cell>
          <cell r="AQ187">
            <v>74.8</v>
          </cell>
          <cell r="AR187">
            <v>79.63333333333334</v>
          </cell>
          <cell r="AS187">
            <v>68.63333333333334</v>
          </cell>
          <cell r="AT187">
            <v>77.235172413793109</v>
          </cell>
          <cell r="AU187">
            <v>110.8083870967742</v>
          </cell>
          <cell r="AV187">
            <v>122.03266666666667</v>
          </cell>
          <cell r="AW187">
            <v>106.46115207373272</v>
          </cell>
          <cell r="AX187">
            <v>97.239000000000004</v>
          </cell>
          <cell r="AY187">
            <v>101.57645161290323</v>
          </cell>
          <cell r="AZ187">
            <v>113.51470046082949</v>
          </cell>
          <cell r="BA187">
            <v>118.12833333333333</v>
          </cell>
          <cell r="BB187">
            <v>116.09064516129033</v>
          </cell>
          <cell r="BC187">
            <v>100.53162166666665</v>
          </cell>
          <cell r="BD187">
            <v>115.57772032258063</v>
          </cell>
          <cell r="BE187">
            <v>87.034043870967736</v>
          </cell>
          <cell r="BF187">
            <v>106.75414749999999</v>
          </cell>
          <cell r="BG187">
            <v>139.83919258064515</v>
          </cell>
          <cell r="BH187">
            <v>119.76278599999998</v>
          </cell>
          <cell r="BI187">
            <v>94.783352258064497</v>
          </cell>
          <cell r="BJ187">
            <v>93.098672333333326</v>
          </cell>
          <cell r="BK187">
            <v>92.036460645161284</v>
          </cell>
          <cell r="BL187">
            <v>45.683379677419346</v>
          </cell>
          <cell r="BM187">
            <v>61.487616666666661</v>
          </cell>
          <cell r="BN187">
            <v>61.692598709677419</v>
          </cell>
          <cell r="BO187">
            <v>79.22914999999999</v>
          </cell>
          <cell r="BP187">
            <v>72.759138064516122</v>
          </cell>
          <cell r="BQ187">
            <v>79.475848064516114</v>
          </cell>
          <cell r="BR187">
            <v>67.631134999999986</v>
          </cell>
          <cell r="BS187">
            <v>98.171299032258062</v>
          </cell>
          <cell r="BT187">
            <v>100.63920533333332</v>
          </cell>
          <cell r="BU187">
            <v>86.345614193548371</v>
          </cell>
          <cell r="BV187">
            <v>93.562468999999993</v>
          </cell>
          <cell r="BW187">
            <v>59.078697096774185</v>
          </cell>
          <cell r="BX187">
            <v>46.252335161290318</v>
          </cell>
          <cell r="BY187">
            <v>78.915836999999996</v>
          </cell>
          <cell r="BZ187">
            <v>79.897744193548377</v>
          </cell>
          <cell r="CA187">
            <v>96.810046666666651</v>
          </cell>
          <cell r="CB187">
            <v>104.7009558064516</v>
          </cell>
          <cell r="CC187">
            <v>122.42456032258063</v>
          </cell>
          <cell r="CD187">
            <v>77.051259999999985</v>
          </cell>
          <cell r="CE187">
            <v>102.66966387096774</v>
          </cell>
          <cell r="CF187">
            <v>98.958049666666653</v>
          </cell>
          <cell r="CG187">
            <v>108.35709677419352</v>
          </cell>
          <cell r="CH187">
            <v>105.17955066666666</v>
          </cell>
          <cell r="CI187">
            <v>0</v>
          </cell>
          <cell r="CJ187">
            <v>0</v>
          </cell>
          <cell r="CK187">
            <v>0</v>
          </cell>
          <cell r="CL187">
            <v>107.60869565217391</v>
          </cell>
          <cell r="CM187">
            <v>115</v>
          </cell>
          <cell r="CN187">
            <v>148.35164835164835</v>
          </cell>
          <cell r="CO187">
            <v>146.7391304347826</v>
          </cell>
          <cell r="CP187">
            <v>162.73972602739727</v>
          </cell>
          <cell r="CQ187">
            <v>179.01369863013699</v>
          </cell>
        </row>
        <row r="188">
          <cell r="N188" t="str">
            <v>LIN</v>
          </cell>
          <cell r="R188">
            <v>0.96666666666666667</v>
          </cell>
          <cell r="S188">
            <v>2.1333333333333333</v>
          </cell>
          <cell r="T188">
            <v>4.5666666666666664</v>
          </cell>
          <cell r="U188">
            <v>4.333333333333333</v>
          </cell>
          <cell r="V188">
            <v>7.5</v>
          </cell>
          <cell r="W188">
            <v>8.7333333333333325</v>
          </cell>
          <cell r="X188">
            <v>9.1999999999999993</v>
          </cell>
          <cell r="Y188">
            <v>17.399999999999999</v>
          </cell>
          <cell r="Z188">
            <v>16.733333333333334</v>
          </cell>
          <cell r="AA188">
            <v>25.733333333333334</v>
          </cell>
          <cell r="AB188">
            <v>52.333333333333336</v>
          </cell>
          <cell r="AC188">
            <v>45.166666666666664</v>
          </cell>
          <cell r="AD188">
            <v>24.966666666666665</v>
          </cell>
          <cell r="AE188">
            <v>24.6</v>
          </cell>
          <cell r="AF188">
            <v>26</v>
          </cell>
          <cell r="AG188">
            <v>24.6</v>
          </cell>
          <cell r="AH188">
            <v>20.166666666666668</v>
          </cell>
          <cell r="AI188">
            <v>38.733333333333334</v>
          </cell>
          <cell r="AJ188">
            <v>40.43333333333333</v>
          </cell>
          <cell r="AK188">
            <v>35.233333333333334</v>
          </cell>
          <cell r="AL188">
            <v>43.033333333333331</v>
          </cell>
          <cell r="AM188">
            <v>45.6</v>
          </cell>
          <cell r="AN188">
            <v>46.5</v>
          </cell>
          <cell r="AO188">
            <v>57.966666666666669</v>
          </cell>
          <cell r="AP188">
            <v>41.56666666666667</v>
          </cell>
          <cell r="AQ188">
            <v>47.2</v>
          </cell>
          <cell r="AR188">
            <v>61.4</v>
          </cell>
          <cell r="AS188">
            <v>46.3</v>
          </cell>
          <cell r="AT188">
            <v>90.7344827586207</v>
          </cell>
          <cell r="AU188">
            <v>84.66935483870968</v>
          </cell>
          <cell r="AV188">
            <v>93.958666666666673</v>
          </cell>
          <cell r="AW188">
            <v>77.533225806451625</v>
          </cell>
          <cell r="AX188">
            <v>74.644000000000005</v>
          </cell>
          <cell r="AY188">
            <v>75.121935483870971</v>
          </cell>
          <cell r="AZ188">
            <v>70.326129032258066</v>
          </cell>
          <cell r="BA188">
            <v>72.541666666666671</v>
          </cell>
          <cell r="BB188">
            <v>79.646774193548396</v>
          </cell>
          <cell r="BC188">
            <v>74.172666666666672</v>
          </cell>
          <cell r="BD188">
            <v>60.186774193548388</v>
          </cell>
          <cell r="BE188">
            <v>61.940161290322585</v>
          </cell>
          <cell r="BF188">
            <v>77.567678571428573</v>
          </cell>
          <cell r="BG188">
            <v>69.91637096774194</v>
          </cell>
          <cell r="BH188">
            <v>78.210833333333326</v>
          </cell>
          <cell r="BI188">
            <v>60.415362903225805</v>
          </cell>
          <cell r="BJ188">
            <v>71.481291666666664</v>
          </cell>
          <cell r="BK188">
            <v>62.199314516129036</v>
          </cell>
          <cell r="BL188">
            <v>49.883467741935483</v>
          </cell>
          <cell r="BM188">
            <v>60.082791666666665</v>
          </cell>
          <cell r="BN188">
            <v>70.295120967741937</v>
          </cell>
          <cell r="BO188">
            <v>94.302499999999995</v>
          </cell>
          <cell r="BP188">
            <v>98.322137096774185</v>
          </cell>
          <cell r="BQ188">
            <v>101.41165322580646</v>
          </cell>
          <cell r="BR188">
            <v>96.581339285714293</v>
          </cell>
          <cell r="BS188">
            <v>93.068629032258073</v>
          </cell>
          <cell r="BT188">
            <v>90.695625000000007</v>
          </cell>
          <cell r="BU188">
            <v>76.393669354838707</v>
          </cell>
          <cell r="BV188">
            <v>83.814416666666673</v>
          </cell>
          <cell r="BW188">
            <v>73.102661290322587</v>
          </cell>
          <cell r="BX188">
            <v>66.372338709677422</v>
          </cell>
          <cell r="BY188">
            <v>113.41420833333333</v>
          </cell>
          <cell r="BZ188">
            <v>64.016209677419354</v>
          </cell>
          <cell r="CA188">
            <v>87.937875000000005</v>
          </cell>
          <cell r="CB188">
            <v>84.566129032258075</v>
          </cell>
          <cell r="CC188">
            <v>82.150604838709683</v>
          </cell>
          <cell r="CD188">
            <v>72.157053571428577</v>
          </cell>
          <cell r="CE188">
            <v>62.261693548387093</v>
          </cell>
          <cell r="CF188">
            <v>67.364000000000004</v>
          </cell>
          <cell r="CG188">
            <v>64.067096774193558</v>
          </cell>
          <cell r="CH188">
            <v>75.970874999999992</v>
          </cell>
          <cell r="CI188">
            <v>0</v>
          </cell>
          <cell r="CJ188">
            <v>0</v>
          </cell>
          <cell r="CK188">
            <v>0</v>
          </cell>
          <cell r="CL188">
            <v>88.043478260869563</v>
          </cell>
          <cell r="CM188">
            <v>115.01111111111111</v>
          </cell>
          <cell r="CN188">
            <v>118.68131868131869</v>
          </cell>
          <cell r="CO188">
            <v>122.29347826086956</v>
          </cell>
          <cell r="CP188">
            <v>117.86301369863014</v>
          </cell>
          <cell r="CQ188">
            <v>129.64931506849314</v>
          </cell>
        </row>
        <row r="189">
          <cell r="N189" t="str">
            <v>LAR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0.2</v>
          </cell>
          <cell r="W189">
            <v>0.6</v>
          </cell>
          <cell r="X189">
            <v>1.1000000000000001</v>
          </cell>
          <cell r="Y189">
            <v>5.8</v>
          </cell>
          <cell r="Z189">
            <v>0.23333333333333334</v>
          </cell>
          <cell r="AA189">
            <v>0.26666666666666666</v>
          </cell>
          <cell r="AB189">
            <v>0.7</v>
          </cell>
          <cell r="AC189">
            <v>1.1333333333333333</v>
          </cell>
          <cell r="AD189">
            <v>1.4333333333333333</v>
          </cell>
          <cell r="AE189">
            <v>1.4666666666666666</v>
          </cell>
          <cell r="AF189">
            <v>2.7</v>
          </cell>
          <cell r="AG189">
            <v>1.8666666666666667</v>
          </cell>
          <cell r="AH189">
            <v>1.5333333333333334</v>
          </cell>
          <cell r="AI189">
            <v>2.5666666666666669</v>
          </cell>
          <cell r="AJ189">
            <v>2.5666666666666669</v>
          </cell>
          <cell r="AK189">
            <v>2.1</v>
          </cell>
          <cell r="AL189">
            <v>2.2000000000000002</v>
          </cell>
          <cell r="AM189">
            <v>8.2666666666666675</v>
          </cell>
          <cell r="AN189">
            <v>9.8000000000000007</v>
          </cell>
          <cell r="AO189">
            <v>11.2</v>
          </cell>
          <cell r="AP189">
            <v>2.2666666666666666</v>
          </cell>
          <cell r="AQ189">
            <v>3.0333333333333332</v>
          </cell>
          <cell r="AR189">
            <v>2.9333333333333331</v>
          </cell>
          <cell r="AS189">
            <v>2.7666666666666666</v>
          </cell>
          <cell r="AT189">
            <v>3.0663839203392955</v>
          </cell>
          <cell r="AU189">
            <v>7.9383589212811225</v>
          </cell>
          <cell r="AV189">
            <v>4.6245989304812838</v>
          </cell>
          <cell r="AW189">
            <v>6.8352021160370313</v>
          </cell>
          <cell r="AX189">
            <v>9.4250742721330951</v>
          </cell>
          <cell r="AY189">
            <v>5.4828359496291181</v>
          </cell>
          <cell r="AZ189">
            <v>12.647576332585819</v>
          </cell>
          <cell r="BA189">
            <v>18.845751633986929</v>
          </cell>
          <cell r="BB189">
            <v>26.368926456212982</v>
          </cell>
          <cell r="BC189">
            <v>26.8235104</v>
          </cell>
          <cell r="BD189">
            <v>26.067923096774194</v>
          </cell>
          <cell r="BE189">
            <v>7.1482002580645165</v>
          </cell>
          <cell r="BF189">
            <v>5.4917254285714288</v>
          </cell>
          <cell r="BG189">
            <v>14.575682838709676</v>
          </cell>
          <cell r="BH189">
            <v>16.588167199999997</v>
          </cell>
          <cell r="BI189">
            <v>19.119991225806451</v>
          </cell>
          <cell r="BJ189">
            <v>13.4547496</v>
          </cell>
          <cell r="BK189">
            <v>9.1930095483870975</v>
          </cell>
          <cell r="BL189">
            <v>5.826428903225807</v>
          </cell>
          <cell r="BM189">
            <v>5.1630744000000002</v>
          </cell>
          <cell r="BN189">
            <v>3.2384779354838709</v>
          </cell>
          <cell r="BO189">
            <v>9.1723765333333329</v>
          </cell>
          <cell r="BP189">
            <v>11.596920774193549</v>
          </cell>
          <cell r="BQ189">
            <v>8.8252178064516134</v>
          </cell>
          <cell r="BR189">
            <v>5.3111591428571421</v>
          </cell>
          <cell r="BS189">
            <v>5.4992663225806453</v>
          </cell>
          <cell r="BT189">
            <v>4.562639466666667</v>
          </cell>
          <cell r="BU189">
            <v>2.6042371612903223</v>
          </cell>
          <cell r="BV189">
            <v>3.3555256</v>
          </cell>
          <cell r="BW189">
            <v>3.371299612903226</v>
          </cell>
          <cell r="BX189">
            <v>5.0789329032258062</v>
          </cell>
          <cell r="BY189">
            <v>15.593884533333334</v>
          </cell>
          <cell r="BZ189">
            <v>19.466490064516126</v>
          </cell>
          <cell r="CA189">
            <v>13.093132799999999</v>
          </cell>
          <cell r="CB189">
            <v>17.291333677419352</v>
          </cell>
          <cell r="CC189">
            <v>16.830486193548388</v>
          </cell>
          <cell r="CD189">
            <v>21.938548857142855</v>
          </cell>
          <cell r="CE189">
            <v>9.0735966451612899</v>
          </cell>
          <cell r="CF189">
            <v>13.894862400000001</v>
          </cell>
          <cell r="CG189">
            <v>14.422086193548386</v>
          </cell>
          <cell r="CH189">
            <v>18.926931733333333</v>
          </cell>
          <cell r="CI189">
            <v>0</v>
          </cell>
          <cell r="CJ189">
            <v>0</v>
          </cell>
          <cell r="CK189">
            <v>0</v>
          </cell>
          <cell r="CL189">
            <v>19.565217391304348</v>
          </cell>
          <cell r="CM189">
            <v>15</v>
          </cell>
          <cell r="CN189">
            <v>19.780219780219781</v>
          </cell>
          <cell r="CO189">
            <v>19.565217391304348</v>
          </cell>
          <cell r="CP189">
            <v>24.657534246575342</v>
          </cell>
          <cell r="CQ189">
            <v>27.123287671232877</v>
          </cell>
        </row>
        <row r="190">
          <cell r="N190" t="str">
            <v>LOX</v>
          </cell>
          <cell r="R190">
            <v>0.96666666666666667</v>
          </cell>
          <cell r="S190">
            <v>2.1333333333333333</v>
          </cell>
          <cell r="T190">
            <v>4.5666666666666664</v>
          </cell>
          <cell r="U190">
            <v>4.6333333333333329</v>
          </cell>
          <cell r="V190">
            <v>19.399999999999999</v>
          </cell>
          <cell r="W190">
            <v>21.366666666666667</v>
          </cell>
          <cell r="X190">
            <v>49.033333333333339</v>
          </cell>
          <cell r="Y190">
            <v>55.8</v>
          </cell>
          <cell r="Z190">
            <v>61.433333333333337</v>
          </cell>
          <cell r="AA190">
            <v>100.1</v>
          </cell>
          <cell r="AB190">
            <v>106.23333333333333</v>
          </cell>
          <cell r="AC190">
            <v>102.63333333333334</v>
          </cell>
          <cell r="AD190">
            <v>73.900000000000006</v>
          </cell>
          <cell r="AE190">
            <v>85.13333333333334</v>
          </cell>
          <cell r="AF190">
            <v>72.833333333333329</v>
          </cell>
          <cell r="AG190">
            <v>99.033333333333317</v>
          </cell>
          <cell r="AH190">
            <v>56.033333333333331</v>
          </cell>
          <cell r="AI190">
            <v>101.43333333333334</v>
          </cell>
          <cell r="AJ190">
            <v>120.76666666666665</v>
          </cell>
          <cell r="AK190">
            <v>113.43333333333332</v>
          </cell>
          <cell r="AL190">
            <v>121.93333333333334</v>
          </cell>
          <cell r="AM190">
            <v>129.66666666666669</v>
          </cell>
          <cell r="AN190">
            <v>150.83333333333334</v>
          </cell>
          <cell r="AO190">
            <v>166.43333333333334</v>
          </cell>
          <cell r="AP190">
            <v>113.96666666666668</v>
          </cell>
          <cell r="AQ190">
            <v>125.03333333333333</v>
          </cell>
          <cell r="AR190">
            <v>143.96666666666667</v>
          </cell>
          <cell r="AS190">
            <v>117.7</v>
          </cell>
          <cell r="AT190">
            <v>171.0360390927531</v>
          </cell>
          <cell r="AU190">
            <v>203.41610085676501</v>
          </cell>
          <cell r="AV190">
            <v>220.61593226381461</v>
          </cell>
          <cell r="AW190">
            <v>190.82957999622138</v>
          </cell>
          <cell r="AX190">
            <v>181.3080742721331</v>
          </cell>
          <cell r="AY190">
            <v>182.18122304640329</v>
          </cell>
          <cell r="AZ190">
            <v>196.48840582567337</v>
          </cell>
          <cell r="BA190">
            <v>209.51575163398695</v>
          </cell>
          <cell r="BB190">
            <v>222.10634581105171</v>
          </cell>
          <cell r="BC190">
            <v>201.52779873333333</v>
          </cell>
          <cell r="BD190">
            <v>201.83241761290321</v>
          </cell>
          <cell r="BE190">
            <v>156.12240541935483</v>
          </cell>
          <cell r="BF190">
            <v>189.81355150000002</v>
          </cell>
          <cell r="BG190">
            <v>224.33124638709677</v>
          </cell>
          <cell r="BH190">
            <v>214.5617865333333</v>
          </cell>
          <cell r="BI190">
            <v>174.31870638709674</v>
          </cell>
          <cell r="BJ190">
            <v>178.03471359999998</v>
          </cell>
          <cell r="BK190">
            <v>163.42878470967742</v>
          </cell>
          <cell r="BL190">
            <v>101.39327632258063</v>
          </cell>
          <cell r="BM190">
            <v>126.73348273333332</v>
          </cell>
          <cell r="BN190">
            <v>135.22619761290323</v>
          </cell>
          <cell r="BO190">
            <v>182.70402653333332</v>
          </cell>
          <cell r="BP190">
            <v>182.67819593548387</v>
          </cell>
          <cell r="BQ190">
            <v>189.71271909677418</v>
          </cell>
          <cell r="BR190">
            <v>169.52363342857143</v>
          </cell>
          <cell r="BS190">
            <v>196.73919438709677</v>
          </cell>
          <cell r="BT190">
            <v>195.89746980000001</v>
          </cell>
          <cell r="BU190">
            <v>165.34352070967739</v>
          </cell>
          <cell r="BV190">
            <v>180.73241126666667</v>
          </cell>
          <cell r="BW190">
            <v>135.55265799999998</v>
          </cell>
          <cell r="BX190">
            <v>117.70360677419355</v>
          </cell>
          <cell r="BY190">
            <v>207.92392986666664</v>
          </cell>
          <cell r="BZ190">
            <v>163.38044393548387</v>
          </cell>
          <cell r="CA190">
            <v>197.84105446666666</v>
          </cell>
          <cell r="CB190">
            <v>206.55841851612902</v>
          </cell>
          <cell r="CC190">
            <v>221.40565135483871</v>
          </cell>
          <cell r="CD190">
            <v>171.14686242857141</v>
          </cell>
          <cell r="CE190">
            <v>174.00495406451614</v>
          </cell>
          <cell r="CF190">
            <v>180.21691206666665</v>
          </cell>
          <cell r="CG190">
            <v>186.84627974193546</v>
          </cell>
          <cell r="CH190">
            <v>200.07735739999998</v>
          </cell>
          <cell r="CI190">
            <v>0</v>
          </cell>
          <cell r="CJ190">
            <v>0</v>
          </cell>
          <cell r="CK190">
            <v>0</v>
          </cell>
          <cell r="CL190">
            <v>215.21739130434781</v>
          </cell>
          <cell r="CM190">
            <v>245.01111111111112</v>
          </cell>
          <cell r="CN190">
            <v>286.8131868131868</v>
          </cell>
          <cell r="CO190">
            <v>288.5978260869565</v>
          </cell>
          <cell r="CP190">
            <v>305.2602739726027</v>
          </cell>
          <cell r="CQ190">
            <v>335.78630136986305</v>
          </cell>
        </row>
        <row r="191">
          <cell r="N191" t="str">
            <v>LIN</v>
          </cell>
          <cell r="R191">
            <v>0.96666666666666667</v>
          </cell>
          <cell r="S191">
            <v>2.1333333333333333</v>
          </cell>
          <cell r="T191">
            <v>4.5666666666666664</v>
          </cell>
          <cell r="U191">
            <v>4.333333333333333</v>
          </cell>
          <cell r="V191">
            <v>7.5</v>
          </cell>
          <cell r="W191">
            <v>8.7333333333333325</v>
          </cell>
          <cell r="X191">
            <v>9.1999999999999993</v>
          </cell>
          <cell r="Y191">
            <v>17.399999999999999</v>
          </cell>
          <cell r="Z191">
            <v>16.733333333333334</v>
          </cell>
          <cell r="AA191">
            <v>25.733333333333334</v>
          </cell>
          <cell r="AB191">
            <v>52.333333333333336</v>
          </cell>
          <cell r="AC191">
            <v>45.166666666666664</v>
          </cell>
          <cell r="AD191">
            <v>24.966666666666665</v>
          </cell>
          <cell r="AE191">
            <v>24.6</v>
          </cell>
          <cell r="AF191">
            <v>26</v>
          </cell>
          <cell r="AG191">
            <v>24.6</v>
          </cell>
          <cell r="AH191">
            <v>20.166666666666668</v>
          </cell>
          <cell r="AI191">
            <v>38.733333333333334</v>
          </cell>
          <cell r="AJ191">
            <v>40.43333333333333</v>
          </cell>
          <cell r="AK191">
            <v>35.233333333333334</v>
          </cell>
          <cell r="AL191">
            <v>43.033333333333331</v>
          </cell>
          <cell r="AM191">
            <v>45.6</v>
          </cell>
          <cell r="AN191">
            <v>46.5</v>
          </cell>
          <cell r="AO191">
            <v>57.966666666666669</v>
          </cell>
          <cell r="AP191">
            <v>41.56666666666667</v>
          </cell>
          <cell r="AQ191">
            <v>47.2</v>
          </cell>
          <cell r="AR191">
            <v>61.4</v>
          </cell>
          <cell r="AS191">
            <v>46.3</v>
          </cell>
          <cell r="AT191">
            <v>90.7344827586207</v>
          </cell>
          <cell r="AU191">
            <v>84.66935483870968</v>
          </cell>
          <cell r="AV191">
            <v>93.958666666666673</v>
          </cell>
          <cell r="AW191">
            <v>77.533225806451625</v>
          </cell>
          <cell r="AX191">
            <v>74.644000000000005</v>
          </cell>
          <cell r="AY191">
            <v>75.121935483870971</v>
          </cell>
          <cell r="AZ191">
            <v>70.326129032258066</v>
          </cell>
          <cell r="BA191">
            <v>72.541666666666671</v>
          </cell>
          <cell r="BB191">
            <v>79.646774193548396</v>
          </cell>
          <cell r="BC191">
            <v>74.172666666666672</v>
          </cell>
          <cell r="BD191">
            <v>60.186774193548388</v>
          </cell>
          <cell r="BE191">
            <v>61.940161290322585</v>
          </cell>
          <cell r="BF191">
            <v>77.567678571428573</v>
          </cell>
          <cell r="BG191">
            <v>69.91637096774194</v>
          </cell>
          <cell r="BH191">
            <v>78.210833333333326</v>
          </cell>
          <cell r="BI191">
            <v>60.415362903225805</v>
          </cell>
          <cell r="BJ191">
            <v>71.481291666666664</v>
          </cell>
          <cell r="BK191">
            <v>62.199314516129036</v>
          </cell>
          <cell r="BL191">
            <v>49.883467741935483</v>
          </cell>
          <cell r="BM191">
            <v>60.082791666666665</v>
          </cell>
          <cell r="BN191">
            <v>70.295120967741937</v>
          </cell>
          <cell r="BO191">
            <v>94.302499999999995</v>
          </cell>
          <cell r="BP191">
            <v>98.322137096774185</v>
          </cell>
          <cell r="BQ191">
            <v>101.41165322580646</v>
          </cell>
          <cell r="BR191">
            <v>96.581339285714293</v>
          </cell>
          <cell r="BS191">
            <v>93.068629032258073</v>
          </cell>
          <cell r="BT191">
            <v>90.695625000000007</v>
          </cell>
          <cell r="BU191">
            <v>76.393669354838707</v>
          </cell>
          <cell r="BV191">
            <v>83.814416666666673</v>
          </cell>
          <cell r="BW191">
            <v>73.102661290322587</v>
          </cell>
          <cell r="BX191">
            <v>66.372338709677422</v>
          </cell>
          <cell r="BY191">
            <v>113.41420833333333</v>
          </cell>
          <cell r="BZ191">
            <v>64.016209677419354</v>
          </cell>
          <cell r="CA191">
            <v>87.937875000000005</v>
          </cell>
          <cell r="CB191">
            <v>84.566129032258075</v>
          </cell>
          <cell r="CC191">
            <v>82.150604838709683</v>
          </cell>
          <cell r="CD191">
            <v>72.157053571428577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88.043478260869563</v>
          </cell>
          <cell r="CM191">
            <v>115.01111111111111</v>
          </cell>
          <cell r="CN191">
            <v>118.68131868131869</v>
          </cell>
          <cell r="CO191">
            <v>122.29347826086956</v>
          </cell>
          <cell r="CP191">
            <v>117.86301369863014</v>
          </cell>
          <cell r="CQ191">
            <v>129.64931506849314</v>
          </cell>
        </row>
        <row r="192">
          <cell r="N192" t="str">
            <v>LAR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0.2</v>
          </cell>
          <cell r="W192">
            <v>0.6</v>
          </cell>
          <cell r="X192">
            <v>1.1000000000000001</v>
          </cell>
          <cell r="Y192">
            <v>5.8</v>
          </cell>
          <cell r="Z192">
            <v>0.23333333333333334</v>
          </cell>
          <cell r="AA192">
            <v>0.26666666666666666</v>
          </cell>
          <cell r="AB192">
            <v>0.7</v>
          </cell>
          <cell r="AC192">
            <v>1.1333333333333333</v>
          </cell>
          <cell r="AD192">
            <v>1.4333333333333333</v>
          </cell>
          <cell r="AE192">
            <v>1.4666666666666666</v>
          </cell>
          <cell r="AF192">
            <v>2.7</v>
          </cell>
          <cell r="AG192">
            <v>1.8666666666666667</v>
          </cell>
          <cell r="AH192">
            <v>1.5333333333333334</v>
          </cell>
          <cell r="AI192">
            <v>2.5666666666666669</v>
          </cell>
          <cell r="AJ192">
            <v>2.5666666666666669</v>
          </cell>
          <cell r="AK192">
            <v>2.1</v>
          </cell>
          <cell r="AL192">
            <v>2.2000000000000002</v>
          </cell>
          <cell r="AM192">
            <v>8.2666666666666675</v>
          </cell>
          <cell r="AN192">
            <v>9.8000000000000007</v>
          </cell>
          <cell r="AO192">
            <v>11.2</v>
          </cell>
          <cell r="AP192">
            <v>2.2666666666666666</v>
          </cell>
          <cell r="AQ192">
            <v>3.0333333333333332</v>
          </cell>
          <cell r="AR192">
            <v>2.9333333333333331</v>
          </cell>
          <cell r="AS192">
            <v>2.7666666666666666</v>
          </cell>
          <cell r="AT192">
            <v>3.0663839203392955</v>
          </cell>
          <cell r="AU192">
            <v>7.9383589212811225</v>
          </cell>
          <cell r="AV192">
            <v>4.6245989304812838</v>
          </cell>
          <cell r="AW192">
            <v>6.8352021160370313</v>
          </cell>
          <cell r="AX192">
            <v>9.4250742721330951</v>
          </cell>
          <cell r="AY192">
            <v>5.4828359496291181</v>
          </cell>
          <cell r="AZ192">
            <v>12.647576332585819</v>
          </cell>
          <cell r="BA192">
            <v>18.845751633986929</v>
          </cell>
          <cell r="BB192">
            <v>26.368926456212982</v>
          </cell>
          <cell r="BC192">
            <v>26.8235104</v>
          </cell>
          <cell r="BD192">
            <v>26.067923096774194</v>
          </cell>
          <cell r="BE192">
            <v>7.1482002580645165</v>
          </cell>
          <cell r="BF192">
            <v>5.4917254285714288</v>
          </cell>
          <cell r="BG192">
            <v>14.575682838709676</v>
          </cell>
          <cell r="BH192">
            <v>16.588167199999997</v>
          </cell>
          <cell r="BI192">
            <v>19.119991225806451</v>
          </cell>
          <cell r="BJ192">
            <v>13.4547496</v>
          </cell>
          <cell r="BK192">
            <v>9.1930095483870975</v>
          </cell>
          <cell r="BL192">
            <v>5.826428903225807</v>
          </cell>
          <cell r="BM192">
            <v>5.1630744000000002</v>
          </cell>
          <cell r="BN192">
            <v>3.2384779354838709</v>
          </cell>
          <cell r="BO192">
            <v>9.1723765333333329</v>
          </cell>
          <cell r="BP192">
            <v>11.596920774193549</v>
          </cell>
          <cell r="BQ192">
            <v>8.8252178064516134</v>
          </cell>
          <cell r="BR192">
            <v>5.3111591428571421</v>
          </cell>
          <cell r="BS192">
            <v>5.4992663225806453</v>
          </cell>
          <cell r="BT192">
            <v>4.562639466666667</v>
          </cell>
          <cell r="BU192">
            <v>2.6042371612903223</v>
          </cell>
          <cell r="BV192">
            <v>3.3555256</v>
          </cell>
          <cell r="BW192">
            <v>3.371299612903226</v>
          </cell>
          <cell r="BX192">
            <v>5.0789329032258062</v>
          </cell>
          <cell r="BY192">
            <v>15.593884533333334</v>
          </cell>
          <cell r="BZ192">
            <v>19.466490064516126</v>
          </cell>
          <cell r="CA192">
            <v>13.093132799999999</v>
          </cell>
          <cell r="CB192">
            <v>17.291333677419352</v>
          </cell>
          <cell r="CC192">
            <v>16.830486193548388</v>
          </cell>
          <cell r="CD192">
            <v>21.938548857142855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19.565217391304348</v>
          </cell>
          <cell r="CM192">
            <v>15</v>
          </cell>
          <cell r="CN192">
            <v>19.780219780219781</v>
          </cell>
          <cell r="CO192">
            <v>19.565217391304348</v>
          </cell>
          <cell r="CP192">
            <v>24.657534246575342</v>
          </cell>
          <cell r="CQ192">
            <v>27.123287671232877</v>
          </cell>
        </row>
        <row r="193">
          <cell r="N193" t="str">
            <v>APNJL</v>
          </cell>
          <cell r="R193">
            <v>0.96666666666666667</v>
          </cell>
          <cell r="S193">
            <v>2.1333333333333333</v>
          </cell>
          <cell r="T193">
            <v>4.5666666666666664</v>
          </cell>
          <cell r="U193">
            <v>4.6333333333333329</v>
          </cell>
          <cell r="V193">
            <v>19.399999999999999</v>
          </cell>
          <cell r="W193">
            <v>21.366666666666667</v>
          </cell>
          <cell r="X193">
            <v>49.033333333333339</v>
          </cell>
          <cell r="Y193">
            <v>55.8</v>
          </cell>
          <cell r="Z193">
            <v>61.433333333333337</v>
          </cell>
          <cell r="AA193">
            <v>100.1</v>
          </cell>
          <cell r="AB193">
            <v>106.23333333333333</v>
          </cell>
          <cell r="AC193">
            <v>102.63333333333334</v>
          </cell>
          <cell r="AD193">
            <v>73.900000000000006</v>
          </cell>
          <cell r="AE193">
            <v>85.13333333333334</v>
          </cell>
          <cell r="AF193">
            <v>72.833333333333329</v>
          </cell>
          <cell r="AG193">
            <v>99.033333333333317</v>
          </cell>
          <cell r="AH193">
            <v>56.033333333333331</v>
          </cell>
          <cell r="AI193">
            <v>101.43333333333334</v>
          </cell>
          <cell r="AJ193">
            <v>120.76666666666665</v>
          </cell>
          <cell r="AK193">
            <v>113.43333333333332</v>
          </cell>
          <cell r="AL193">
            <v>121.93333333333334</v>
          </cell>
          <cell r="AM193">
            <v>129.66666666666669</v>
          </cell>
          <cell r="AN193">
            <v>150.83333333333334</v>
          </cell>
          <cell r="AO193">
            <v>166.43333333333334</v>
          </cell>
          <cell r="AP193">
            <v>113.96666666666668</v>
          </cell>
          <cell r="AQ193">
            <v>125.03333333333333</v>
          </cell>
          <cell r="AR193">
            <v>143.96666666666667</v>
          </cell>
          <cell r="AS193">
            <v>117.7</v>
          </cell>
          <cell r="AT193">
            <v>171.0360390927531</v>
          </cell>
          <cell r="AU193">
            <v>203.41610085676501</v>
          </cell>
          <cell r="AV193">
            <v>220.61593226381461</v>
          </cell>
          <cell r="AW193">
            <v>190.82957999622138</v>
          </cell>
          <cell r="AX193">
            <v>181.3080742721331</v>
          </cell>
          <cell r="AY193">
            <v>182.18122304640329</v>
          </cell>
          <cell r="AZ193">
            <v>196.48840582567337</v>
          </cell>
          <cell r="BA193">
            <v>209.51575163398695</v>
          </cell>
          <cell r="BB193">
            <v>222.10634581105171</v>
          </cell>
          <cell r="BC193">
            <v>201.52779873333333</v>
          </cell>
          <cell r="BD193">
            <v>201.83241761290321</v>
          </cell>
          <cell r="BE193">
            <v>156.12240541935483</v>
          </cell>
          <cell r="BF193">
            <v>189.81355150000002</v>
          </cell>
          <cell r="BG193">
            <v>224.33124638709677</v>
          </cell>
          <cell r="BH193">
            <v>214.5617865333333</v>
          </cell>
          <cell r="BI193">
            <v>174.31870638709674</v>
          </cell>
          <cell r="BJ193">
            <v>178.03471359999998</v>
          </cell>
          <cell r="BK193">
            <v>163.42878470967742</v>
          </cell>
          <cell r="BL193">
            <v>101.39327632258063</v>
          </cell>
          <cell r="BM193">
            <v>126.73348273333332</v>
          </cell>
          <cell r="BN193">
            <v>135.22619761290323</v>
          </cell>
          <cell r="BO193">
            <v>182.70402653333332</v>
          </cell>
          <cell r="BP193">
            <v>182.67819593548387</v>
          </cell>
          <cell r="BQ193">
            <v>189.71271909677418</v>
          </cell>
          <cell r="BR193">
            <v>169.52363342857143</v>
          </cell>
          <cell r="BS193">
            <v>196.73919438709677</v>
          </cell>
          <cell r="BT193">
            <v>195.89746980000001</v>
          </cell>
          <cell r="BU193">
            <v>165.34352070967739</v>
          </cell>
          <cell r="BV193">
            <v>180.73241126666667</v>
          </cell>
          <cell r="BW193">
            <v>135.55265799999998</v>
          </cell>
          <cell r="BX193">
            <v>117.70360677419355</v>
          </cell>
          <cell r="BY193">
            <v>207.92392986666664</v>
          </cell>
          <cell r="BZ193">
            <v>163.38044393548387</v>
          </cell>
          <cell r="CA193">
            <v>197.84105446666666</v>
          </cell>
          <cell r="CB193">
            <v>206.55841851612902</v>
          </cell>
          <cell r="CC193">
            <v>221.40565135483871</v>
          </cell>
          <cell r="CD193">
            <v>171.14686242857141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215.21739130434781</v>
          </cell>
          <cell r="CM193">
            <v>245.01111111111112</v>
          </cell>
          <cell r="CN193">
            <v>286.8131868131868</v>
          </cell>
          <cell r="CO193">
            <v>288.5978260869565</v>
          </cell>
          <cell r="CP193">
            <v>305.2602739726027</v>
          </cell>
          <cell r="CQ193">
            <v>335.78630136986305</v>
          </cell>
        </row>
        <row r="194">
          <cell r="N194" t="str">
            <v>LOX</v>
          </cell>
          <cell r="AQ194">
            <v>0.73333333333333328</v>
          </cell>
          <cell r="AR194">
            <v>2.6666666666666665</v>
          </cell>
          <cell r="AS194">
            <v>4.7</v>
          </cell>
          <cell r="AT194">
            <v>2.5517241379310347</v>
          </cell>
          <cell r="AU194">
            <v>15.106774193548388</v>
          </cell>
          <cell r="AV194">
            <v>7.8666666666666663</v>
          </cell>
          <cell r="AW194">
            <v>19.193548387096776</v>
          </cell>
          <cell r="AX194">
            <v>18.600000000000001</v>
          </cell>
          <cell r="AY194">
            <v>16.06451612903226</v>
          </cell>
          <cell r="AZ194">
            <v>13.806451612903226</v>
          </cell>
          <cell r="BA194">
            <v>17.733333333333334</v>
          </cell>
          <cell r="BB194">
            <v>17.451612903225808</v>
          </cell>
          <cell r="BC194">
            <v>20.9</v>
          </cell>
          <cell r="BD194">
            <v>15.96774193548387</v>
          </cell>
          <cell r="BE194">
            <v>17.096774193548388</v>
          </cell>
          <cell r="BF194">
            <v>23.892857142857142</v>
          </cell>
          <cell r="BG194">
            <v>35.806451612903224</v>
          </cell>
          <cell r="BH194">
            <v>36.06666666666667</v>
          </cell>
          <cell r="BI194">
            <v>34.87096774193548</v>
          </cell>
          <cell r="BJ194">
            <v>34.366666666666667</v>
          </cell>
          <cell r="BK194">
            <v>25.419354838709676</v>
          </cell>
          <cell r="BL194">
            <v>17.387096774193548</v>
          </cell>
          <cell r="BM194">
            <v>21.433333333333334</v>
          </cell>
          <cell r="BN194">
            <v>23.29032258064516</v>
          </cell>
          <cell r="BO194">
            <v>26.633333333333333</v>
          </cell>
          <cell r="BP194">
            <v>24.903225806451612</v>
          </cell>
          <cell r="BQ194">
            <v>20.806451612903224</v>
          </cell>
          <cell r="BR194">
            <v>13.678571428571429</v>
          </cell>
          <cell r="BS194">
            <v>27.677419354838708</v>
          </cell>
          <cell r="BT194">
            <v>34.799999999999997</v>
          </cell>
          <cell r="BU194">
            <v>52.483870967741936</v>
          </cell>
          <cell r="BV194">
            <v>92.533333333333331</v>
          </cell>
          <cell r="BW194">
            <v>106.90322580645162</v>
          </cell>
          <cell r="BX194">
            <v>122.7741935483871</v>
          </cell>
          <cell r="BY194">
            <v>74.900000000000006</v>
          </cell>
          <cell r="BZ194">
            <v>35.29032258064516</v>
          </cell>
          <cell r="CA194">
            <v>54.633333333333333</v>
          </cell>
          <cell r="CB194">
            <v>68.741935483870961</v>
          </cell>
          <cell r="CC194">
            <v>97.612903225806448</v>
          </cell>
          <cell r="CD194">
            <v>67.464285714285708</v>
          </cell>
          <cell r="CE194">
            <v>88.806451612903231</v>
          </cell>
          <cell r="CF194">
            <v>77.433333333333337</v>
          </cell>
          <cell r="CG194">
            <v>97.225806451612897</v>
          </cell>
          <cell r="CH194">
            <v>88.833333333333329</v>
          </cell>
          <cell r="CI194">
            <v>0</v>
          </cell>
          <cell r="CJ194">
            <v>0</v>
          </cell>
          <cell r="CK194">
            <v>0</v>
          </cell>
          <cell r="CL194">
            <v>97.369565217391298</v>
          </cell>
          <cell r="CM194">
            <v>98.86666666666666</v>
          </cell>
          <cell r="CN194">
            <v>132.06593406593407</v>
          </cell>
          <cell r="CO194">
            <v>141.39130434782609</v>
          </cell>
          <cell r="CP194">
            <v>145.92328767123288</v>
          </cell>
          <cell r="CQ194">
            <v>152.08767123287672</v>
          </cell>
        </row>
        <row r="195">
          <cell r="N195" t="str">
            <v>LIN</v>
          </cell>
          <cell r="AP195">
            <v>0.66666666666666663</v>
          </cell>
          <cell r="AQ195">
            <v>0.6333333333333333</v>
          </cell>
          <cell r="AR195">
            <v>2.2000000000000002</v>
          </cell>
          <cell r="AS195">
            <v>2.9666666666666668</v>
          </cell>
          <cell r="AT195">
            <v>3.8620689655172415</v>
          </cell>
          <cell r="AU195">
            <v>5.9748387096774191</v>
          </cell>
          <cell r="AV195">
            <v>15.966666666666667</v>
          </cell>
          <cell r="AW195">
            <v>6.032258064516129</v>
          </cell>
          <cell r="AX195">
            <v>6.666666666666667</v>
          </cell>
          <cell r="AY195">
            <v>5.580645161290323</v>
          </cell>
          <cell r="AZ195">
            <v>6.161290322580645</v>
          </cell>
          <cell r="BA195">
            <v>11.333333333333334</v>
          </cell>
          <cell r="BB195">
            <v>10</v>
          </cell>
          <cell r="BC195">
            <v>11.566666666666666</v>
          </cell>
          <cell r="BD195">
            <v>9.870967741935484</v>
          </cell>
          <cell r="BE195">
            <v>10.32258064516129</v>
          </cell>
          <cell r="BF195">
            <v>14.285714285714286</v>
          </cell>
          <cell r="BG195">
            <v>13.870967741935484</v>
          </cell>
          <cell r="BH195">
            <v>17.033333333333335</v>
          </cell>
          <cell r="BI195">
            <v>15.64516129032258</v>
          </cell>
          <cell r="BJ195">
            <v>19.466666666666665</v>
          </cell>
          <cell r="BK195">
            <v>14.258064516129032</v>
          </cell>
          <cell r="BL195">
            <v>17.129032258064516</v>
          </cell>
          <cell r="BM195">
            <v>21.666666666666668</v>
          </cell>
          <cell r="BN195">
            <v>17.967741935483872</v>
          </cell>
          <cell r="BO195">
            <v>17.066666666666666</v>
          </cell>
          <cell r="BP195">
            <v>16.774193548387096</v>
          </cell>
          <cell r="BQ195">
            <v>16.548387096774192</v>
          </cell>
          <cell r="BR195">
            <v>16.928571428571427</v>
          </cell>
          <cell r="BS195">
            <v>18.032258064516128</v>
          </cell>
          <cell r="BT195">
            <v>22.833333333333332</v>
          </cell>
          <cell r="BU195">
            <v>17.06451612903226</v>
          </cell>
          <cell r="BV195">
            <v>25.866666666666667</v>
          </cell>
          <cell r="BW195">
            <v>15.64516129032258</v>
          </cell>
          <cell r="BX195">
            <v>21</v>
          </cell>
          <cell r="BY195">
            <v>30.166666666666668</v>
          </cell>
          <cell r="BZ195">
            <v>17.580645161290324</v>
          </cell>
          <cell r="CA195">
            <v>19.966666666666665</v>
          </cell>
          <cell r="CB195">
            <v>19.096774193548388</v>
          </cell>
          <cell r="CC195">
            <v>32.483870967741936</v>
          </cell>
          <cell r="CD195">
            <v>33</v>
          </cell>
          <cell r="CE195">
            <v>26.741935483870968</v>
          </cell>
          <cell r="CF195">
            <v>27.166666666666668</v>
          </cell>
          <cell r="CG195">
            <v>25.903225806451612</v>
          </cell>
          <cell r="CH195">
            <v>28.466666666666665</v>
          </cell>
          <cell r="CI195">
            <v>0</v>
          </cell>
          <cell r="CJ195">
            <v>0</v>
          </cell>
          <cell r="CK195">
            <v>0</v>
          </cell>
          <cell r="CL195">
            <v>45.978260869565219</v>
          </cell>
          <cell r="CM195">
            <v>47.333333333333336</v>
          </cell>
          <cell r="CN195">
            <v>57.692307692307693</v>
          </cell>
          <cell r="CO195">
            <v>63.260869565217391</v>
          </cell>
          <cell r="CP195">
            <v>67.958904109589042</v>
          </cell>
          <cell r="CQ195">
            <v>85.454794520547949</v>
          </cell>
        </row>
        <row r="196">
          <cell r="N196" t="str">
            <v>LAR</v>
          </cell>
          <cell r="BC196">
            <v>0</v>
          </cell>
          <cell r="BD196">
            <v>1.8709677419354838</v>
          </cell>
          <cell r="BE196">
            <v>3.2580645161290325</v>
          </cell>
          <cell r="BF196">
            <v>2.1071428571428572</v>
          </cell>
          <cell r="BG196">
            <v>1.4516129032258065</v>
          </cell>
          <cell r="BH196">
            <v>1.6333333333333333</v>
          </cell>
          <cell r="BI196">
            <v>1.7096774193548387</v>
          </cell>
          <cell r="BJ196">
            <v>2.5666666666666669</v>
          </cell>
          <cell r="BK196">
            <v>1.1612903225806452</v>
          </cell>
          <cell r="BL196">
            <v>1.3870967741935485</v>
          </cell>
          <cell r="BM196">
            <v>3.3666666666666667</v>
          </cell>
          <cell r="BN196">
            <v>2.129032258064516</v>
          </cell>
          <cell r="BO196">
            <v>1.9</v>
          </cell>
          <cell r="BP196">
            <v>2.2580645161290325</v>
          </cell>
          <cell r="BQ196">
            <v>2.4838709677419355</v>
          </cell>
          <cell r="BR196">
            <v>1.9285714285714286</v>
          </cell>
          <cell r="BS196">
            <v>2.161290322580645</v>
          </cell>
          <cell r="BT196">
            <v>1.4666666666666666</v>
          </cell>
          <cell r="BU196">
            <v>0.90322580645161288</v>
          </cell>
          <cell r="BV196">
            <v>2.3666666666666667</v>
          </cell>
          <cell r="BW196">
            <v>1.5161290322580645</v>
          </cell>
          <cell r="BX196">
            <v>2</v>
          </cell>
          <cell r="BY196">
            <v>2.3666666666666667</v>
          </cell>
          <cell r="BZ196">
            <v>0.87096774193548387</v>
          </cell>
          <cell r="CA196">
            <v>3.0666666666666669</v>
          </cell>
          <cell r="CB196">
            <v>2.903225806451613</v>
          </cell>
          <cell r="CC196">
            <v>4.161290322580645</v>
          </cell>
          <cell r="CD196">
            <v>3.6428571428571428</v>
          </cell>
          <cell r="CE196">
            <v>6.225806451612903</v>
          </cell>
          <cell r="CF196">
            <v>7.3666666666666663</v>
          </cell>
          <cell r="CG196">
            <v>12.483870967741936</v>
          </cell>
          <cell r="CH196">
            <v>7.4</v>
          </cell>
          <cell r="CI196">
            <v>0</v>
          </cell>
          <cell r="CJ196">
            <v>0</v>
          </cell>
          <cell r="CK196">
            <v>0</v>
          </cell>
          <cell r="CL196">
            <v>23.315217391304348</v>
          </cell>
          <cell r="CM196">
            <v>23.166666666666668</v>
          </cell>
          <cell r="CN196">
            <v>27.527472527472529</v>
          </cell>
          <cell r="CO196">
            <v>30.815217391304348</v>
          </cell>
          <cell r="CP196">
            <v>33.205479452054796</v>
          </cell>
          <cell r="CQ196">
            <v>38.136986301369866</v>
          </cell>
        </row>
        <row r="197">
          <cell r="N197" t="str">
            <v>LOX</v>
          </cell>
          <cell r="AP197">
            <v>0.66666666666666663</v>
          </cell>
          <cell r="AQ197">
            <v>1.3666666666666667</v>
          </cell>
          <cell r="AR197">
            <v>4.8666666666666671</v>
          </cell>
          <cell r="AS197">
            <v>7.666666666666667</v>
          </cell>
          <cell r="AT197">
            <v>6.4137931034482758</v>
          </cell>
          <cell r="AU197">
            <v>21.081612903225807</v>
          </cell>
          <cell r="AV197">
            <v>23.833333333333332</v>
          </cell>
          <cell r="AW197">
            <v>25.225806451612904</v>
          </cell>
          <cell r="AX197">
            <v>25.266666666666669</v>
          </cell>
          <cell r="AY197">
            <v>21.645161290322584</v>
          </cell>
          <cell r="AZ197">
            <v>19.967741935483872</v>
          </cell>
          <cell r="BA197">
            <v>29.06666666666667</v>
          </cell>
          <cell r="BB197">
            <v>27.451612903225808</v>
          </cell>
          <cell r="BC197">
            <v>32.466666666666669</v>
          </cell>
          <cell r="BD197">
            <v>27.709677419354836</v>
          </cell>
          <cell r="BE197">
            <v>30.677419354838712</v>
          </cell>
          <cell r="BF197">
            <v>40.285714285714285</v>
          </cell>
          <cell r="BG197">
            <v>51.129032258064512</v>
          </cell>
          <cell r="BH197">
            <v>54.733333333333341</v>
          </cell>
          <cell r="BI197">
            <v>52.225806451612904</v>
          </cell>
          <cell r="BJ197">
            <v>56.4</v>
          </cell>
          <cell r="BK197">
            <v>40.838709677419352</v>
          </cell>
          <cell r="BL197">
            <v>35.903225806451616</v>
          </cell>
          <cell r="BM197">
            <v>46.466666666666669</v>
          </cell>
          <cell r="BN197">
            <v>43.387096774193552</v>
          </cell>
          <cell r="BO197">
            <v>45.6</v>
          </cell>
          <cell r="BP197">
            <v>43.935483870967737</v>
          </cell>
          <cell r="BQ197">
            <v>39.838709677419352</v>
          </cell>
          <cell r="BR197">
            <v>32.535714285714285</v>
          </cell>
          <cell r="BS197">
            <v>47.87096774193548</v>
          </cell>
          <cell r="BT197">
            <v>59.099999999999994</v>
          </cell>
          <cell r="BU197">
            <v>70.451612903225808</v>
          </cell>
          <cell r="BV197">
            <v>120.76666666666667</v>
          </cell>
          <cell r="BW197">
            <v>124.06451612903226</v>
          </cell>
          <cell r="BX197">
            <v>145.7741935483871</v>
          </cell>
          <cell r="BY197">
            <v>107.43333333333334</v>
          </cell>
          <cell r="BZ197">
            <v>53.741935483870968</v>
          </cell>
          <cell r="CA197">
            <v>77.666666666666657</v>
          </cell>
          <cell r="CB197">
            <v>90.741935483870961</v>
          </cell>
          <cell r="CC197">
            <v>134.25806451612902</v>
          </cell>
          <cell r="CD197">
            <v>104.10714285714285</v>
          </cell>
          <cell r="CE197">
            <v>121.7741935483871</v>
          </cell>
          <cell r="CF197">
            <v>111.96666666666667</v>
          </cell>
          <cell r="CG197">
            <v>135.61290322580646</v>
          </cell>
          <cell r="CH197">
            <v>124.7</v>
          </cell>
          <cell r="CI197">
            <v>0</v>
          </cell>
          <cell r="CJ197">
            <v>0</v>
          </cell>
          <cell r="CK197">
            <v>0</v>
          </cell>
          <cell r="CL197">
            <v>166.66304347826085</v>
          </cell>
          <cell r="CM197">
            <v>169.36666666666665</v>
          </cell>
          <cell r="CN197">
            <v>217.28571428571428</v>
          </cell>
          <cell r="CO197">
            <v>235.46739130434784</v>
          </cell>
          <cell r="CP197">
            <v>247.08767123287672</v>
          </cell>
          <cell r="CQ197">
            <v>275.67945205479452</v>
          </cell>
        </row>
        <row r="198">
          <cell r="N198" t="str">
            <v>LIN</v>
          </cell>
          <cell r="AP198">
            <v>0.66666666666666663</v>
          </cell>
          <cell r="AQ198">
            <v>0.6333333333333333</v>
          </cell>
          <cell r="AR198">
            <v>2.2000000000000002</v>
          </cell>
          <cell r="AS198">
            <v>2.9666666666666668</v>
          </cell>
          <cell r="AT198">
            <v>3.8620689655172415</v>
          </cell>
          <cell r="AU198">
            <v>5.9748387096774191</v>
          </cell>
          <cell r="AV198">
            <v>15.966666666666667</v>
          </cell>
          <cell r="AW198">
            <v>6.032258064516129</v>
          </cell>
          <cell r="AX198">
            <v>6.666666666666667</v>
          </cell>
          <cell r="AY198">
            <v>5.580645161290323</v>
          </cell>
          <cell r="AZ198">
            <v>6.161290322580645</v>
          </cell>
          <cell r="BA198">
            <v>11.333333333333334</v>
          </cell>
          <cell r="BB198">
            <v>10</v>
          </cell>
          <cell r="BC198">
            <v>11.566666666666666</v>
          </cell>
          <cell r="BD198">
            <v>9.870967741935484</v>
          </cell>
          <cell r="BE198">
            <v>10.32258064516129</v>
          </cell>
          <cell r="BF198">
            <v>14.285714285714286</v>
          </cell>
          <cell r="BG198">
            <v>13.870967741935484</v>
          </cell>
          <cell r="BH198">
            <v>17.033333333333335</v>
          </cell>
          <cell r="BI198">
            <v>15.64516129032258</v>
          </cell>
          <cell r="BJ198">
            <v>19.466666666666665</v>
          </cell>
          <cell r="BK198">
            <v>14.258064516129032</v>
          </cell>
          <cell r="BL198">
            <v>17.129032258064516</v>
          </cell>
          <cell r="BM198">
            <v>21.666666666666668</v>
          </cell>
          <cell r="BN198">
            <v>17.967741935483872</v>
          </cell>
          <cell r="BO198">
            <v>17.066666666666666</v>
          </cell>
          <cell r="BP198">
            <v>16.774193548387096</v>
          </cell>
          <cell r="BQ198">
            <v>16.548387096774192</v>
          </cell>
          <cell r="BR198">
            <v>16.928571428571427</v>
          </cell>
          <cell r="BS198">
            <v>18.032258064516128</v>
          </cell>
          <cell r="BT198">
            <v>22.833333333333332</v>
          </cell>
          <cell r="BU198">
            <v>17.06451612903226</v>
          </cell>
          <cell r="BV198">
            <v>25.866666666666667</v>
          </cell>
          <cell r="BW198">
            <v>15.64516129032258</v>
          </cell>
          <cell r="BX198">
            <v>21</v>
          </cell>
          <cell r="BY198">
            <v>30.166666666666668</v>
          </cell>
          <cell r="BZ198">
            <v>17.580645161290324</v>
          </cell>
          <cell r="CA198">
            <v>19.966666666666665</v>
          </cell>
          <cell r="CB198">
            <v>19.096774193548388</v>
          </cell>
          <cell r="CC198">
            <v>32.483870967741936</v>
          </cell>
          <cell r="CD198">
            <v>33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45.978260869565219</v>
          </cell>
          <cell r="CM198">
            <v>47.333333333333336</v>
          </cell>
          <cell r="CN198">
            <v>57.692307692307693</v>
          </cell>
          <cell r="CO198">
            <v>63.260869565217391</v>
          </cell>
          <cell r="CP198">
            <v>67.958904109589042</v>
          </cell>
          <cell r="CQ198">
            <v>85.454794520547949</v>
          </cell>
        </row>
        <row r="199">
          <cell r="N199" t="str">
            <v>APSHL</v>
          </cell>
          <cell r="BC199">
            <v>0</v>
          </cell>
          <cell r="BD199">
            <v>1.8709677419354838</v>
          </cell>
          <cell r="BE199">
            <v>3.2580645161290325</v>
          </cell>
          <cell r="BF199">
            <v>2.1071428571428572</v>
          </cell>
          <cell r="BG199">
            <v>1.4516129032258065</v>
          </cell>
          <cell r="BH199">
            <v>1.6333333333333333</v>
          </cell>
          <cell r="BI199">
            <v>1.7096774193548387</v>
          </cell>
          <cell r="BJ199">
            <v>2.5666666666666669</v>
          </cell>
          <cell r="BK199">
            <v>1.1612903225806452</v>
          </cell>
          <cell r="BL199">
            <v>1.3870967741935485</v>
          </cell>
          <cell r="BM199">
            <v>3.3666666666666667</v>
          </cell>
          <cell r="BN199">
            <v>2.129032258064516</v>
          </cell>
          <cell r="BO199">
            <v>1.9</v>
          </cell>
          <cell r="BP199">
            <v>2.2580645161290325</v>
          </cell>
          <cell r="BQ199">
            <v>2.4838709677419355</v>
          </cell>
          <cell r="BR199">
            <v>1.9285714285714286</v>
          </cell>
          <cell r="BS199">
            <v>2.161290322580645</v>
          </cell>
          <cell r="BT199">
            <v>1.4666666666666666</v>
          </cell>
          <cell r="BU199">
            <v>0.90322580645161288</v>
          </cell>
          <cell r="BV199">
            <v>2.3666666666666667</v>
          </cell>
          <cell r="BW199">
            <v>1.5161290322580645</v>
          </cell>
          <cell r="BX199">
            <v>2</v>
          </cell>
          <cell r="BY199">
            <v>2.3666666666666667</v>
          </cell>
          <cell r="BZ199">
            <v>0.87096774193548387</v>
          </cell>
          <cell r="CA199">
            <v>3.0666666666666669</v>
          </cell>
          <cell r="CB199">
            <v>2.903225806451613</v>
          </cell>
          <cell r="CC199">
            <v>4.161290322580645</v>
          </cell>
          <cell r="CD199">
            <v>3.6428571428571428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23.315217391304348</v>
          </cell>
          <cell r="CM199">
            <v>23.166666666666668</v>
          </cell>
          <cell r="CN199">
            <v>27.527472527472529</v>
          </cell>
          <cell r="CO199">
            <v>30.815217391304348</v>
          </cell>
          <cell r="CP199">
            <v>33.205479452054796</v>
          </cell>
          <cell r="CQ199">
            <v>38.136986301369866</v>
          </cell>
        </row>
        <row r="200">
          <cell r="N200" t="str">
            <v>LOX</v>
          </cell>
          <cell r="AP200">
            <v>0.66666666666666663</v>
          </cell>
          <cell r="AQ200">
            <v>1.3666666666666667</v>
          </cell>
          <cell r="AR200">
            <v>4.8666666666666671</v>
          </cell>
          <cell r="AS200">
            <v>7.666666666666667</v>
          </cell>
          <cell r="AT200">
            <v>6.4137931034482758</v>
          </cell>
          <cell r="AU200">
            <v>21.081612903225807</v>
          </cell>
          <cell r="AV200">
            <v>23.833333333333332</v>
          </cell>
          <cell r="AW200">
            <v>25.225806451612904</v>
          </cell>
          <cell r="AX200">
            <v>25.266666666666669</v>
          </cell>
          <cell r="AY200">
            <v>21.645161290322584</v>
          </cell>
          <cell r="AZ200">
            <v>19.967741935483872</v>
          </cell>
          <cell r="BA200">
            <v>29.06666666666667</v>
          </cell>
          <cell r="BB200">
            <v>27.451612903225808</v>
          </cell>
          <cell r="BC200">
            <v>32.466666666666669</v>
          </cell>
          <cell r="BD200">
            <v>27.709677419354836</v>
          </cell>
          <cell r="BE200">
            <v>30.677419354838712</v>
          </cell>
          <cell r="BF200">
            <v>40.285714285714285</v>
          </cell>
          <cell r="BG200">
            <v>51.129032258064512</v>
          </cell>
          <cell r="BH200">
            <v>54.733333333333341</v>
          </cell>
          <cell r="BI200">
            <v>52.225806451612904</v>
          </cell>
          <cell r="BJ200">
            <v>56.4</v>
          </cell>
          <cell r="BK200">
            <v>40.838709677419352</v>
          </cell>
          <cell r="BL200">
            <v>35.903225806451616</v>
          </cell>
          <cell r="BM200">
            <v>46.466666666666669</v>
          </cell>
          <cell r="BN200">
            <v>43.387096774193552</v>
          </cell>
          <cell r="BO200">
            <v>45.6</v>
          </cell>
          <cell r="BP200">
            <v>43.935483870967737</v>
          </cell>
          <cell r="BQ200">
            <v>39.838709677419352</v>
          </cell>
          <cell r="BR200">
            <v>32.535714285714285</v>
          </cell>
          <cell r="BS200">
            <v>47.87096774193548</v>
          </cell>
          <cell r="BT200">
            <v>59.099999999999994</v>
          </cell>
          <cell r="BU200">
            <v>70.451612903225808</v>
          </cell>
          <cell r="BV200">
            <v>120.76666666666667</v>
          </cell>
          <cell r="BW200">
            <v>124.06451612903226</v>
          </cell>
          <cell r="BX200">
            <v>145.7741935483871</v>
          </cell>
          <cell r="BY200">
            <v>107.43333333333334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0.42251733333333324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</row>
        <row r="201">
          <cell r="N201" t="str">
            <v>LIN</v>
          </cell>
          <cell r="BZ201">
            <v>10.081290322580646</v>
          </cell>
          <cell r="CA201">
            <v>21.800166666666669</v>
          </cell>
          <cell r="CB201">
            <v>25.407379032258063</v>
          </cell>
          <cell r="CC201">
            <v>26.390483870967742</v>
          </cell>
          <cell r="CD201">
            <v>27.778616071428573</v>
          </cell>
          <cell r="CE201">
            <v>24.950806451612902</v>
          </cell>
          <cell r="CF201">
            <v>26.645166666666668</v>
          </cell>
          <cell r="CG201">
            <v>19.762258064516129</v>
          </cell>
          <cell r="CH201">
            <v>18.821458333333332</v>
          </cell>
          <cell r="CI201">
            <v>0</v>
          </cell>
          <cell r="CJ201">
            <v>0</v>
          </cell>
          <cell r="CK201">
            <v>0</v>
          </cell>
          <cell r="CL201">
            <v>24.522717391304351</v>
          </cell>
          <cell r="CM201">
            <v>29.067666666666668</v>
          </cell>
          <cell r="CN201">
            <v>30.726263736263739</v>
          </cell>
          <cell r="CO201">
            <v>34.305326086956526</v>
          </cell>
          <cell r="CP201">
            <v>32.078849315068496</v>
          </cell>
          <cell r="CQ201">
            <v>34.717150684931511</v>
          </cell>
        </row>
        <row r="202">
          <cell r="N202" t="str">
            <v>LAR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</row>
        <row r="203">
          <cell r="N203" t="str">
            <v>LOX</v>
          </cell>
          <cell r="BZ203">
            <v>10.081290322580646</v>
          </cell>
          <cell r="CA203">
            <v>21.800166666666669</v>
          </cell>
          <cell r="CB203">
            <v>25.407379032258063</v>
          </cell>
          <cell r="CC203">
            <v>26.390483870967742</v>
          </cell>
          <cell r="CD203">
            <v>27.778616071428573</v>
          </cell>
          <cell r="CE203">
            <v>24.950806451612902</v>
          </cell>
          <cell r="CF203">
            <v>27.067684</v>
          </cell>
          <cell r="CG203">
            <v>19.762258064516129</v>
          </cell>
          <cell r="CH203">
            <v>18.821458333333332</v>
          </cell>
          <cell r="CI203">
            <v>0</v>
          </cell>
          <cell r="CJ203">
            <v>0</v>
          </cell>
          <cell r="CK203">
            <v>0</v>
          </cell>
          <cell r="CL203">
            <v>24.522717391304351</v>
          </cell>
          <cell r="CM203">
            <v>29.067666666666668</v>
          </cell>
          <cell r="CN203">
            <v>30.726263736263739</v>
          </cell>
          <cell r="CO203">
            <v>34.305326086956526</v>
          </cell>
          <cell r="CP203">
            <v>32.078849315068496</v>
          </cell>
          <cell r="CQ203">
            <v>34.717150684931511</v>
          </cell>
        </row>
        <row r="204">
          <cell r="N204" t="str">
            <v>LIN</v>
          </cell>
          <cell r="BZ204">
            <v>10.081290322580646</v>
          </cell>
          <cell r="CA204">
            <v>21.800166666666669</v>
          </cell>
          <cell r="CB204">
            <v>25.407379032258063</v>
          </cell>
          <cell r="CC204">
            <v>26.390483870967742</v>
          </cell>
          <cell r="CD204">
            <v>27.778616071428573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24.522717391304351</v>
          </cell>
          <cell r="CM204">
            <v>29.067666666666668</v>
          </cell>
          <cell r="CN204">
            <v>30.726263736263739</v>
          </cell>
          <cell r="CO204">
            <v>34.305326086956526</v>
          </cell>
          <cell r="CP204">
            <v>32.078849315068496</v>
          </cell>
          <cell r="CQ204">
            <v>34.717150684931511</v>
          </cell>
        </row>
        <row r="205">
          <cell r="N205" t="str">
            <v>TOTAL-LLL</v>
          </cell>
          <cell r="O205">
            <v>35612</v>
          </cell>
          <cell r="P205">
            <v>35643</v>
          </cell>
          <cell r="Q205">
            <v>35674</v>
          </cell>
          <cell r="R205">
            <v>35704</v>
          </cell>
          <cell r="S205">
            <v>35735</v>
          </cell>
          <cell r="T205">
            <v>35765</v>
          </cell>
          <cell r="U205">
            <v>35796</v>
          </cell>
          <cell r="V205">
            <v>35827</v>
          </cell>
          <cell r="W205">
            <v>35855</v>
          </cell>
          <cell r="X205">
            <v>35886</v>
          </cell>
          <cell r="Y205">
            <v>35916</v>
          </cell>
          <cell r="Z205">
            <v>35947</v>
          </cell>
          <cell r="AA205">
            <v>35977</v>
          </cell>
          <cell r="AB205">
            <v>36008</v>
          </cell>
          <cell r="AC205">
            <v>36039</v>
          </cell>
          <cell r="AD205">
            <v>36069</v>
          </cell>
          <cell r="AE205">
            <v>36100</v>
          </cell>
          <cell r="AF205">
            <v>36130</v>
          </cell>
          <cell r="AG205">
            <v>36161</v>
          </cell>
          <cell r="AH205">
            <v>36192</v>
          </cell>
          <cell r="AI205">
            <v>36220</v>
          </cell>
          <cell r="AJ205">
            <v>36251</v>
          </cell>
          <cell r="AK205">
            <v>36281</v>
          </cell>
          <cell r="AL205">
            <v>36312</v>
          </cell>
          <cell r="AM205">
            <v>36342</v>
          </cell>
          <cell r="AN205">
            <v>36373</v>
          </cell>
          <cell r="AO205">
            <v>36404</v>
          </cell>
          <cell r="AP205">
            <v>36434</v>
          </cell>
          <cell r="AQ205">
            <v>36465</v>
          </cell>
          <cell r="AR205">
            <v>36495</v>
          </cell>
          <cell r="AS205">
            <v>36526</v>
          </cell>
          <cell r="AT205">
            <v>36557</v>
          </cell>
          <cell r="AU205">
            <v>36586</v>
          </cell>
          <cell r="AV205">
            <v>36617</v>
          </cell>
          <cell r="AW205">
            <v>36647</v>
          </cell>
          <cell r="AX205">
            <v>36678</v>
          </cell>
          <cell r="AY205">
            <v>36708</v>
          </cell>
          <cell r="AZ205">
            <v>36739</v>
          </cell>
          <cell r="BA205">
            <v>36770</v>
          </cell>
          <cell r="BB205">
            <v>36800</v>
          </cell>
          <cell r="BC205">
            <v>36831</v>
          </cell>
          <cell r="BD205">
            <v>36861</v>
          </cell>
          <cell r="BE205">
            <v>36892</v>
          </cell>
          <cell r="BF205">
            <v>36923</v>
          </cell>
          <cell r="BG205">
            <v>36951</v>
          </cell>
          <cell r="BH205">
            <v>36982</v>
          </cell>
          <cell r="BI205">
            <v>37012</v>
          </cell>
          <cell r="BJ205">
            <v>37043</v>
          </cell>
          <cell r="BK205">
            <v>37073</v>
          </cell>
          <cell r="BL205">
            <v>37104</v>
          </cell>
          <cell r="BM205">
            <v>37135</v>
          </cell>
          <cell r="BN205">
            <v>37165</v>
          </cell>
          <cell r="BO205">
            <v>37196</v>
          </cell>
          <cell r="BP205">
            <v>37226</v>
          </cell>
          <cell r="BQ205">
            <v>37257</v>
          </cell>
          <cell r="BR205">
            <v>37288</v>
          </cell>
          <cell r="BS205">
            <v>37316</v>
          </cell>
          <cell r="BT205">
            <v>37347</v>
          </cell>
          <cell r="BU205">
            <v>37377</v>
          </cell>
          <cell r="BV205">
            <v>37408</v>
          </cell>
          <cell r="BW205">
            <v>37438</v>
          </cell>
          <cell r="BX205">
            <v>37469</v>
          </cell>
          <cell r="BY205">
            <v>37500</v>
          </cell>
          <cell r="BZ205">
            <v>37530</v>
          </cell>
          <cell r="CA205">
            <v>37561</v>
          </cell>
          <cell r="CB205">
            <v>37591</v>
          </cell>
          <cell r="CC205">
            <v>37622</v>
          </cell>
          <cell r="CD205">
            <v>37653</v>
          </cell>
          <cell r="CE205">
            <v>37681</v>
          </cell>
          <cell r="CF205">
            <v>37712</v>
          </cell>
          <cell r="CG205">
            <v>37742</v>
          </cell>
          <cell r="CH205">
            <v>37773</v>
          </cell>
          <cell r="CI205">
            <v>37803</v>
          </cell>
          <cell r="CJ205">
            <v>37834</v>
          </cell>
          <cell r="CK205">
            <v>37865</v>
          </cell>
          <cell r="CL205" t="str">
            <v>Q1 FY03</v>
          </cell>
          <cell r="CM205" t="str">
            <v>Q2 FY03</v>
          </cell>
          <cell r="CN205" t="str">
            <v>Q3 FY03</v>
          </cell>
          <cell r="CO205" t="str">
            <v>Q4 FY03</v>
          </cell>
          <cell r="CP205" t="str">
            <v>FY04</v>
          </cell>
          <cell r="CQ205" t="str">
            <v>FY05</v>
          </cell>
        </row>
        <row r="206">
          <cell r="N206" t="str">
            <v>LOX</v>
          </cell>
          <cell r="O206">
            <v>576.63857051158914</v>
          </cell>
          <cell r="P206">
            <v>607.64099931661576</v>
          </cell>
          <cell r="Q206">
            <v>587.07119954319955</v>
          </cell>
          <cell r="R206">
            <v>624.17690516428854</v>
          </cell>
          <cell r="S206">
            <v>683.33318625325444</v>
          </cell>
          <cell r="T206">
            <v>694.11775978860715</v>
          </cell>
          <cell r="U206">
            <v>678.01287283079296</v>
          </cell>
          <cell r="V206">
            <v>563.8215260327936</v>
          </cell>
          <cell r="W206">
            <v>521.18442119006932</v>
          </cell>
          <cell r="X206">
            <v>593.68088345059039</v>
          </cell>
          <cell r="Y206">
            <v>574.3581603179997</v>
          </cell>
          <cell r="Z206">
            <v>652.0761210512286</v>
          </cell>
          <cell r="AA206">
            <v>701.94357227020453</v>
          </cell>
          <cell r="AB206">
            <v>681.95871559771092</v>
          </cell>
          <cell r="AC206">
            <v>670.12538576370321</v>
          </cell>
          <cell r="AD206">
            <v>703.26133288025687</v>
          </cell>
          <cell r="AE206">
            <v>718.79076131138345</v>
          </cell>
          <cell r="AF206">
            <v>737.62063685249223</v>
          </cell>
          <cell r="AG206">
            <v>728.26799564834346</v>
          </cell>
          <cell r="AH206">
            <v>617.7889673326863</v>
          </cell>
          <cell r="AI206">
            <v>630.69873867476008</v>
          </cell>
          <cell r="AJ206">
            <v>810.32462465114759</v>
          </cell>
          <cell r="AK206">
            <v>759.35170888200969</v>
          </cell>
          <cell r="AL206">
            <v>787.8615205972327</v>
          </cell>
          <cell r="AM206">
            <v>827.87790691566659</v>
          </cell>
          <cell r="AN206">
            <v>843.83196996859795</v>
          </cell>
          <cell r="AO206">
            <v>896.7731575622015</v>
          </cell>
          <cell r="AP206">
            <v>869.33628087723912</v>
          </cell>
          <cell r="AQ206">
            <v>950.55854411191149</v>
          </cell>
          <cell r="AR206">
            <v>1000.1351383831851</v>
          </cell>
          <cell r="AS206">
            <v>1111.2263738345528</v>
          </cell>
          <cell r="AT206">
            <v>948.36282264144427</v>
          </cell>
          <cell r="AU206">
            <v>1004.9720651225746</v>
          </cell>
          <cell r="AV206">
            <v>1123.5796616652271</v>
          </cell>
          <cell r="AW206">
            <v>1098.3793604103435</v>
          </cell>
          <cell r="AX206">
            <v>1146.4348228481335</v>
          </cell>
          <cell r="AY206">
            <v>1179.1764423687669</v>
          </cell>
          <cell r="AZ206">
            <v>1169.5436968138602</v>
          </cell>
          <cell r="BA206">
            <v>1176.9781372903881</v>
          </cell>
          <cell r="BB206">
            <v>1144.7744653350692</v>
          </cell>
          <cell r="BC206">
            <v>1148.1786415532861</v>
          </cell>
          <cell r="BD206">
            <v>1188.3176593390333</v>
          </cell>
          <cell r="BE206">
            <v>1073.6762750141211</v>
          </cell>
          <cell r="BF206">
            <v>1058.7532291705566</v>
          </cell>
          <cell r="BG206">
            <v>1247.0554531680648</v>
          </cell>
          <cell r="BH206">
            <v>1290.3989396152051</v>
          </cell>
          <cell r="BI206">
            <v>1159.4818811882467</v>
          </cell>
          <cell r="BJ206">
            <v>1172.7161476027379</v>
          </cell>
          <cell r="BK206">
            <v>1171.0694512704747</v>
          </cell>
          <cell r="BL206">
            <v>1163.9904501504559</v>
          </cell>
          <cell r="BM206">
            <v>1264.9562784060556</v>
          </cell>
          <cell r="BN206">
            <v>1264.230215036069</v>
          </cell>
          <cell r="BO206">
            <v>1259.021115769702</v>
          </cell>
          <cell r="BP206">
            <v>1138.9239741459098</v>
          </cell>
          <cell r="BQ206">
            <v>1064.5951299560243</v>
          </cell>
          <cell r="BR206">
            <v>959.80184951262902</v>
          </cell>
          <cell r="BS206">
            <v>1189.0165370068769</v>
          </cell>
          <cell r="BT206">
            <v>1441.860957269429</v>
          </cell>
          <cell r="BU206">
            <v>1414.281356971949</v>
          </cell>
          <cell r="BV206">
            <v>1445.3105371480688</v>
          </cell>
          <cell r="BW206">
            <v>1405.8033901475189</v>
          </cell>
          <cell r="BX206">
            <v>1419.2869243309042</v>
          </cell>
          <cell r="BY206">
            <v>1399.971681693316</v>
          </cell>
          <cell r="BZ206">
            <v>1413.3335283903389</v>
          </cell>
          <cell r="CA206">
            <v>1532.1850542822924</v>
          </cell>
          <cell r="CB206">
            <v>1463.7680867621229</v>
          </cell>
          <cell r="CC206">
            <v>1448.961275566942</v>
          </cell>
          <cell r="CD206">
            <v>1449.7174657920141</v>
          </cell>
          <cell r="CE206">
            <v>1561.361651476293</v>
          </cell>
          <cell r="CF206">
            <v>1516.3724350740306</v>
          </cell>
          <cell r="CG206">
            <v>1388.5395690455014</v>
          </cell>
          <cell r="CH206">
            <v>1603.0931640981921</v>
          </cell>
          <cell r="CI206">
            <v>0</v>
          </cell>
          <cell r="CJ206">
            <v>0</v>
          </cell>
          <cell r="CK206">
            <v>0</v>
          </cell>
          <cell r="CL206">
            <v>1566.2043478260869</v>
          </cell>
          <cell r="CM206">
            <v>1367.0888888888887</v>
          </cell>
          <cell r="CN206">
            <v>1670.6417582417582</v>
          </cell>
          <cell r="CO206">
            <v>1696.9543478260866</v>
          </cell>
          <cell r="CP206">
            <v>1690.2602739726026</v>
          </cell>
          <cell r="CQ206">
            <v>1806.0931506849317</v>
          </cell>
        </row>
        <row r="207">
          <cell r="N207" t="str">
            <v>LIN</v>
          </cell>
          <cell r="O207">
            <v>900.66501495887155</v>
          </cell>
          <cell r="P207">
            <v>1028.0783290479585</v>
          </cell>
          <cell r="Q207">
            <v>972.9341606187196</v>
          </cell>
          <cell r="R207">
            <v>942.21590693558119</v>
          </cell>
          <cell r="S207">
            <v>978.4984385469312</v>
          </cell>
          <cell r="T207">
            <v>981.08474272717274</v>
          </cell>
          <cell r="U207">
            <v>1010.7594945697854</v>
          </cell>
          <cell r="V207">
            <v>827.89051396584932</v>
          </cell>
          <cell r="W207">
            <v>870.08065079568303</v>
          </cell>
          <cell r="X207">
            <v>925.9641806532502</v>
          </cell>
          <cell r="Y207">
            <v>942.66814259056071</v>
          </cell>
          <cell r="Z207">
            <v>1079.4359662628656</v>
          </cell>
          <cell r="AA207">
            <v>997.07292680448177</v>
          </cell>
          <cell r="AB207">
            <v>1151.0847833699488</v>
          </cell>
          <cell r="AC207">
            <v>1166.1998169350488</v>
          </cell>
          <cell r="AD207">
            <v>1129.217308752618</v>
          </cell>
          <cell r="AE207">
            <v>1182.3827527829294</v>
          </cell>
          <cell r="AF207">
            <v>1177.8062977321435</v>
          </cell>
          <cell r="AG207">
            <v>1154.4475775546739</v>
          </cell>
          <cell r="AH207">
            <v>1145.9062792617606</v>
          </cell>
          <cell r="AI207">
            <v>1016.3348695604027</v>
          </cell>
          <cell r="AJ207">
            <v>1142.1894906071811</v>
          </cell>
          <cell r="AK207">
            <v>1132.4531144352604</v>
          </cell>
          <cell r="AL207">
            <v>1208.4418079193617</v>
          </cell>
          <cell r="AM207">
            <v>1332.2697505189365</v>
          </cell>
          <cell r="AN207">
            <v>1309.7959281982351</v>
          </cell>
          <cell r="AO207">
            <v>1333.6575999078962</v>
          </cell>
          <cell r="AP207">
            <v>1320.310836383791</v>
          </cell>
          <cell r="AQ207">
            <v>1382.6919685482987</v>
          </cell>
          <cell r="AR207">
            <v>1441.966336628079</v>
          </cell>
          <cell r="AS207">
            <v>1472.710943539143</v>
          </cell>
          <cell r="AT207">
            <v>1379.1226885235412</v>
          </cell>
          <cell r="AU207">
            <v>1322.4943115257033</v>
          </cell>
          <cell r="AV207">
            <v>1533.5929934651267</v>
          </cell>
          <cell r="AW207">
            <v>1535.9175271321922</v>
          </cell>
          <cell r="AX207">
            <v>1621.5891231056955</v>
          </cell>
          <cell r="AY207">
            <v>1592.6817234054695</v>
          </cell>
          <cell r="AZ207">
            <v>1664.7147191819865</v>
          </cell>
          <cell r="BA207">
            <v>1767.9355417392233</v>
          </cell>
          <cell r="BB207">
            <v>1760.6650449673059</v>
          </cell>
          <cell r="BC207">
            <v>1733.9616708093956</v>
          </cell>
          <cell r="BD207">
            <v>1846.7254026882849</v>
          </cell>
          <cell r="BE207">
            <v>1696.3577172157341</v>
          </cell>
          <cell r="BF207">
            <v>1757.6791416796871</v>
          </cell>
          <cell r="BG207">
            <v>1776.7248606018272</v>
          </cell>
          <cell r="BH207">
            <v>1767.7211404011816</v>
          </cell>
          <cell r="BI207">
            <v>1745.8522035909864</v>
          </cell>
          <cell r="BJ207">
            <v>1709.8428812605607</v>
          </cell>
          <cell r="BK207">
            <v>1732.4726815486995</v>
          </cell>
          <cell r="BL207">
            <v>1679.637642430336</v>
          </cell>
          <cell r="BM207">
            <v>1725.0172472588938</v>
          </cell>
          <cell r="BN207">
            <v>1746.3160746436608</v>
          </cell>
          <cell r="BO207">
            <v>1752.1321604329653</v>
          </cell>
          <cell r="BP207">
            <v>1722.9338151948702</v>
          </cell>
          <cell r="BQ207">
            <v>1669.3859990463086</v>
          </cell>
          <cell r="BR207">
            <v>1623.0062493413532</v>
          </cell>
          <cell r="BS207">
            <v>1668.7553495831762</v>
          </cell>
          <cell r="BT207">
            <v>1775.2343846186325</v>
          </cell>
          <cell r="BU207">
            <v>1852.5853383954491</v>
          </cell>
          <cell r="BV207">
            <v>1864.1576039307067</v>
          </cell>
          <cell r="BW207">
            <v>2011.6992313707715</v>
          </cell>
          <cell r="BX207">
            <v>2077.7493585769685</v>
          </cell>
          <cell r="BY207">
            <v>2075.4470872911647</v>
          </cell>
          <cell r="BZ207">
            <v>1912.3683602884764</v>
          </cell>
          <cell r="CA207">
            <v>1957.4527937204739</v>
          </cell>
          <cell r="CB207">
            <v>1973.9188006542663</v>
          </cell>
          <cell r="CC207">
            <v>1986.9274044766923</v>
          </cell>
          <cell r="CD207">
            <v>1902.2190415232647</v>
          </cell>
          <cell r="CE207">
            <v>1951.8734442132181</v>
          </cell>
          <cell r="CF207">
            <v>1975.8560204969847</v>
          </cell>
          <cell r="CG207">
            <v>2042.5682616180743</v>
          </cell>
          <cell r="CH207">
            <v>1998.0414450841567</v>
          </cell>
          <cell r="CI207">
            <v>0</v>
          </cell>
          <cell r="CJ207">
            <v>0</v>
          </cell>
          <cell r="CK207">
            <v>0</v>
          </cell>
          <cell r="CL207">
            <v>1965.0531521739133</v>
          </cell>
          <cell r="CM207">
            <v>1809.7676666666666</v>
          </cell>
          <cell r="CN207">
            <v>2116.5702197802198</v>
          </cell>
          <cell r="CO207">
            <v>2238.2118478260868</v>
          </cell>
          <cell r="CP207">
            <v>2311.2583013698631</v>
          </cell>
          <cell r="CQ207">
            <v>2557.3924931506854</v>
          </cell>
        </row>
        <row r="208">
          <cell r="N208" t="str">
            <v>LAR</v>
          </cell>
          <cell r="O208">
            <v>67.585834747807411</v>
          </cell>
          <cell r="P208">
            <v>68.663320853222231</v>
          </cell>
          <cell r="Q208">
            <v>68.624272319711025</v>
          </cell>
          <cell r="R208">
            <v>65.408593489169718</v>
          </cell>
          <cell r="S208">
            <v>77.204894682187017</v>
          </cell>
          <cell r="T208">
            <v>73.426872039583969</v>
          </cell>
          <cell r="U208">
            <v>69.228305973636282</v>
          </cell>
          <cell r="V208">
            <v>45.37613496445875</v>
          </cell>
          <cell r="W208">
            <v>53.926725457841798</v>
          </cell>
          <cell r="X208">
            <v>54.915328732020726</v>
          </cell>
          <cell r="Y208">
            <v>60.531714696417005</v>
          </cell>
          <cell r="Z208">
            <v>54.010686185018336</v>
          </cell>
          <cell r="AA208">
            <v>59.479857374946739</v>
          </cell>
          <cell r="AB208">
            <v>63.272368996212542</v>
          </cell>
          <cell r="AC208">
            <v>65.267638569025152</v>
          </cell>
          <cell r="AD208">
            <v>70.320525745502962</v>
          </cell>
          <cell r="AE208">
            <v>60.507611217334436</v>
          </cell>
          <cell r="AF208">
            <v>66.637310192069563</v>
          </cell>
          <cell r="AG208">
            <v>74.617119810185159</v>
          </cell>
          <cell r="AH208">
            <v>60.104278615193138</v>
          </cell>
          <cell r="AI208">
            <v>61.696060923113428</v>
          </cell>
          <cell r="AJ208">
            <v>80.478607202039811</v>
          </cell>
          <cell r="AK208">
            <v>75.819249348340421</v>
          </cell>
          <cell r="AL208">
            <v>74.080543911251183</v>
          </cell>
          <cell r="AM208">
            <v>88.048540422429653</v>
          </cell>
          <cell r="AN208">
            <v>90.463357388363093</v>
          </cell>
          <cell r="AO208">
            <v>91.617218994076751</v>
          </cell>
          <cell r="AP208">
            <v>77.168202890823395</v>
          </cell>
          <cell r="AQ208">
            <v>89.030142504899715</v>
          </cell>
          <cell r="AR208">
            <v>97.984267615328903</v>
          </cell>
          <cell r="AS208">
            <v>96.0852962013672</v>
          </cell>
          <cell r="AT208">
            <v>74.867639486084698</v>
          </cell>
          <cell r="AU208">
            <v>89.375030061132918</v>
          </cell>
          <cell r="AV208">
            <v>98.455297795690043</v>
          </cell>
          <cell r="AW208">
            <v>97.379895755276678</v>
          </cell>
          <cell r="AX208">
            <v>100.96912421311714</v>
          </cell>
          <cell r="AY208">
            <v>108.63817812820365</v>
          </cell>
          <cell r="AZ208">
            <v>104.94641404134498</v>
          </cell>
          <cell r="BA208">
            <v>129.64783572596622</v>
          </cell>
          <cell r="BB208">
            <v>130.73693240674874</v>
          </cell>
          <cell r="BC208">
            <v>136.18871713519144</v>
          </cell>
          <cell r="BD208">
            <v>140.11094276128526</v>
          </cell>
          <cell r="BE208">
            <v>109.05207087656332</v>
          </cell>
          <cell r="BF208">
            <v>106.75880270868176</v>
          </cell>
          <cell r="BG208">
            <v>126.57917882004355</v>
          </cell>
          <cell r="BH208">
            <v>117.78828857609169</v>
          </cell>
          <cell r="BI208">
            <v>113.13623032896511</v>
          </cell>
          <cell r="BJ208">
            <v>119.73860942311263</v>
          </cell>
          <cell r="BK208">
            <v>108.73200780270295</v>
          </cell>
          <cell r="BL208">
            <v>99.789262886641367</v>
          </cell>
          <cell r="BM208">
            <v>96.594647066620908</v>
          </cell>
          <cell r="BN208">
            <v>102.88026826886816</v>
          </cell>
          <cell r="BO208">
            <v>120.03904271350967</v>
          </cell>
          <cell r="BP208">
            <v>113.79513029010175</v>
          </cell>
          <cell r="BQ208">
            <v>99.291046323314276</v>
          </cell>
          <cell r="BR208">
            <v>93.478008362883187</v>
          </cell>
          <cell r="BS208">
            <v>107.79910984248798</v>
          </cell>
          <cell r="BT208">
            <v>110.68566969926373</v>
          </cell>
          <cell r="BU208">
            <v>118.97901967381297</v>
          </cell>
          <cell r="BV208">
            <v>113.11307673347822</v>
          </cell>
          <cell r="BW208">
            <v>119.65028382836607</v>
          </cell>
          <cell r="BX208">
            <v>128.6432375973869</v>
          </cell>
          <cell r="BY208">
            <v>142.60848301767587</v>
          </cell>
          <cell r="BZ208">
            <v>139.48539524427255</v>
          </cell>
          <cell r="CA208">
            <v>142.11396730284719</v>
          </cell>
          <cell r="CB208">
            <v>137.95364615640665</v>
          </cell>
          <cell r="CC208">
            <v>148.57034162616822</v>
          </cell>
          <cell r="CD208">
            <v>158.56352768805098</v>
          </cell>
          <cell r="CE208">
            <v>144.51051591957031</v>
          </cell>
          <cell r="CF208">
            <v>151.7392104348595</v>
          </cell>
          <cell r="CG208">
            <v>155.11867552821138</v>
          </cell>
          <cell r="CH208">
            <v>167.97040514141634</v>
          </cell>
          <cell r="CI208">
            <v>0</v>
          </cell>
          <cell r="CJ208">
            <v>0</v>
          </cell>
          <cell r="CK208">
            <v>0</v>
          </cell>
          <cell r="CL208">
            <v>162.40869565217392</v>
          </cell>
          <cell r="CM208">
            <v>144.45555555555555</v>
          </cell>
          <cell r="CN208">
            <v>169.82857142857145</v>
          </cell>
          <cell r="CO208">
            <v>177.54347826086956</v>
          </cell>
          <cell r="CP208">
            <v>185.12808219178083</v>
          </cell>
          <cell r="CQ208">
            <v>202.56575342465752</v>
          </cell>
        </row>
        <row r="209">
          <cell r="N209" t="str">
            <v>LOX</v>
          </cell>
          <cell r="O209">
            <v>576.63857051158914</v>
          </cell>
          <cell r="P209">
            <v>607.64099931661576</v>
          </cell>
          <cell r="Q209">
            <v>587.07119954319955</v>
          </cell>
          <cell r="R209">
            <v>624.17690516428854</v>
          </cell>
          <cell r="S209">
            <v>683.33318625325444</v>
          </cell>
          <cell r="T209">
            <v>694.11775978860715</v>
          </cell>
          <cell r="U209">
            <v>678.01287283079296</v>
          </cell>
          <cell r="V209">
            <v>563.8215260327936</v>
          </cell>
          <cell r="W209">
            <v>521.18442119006932</v>
          </cell>
          <cell r="X209">
            <v>593.68088345059039</v>
          </cell>
          <cell r="Y209">
            <v>574.3581603179997</v>
          </cell>
          <cell r="Z209">
            <v>652.0761210512286</v>
          </cell>
          <cell r="AA209">
            <v>701.94357227020453</v>
          </cell>
          <cell r="AB209">
            <v>681.95871559771092</v>
          </cell>
          <cell r="AC209">
            <v>670.12538576370321</v>
          </cell>
          <cell r="AD209">
            <v>703.26133288025687</v>
          </cell>
          <cell r="AE209">
            <v>718.79076131138345</v>
          </cell>
          <cell r="AF209">
            <v>737.62063685249223</v>
          </cell>
          <cell r="AG209">
            <v>728.26799564834346</v>
          </cell>
          <cell r="AH209">
            <v>617.7889673326863</v>
          </cell>
          <cell r="AI209">
            <v>630.69873867476008</v>
          </cell>
          <cell r="AJ209">
            <v>810.32462465114759</v>
          </cell>
          <cell r="AK209">
            <v>759.35170888200969</v>
          </cell>
          <cell r="AL209">
            <v>787.8615205972327</v>
          </cell>
          <cell r="AM209">
            <v>827.87790691566659</v>
          </cell>
          <cell r="AN209">
            <v>843.83196996859795</v>
          </cell>
          <cell r="AO209">
            <v>896.7731575622015</v>
          </cell>
          <cell r="AP209">
            <v>869.33628087723912</v>
          </cell>
          <cell r="AQ209">
            <v>950.55854411191149</v>
          </cell>
          <cell r="AR209">
            <v>1000.1351383831851</v>
          </cell>
          <cell r="AS209">
            <v>1111.2263738345528</v>
          </cell>
          <cell r="AT209">
            <v>948.36282264144427</v>
          </cell>
          <cell r="AU209">
            <v>1004.9720651225746</v>
          </cell>
          <cell r="AV209">
            <v>1123.5796616652271</v>
          </cell>
          <cell r="AW209">
            <v>1098.3793604103435</v>
          </cell>
          <cell r="AX209">
            <v>1146.4348228481335</v>
          </cell>
          <cell r="AY209">
            <v>1179.1764423687669</v>
          </cell>
          <cell r="AZ209">
            <v>1169.5436968138602</v>
          </cell>
          <cell r="BA209">
            <v>1176.9781372903881</v>
          </cell>
          <cell r="BB209">
            <v>1144.7744653350692</v>
          </cell>
          <cell r="BC209">
            <v>1148.1786415532861</v>
          </cell>
          <cell r="BD209">
            <v>1188.3176593390333</v>
          </cell>
          <cell r="BE209">
            <v>1073.6762750141211</v>
          </cell>
          <cell r="BF209">
            <v>1058.7532291705566</v>
          </cell>
          <cell r="BG209">
            <v>1247.0554531680648</v>
          </cell>
          <cell r="BH209">
            <v>1290.3989396152051</v>
          </cell>
          <cell r="BI209">
            <v>1159.4818811882467</v>
          </cell>
          <cell r="BJ209">
            <v>1172.7161476027379</v>
          </cell>
          <cell r="BK209">
            <v>1171.0694512704747</v>
          </cell>
          <cell r="BL209">
            <v>1163.9904501504559</v>
          </cell>
          <cell r="BM209">
            <v>1264.9562784060556</v>
          </cell>
          <cell r="BN209">
            <v>1264.230215036069</v>
          </cell>
          <cell r="BO209">
            <v>1259.021115769702</v>
          </cell>
          <cell r="BP209">
            <v>1138.9239741459098</v>
          </cell>
          <cell r="BQ209">
            <v>1064.5951299560243</v>
          </cell>
          <cell r="BR209">
            <v>959.80184951262902</v>
          </cell>
          <cell r="BS209">
            <v>1189.0165370068769</v>
          </cell>
          <cell r="BT209">
            <v>1441.860957269429</v>
          </cell>
          <cell r="BU209">
            <v>1414.281356971949</v>
          </cell>
          <cell r="BV209">
            <v>1445.3105371480688</v>
          </cell>
          <cell r="BW209">
            <v>1405.8033901475189</v>
          </cell>
          <cell r="BX209">
            <v>1419.2869243309042</v>
          </cell>
          <cell r="BY209">
            <v>1399.971681693316</v>
          </cell>
          <cell r="BZ209">
            <v>1413.3335283903389</v>
          </cell>
          <cell r="CA209">
            <v>1532.1850542822924</v>
          </cell>
          <cell r="CB209">
            <v>1463.7680867621229</v>
          </cell>
          <cell r="CC209">
            <v>1448.961275566942</v>
          </cell>
          <cell r="CD209">
            <v>1449.7174657920141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1566.2043478260869</v>
          </cell>
          <cell r="CM209">
            <v>1367.0888888888887</v>
          </cell>
          <cell r="CN209">
            <v>1670.6417582417582</v>
          </cell>
          <cell r="CO209">
            <v>1696.9543478260866</v>
          </cell>
          <cell r="CP209">
            <v>1690.2602739726026</v>
          </cell>
          <cell r="CQ209">
            <v>1806.0931506849317</v>
          </cell>
        </row>
        <row r="210">
          <cell r="N210" t="str">
            <v>TOTAL-LLL</v>
          </cell>
          <cell r="O210">
            <v>1544.8894202182682</v>
          </cell>
          <cell r="P210">
            <v>1704.3826492177966</v>
          </cell>
          <cell r="Q210">
            <v>1628.6296324816303</v>
          </cell>
          <cell r="R210">
            <v>1631.8014055890396</v>
          </cell>
          <cell r="S210">
            <v>1739.0365194823726</v>
          </cell>
          <cell r="T210">
            <v>1748.6293745553639</v>
          </cell>
          <cell r="U210">
            <v>1758.0006733742146</v>
          </cell>
          <cell r="V210">
            <v>1437.0881749631017</v>
          </cell>
          <cell r="W210">
            <v>1445.1917974435942</v>
          </cell>
          <cell r="X210">
            <v>1574.5603928358612</v>
          </cell>
          <cell r="Y210">
            <v>1577.5580176049775</v>
          </cell>
          <cell r="Z210">
            <v>1785.5227734991124</v>
          </cell>
          <cell r="AA210">
            <v>1758.4963564496329</v>
          </cell>
          <cell r="AB210">
            <v>1896.3158679638721</v>
          </cell>
          <cell r="AC210">
            <v>1901.5928412677772</v>
          </cell>
          <cell r="AD210">
            <v>1902.7991673783777</v>
          </cell>
          <cell r="AE210">
            <v>1961.6811253116473</v>
          </cell>
          <cell r="AF210">
            <v>1982.0642447767054</v>
          </cell>
          <cell r="AG210">
            <v>1957.3326930132025</v>
          </cell>
          <cell r="AH210">
            <v>1823.79952520964</v>
          </cell>
          <cell r="AI210">
            <v>1708.7296691582762</v>
          </cell>
          <cell r="AJ210">
            <v>2032.9927224603684</v>
          </cell>
          <cell r="AK210">
            <v>1967.6240726656106</v>
          </cell>
          <cell r="AL210">
            <v>2070.3838724278453</v>
          </cell>
          <cell r="AM210">
            <v>2248.1961978570325</v>
          </cell>
          <cell r="AN210">
            <v>2244.0912555551959</v>
          </cell>
          <cell r="AO210">
            <v>2322.0479764641746</v>
          </cell>
          <cell r="AP210">
            <v>2266.8153201518535</v>
          </cell>
          <cell r="AQ210">
            <v>2422.2806551651097</v>
          </cell>
          <cell r="AR210">
            <v>2540.0857426265929</v>
          </cell>
          <cell r="AS210">
            <v>2680.0226135750631</v>
          </cell>
          <cell r="AT210">
            <v>2402.3531506510699</v>
          </cell>
          <cell r="AU210">
            <v>2416.8414067094109</v>
          </cell>
          <cell r="AV210">
            <v>2755.6279529260437</v>
          </cell>
          <cell r="AW210">
            <v>2731.6767832978126</v>
          </cell>
          <cell r="AX210">
            <v>2868.9930701669459</v>
          </cell>
          <cell r="AY210">
            <v>2880.4963439024395</v>
          </cell>
          <cell r="AZ210">
            <v>2939.2048300371921</v>
          </cell>
          <cell r="BA210">
            <v>3074.5615147555777</v>
          </cell>
          <cell r="BB210">
            <v>3036.1764427091239</v>
          </cell>
          <cell r="BC210">
            <v>3018.3290294978729</v>
          </cell>
          <cell r="BD210">
            <v>3175.1540047886033</v>
          </cell>
          <cell r="BE210">
            <v>2879.0860631064188</v>
          </cell>
          <cell r="BF210">
            <v>2923.1911735589251</v>
          </cell>
          <cell r="BG210">
            <v>3150.3594925899356</v>
          </cell>
          <cell r="BH210">
            <v>3175.9083685924788</v>
          </cell>
          <cell r="BI210">
            <v>3018.4703151081985</v>
          </cell>
          <cell r="BJ210">
            <v>3002.2976382864113</v>
          </cell>
          <cell r="BK210">
            <v>3012.274140621877</v>
          </cell>
          <cell r="BL210">
            <v>2943.417355467433</v>
          </cell>
          <cell r="BM210">
            <v>3086.56817273157</v>
          </cell>
          <cell r="BN210">
            <v>3113.4265579485982</v>
          </cell>
          <cell r="BO210">
            <v>3131.1923189161771</v>
          </cell>
          <cell r="BP210">
            <v>2975.652919630882</v>
          </cell>
          <cell r="BQ210">
            <v>2833.2721753256469</v>
          </cell>
          <cell r="BR210">
            <v>2676.2861072168653</v>
          </cell>
          <cell r="BS210">
            <v>2965.5709964325415</v>
          </cell>
          <cell r="BT210">
            <v>3327.7810115873253</v>
          </cell>
          <cell r="BU210">
            <v>3385.8457150412114</v>
          </cell>
          <cell r="BV210">
            <v>3422.5812178122533</v>
          </cell>
          <cell r="BW210">
            <v>3537.1529053466566</v>
          </cell>
          <cell r="BX210">
            <v>3625.6795205052595</v>
          </cell>
          <cell r="BY210">
            <v>3618.0272520021567</v>
          </cell>
          <cell r="BZ210">
            <v>3465.1872839230882</v>
          </cell>
          <cell r="CA210">
            <v>3631.7518153056135</v>
          </cell>
          <cell r="CB210">
            <v>3575.6405335727959</v>
          </cell>
          <cell r="CC210">
            <v>3584.4590216698025</v>
          </cell>
          <cell r="CD210">
            <v>3510.5000350033297</v>
          </cell>
          <cell r="CE210">
            <v>3657.7456116090816</v>
          </cell>
          <cell r="CF210">
            <v>3643.9676660058749</v>
          </cell>
          <cell r="CG210">
            <v>3586.2265061917869</v>
          </cell>
          <cell r="CH210">
            <v>3769.1050143237653</v>
          </cell>
          <cell r="CI210">
            <v>0</v>
          </cell>
          <cell r="CJ210">
            <v>0</v>
          </cell>
          <cell r="CK210">
            <v>0</v>
          </cell>
          <cell r="CL210">
            <v>3693.6661956521739</v>
          </cell>
          <cell r="CM210">
            <v>3321.3121111111109</v>
          </cell>
          <cell r="CN210">
            <v>3957.0405494505499</v>
          </cell>
          <cell r="CO210">
            <v>4112.7096739130429</v>
          </cell>
          <cell r="CP210">
            <v>4186.6466575342465</v>
          </cell>
          <cell r="CQ210">
            <v>4566.0513972602748</v>
          </cell>
        </row>
        <row r="211">
          <cell r="N211" t="str">
            <v>LAR</v>
          </cell>
          <cell r="O211">
            <v>67.585834747807411</v>
          </cell>
          <cell r="P211">
            <v>68.663320853222231</v>
          </cell>
          <cell r="Q211">
            <v>68.624272319711025</v>
          </cell>
          <cell r="R211">
            <v>65.408593489169718</v>
          </cell>
          <cell r="S211">
            <v>77.204894682187017</v>
          </cell>
          <cell r="T211">
            <v>73.426872039583969</v>
          </cell>
          <cell r="U211">
            <v>69.228305973636282</v>
          </cell>
          <cell r="V211">
            <v>45.37613496445875</v>
          </cell>
          <cell r="W211">
            <v>53.926725457841798</v>
          </cell>
          <cell r="X211">
            <v>54.915328732020726</v>
          </cell>
          <cell r="Y211">
            <v>60.531714696417005</v>
          </cell>
          <cell r="Z211">
            <v>54.010686185018336</v>
          </cell>
          <cell r="AA211">
            <v>59.479857374946739</v>
          </cell>
          <cell r="AB211">
            <v>63.272368996212542</v>
          </cell>
          <cell r="AC211">
            <v>65.267638569025152</v>
          </cell>
          <cell r="AD211">
            <v>70.320525745502962</v>
          </cell>
          <cell r="AE211">
            <v>60.507611217334436</v>
          </cell>
          <cell r="AF211">
            <v>66.637310192069563</v>
          </cell>
          <cell r="AG211">
            <v>74.617119810185159</v>
          </cell>
          <cell r="AH211">
            <v>60.104278615193138</v>
          </cell>
          <cell r="AI211">
            <v>61.696060923113428</v>
          </cell>
          <cell r="AJ211">
            <v>80.478607202039811</v>
          </cell>
          <cell r="AK211">
            <v>75.819249348340421</v>
          </cell>
          <cell r="AL211">
            <v>74.080543911251183</v>
          </cell>
          <cell r="AM211">
            <v>88.048540422429653</v>
          </cell>
          <cell r="AN211">
            <v>90.463357388363093</v>
          </cell>
          <cell r="AO211">
            <v>91.617218994076751</v>
          </cell>
          <cell r="AP211">
            <v>77.168202890823395</v>
          </cell>
          <cell r="AQ211">
            <v>89.030142504899715</v>
          </cell>
          <cell r="AR211">
            <v>97.984267615328903</v>
          </cell>
          <cell r="AS211">
            <v>96.0852962013672</v>
          </cell>
          <cell r="AT211">
            <v>74.867639486084698</v>
          </cell>
          <cell r="AU211">
            <v>89.375030061132918</v>
          </cell>
          <cell r="AV211">
            <v>98.455297795690043</v>
          </cell>
          <cell r="AW211">
            <v>97.379895755276678</v>
          </cell>
          <cell r="AX211">
            <v>100.96912421311714</v>
          </cell>
          <cell r="AY211">
            <v>108.63817812820365</v>
          </cell>
          <cell r="AZ211">
            <v>104.94641404134498</v>
          </cell>
          <cell r="BA211">
            <v>129.64783572596622</v>
          </cell>
          <cell r="BB211">
            <v>130.73693240674874</v>
          </cell>
          <cell r="BC211">
            <v>136.18871713519144</v>
          </cell>
          <cell r="BD211">
            <v>140.11094276128526</v>
          </cell>
          <cell r="BE211">
            <v>109.05207087656332</v>
          </cell>
          <cell r="BF211">
            <v>106.75880270868176</v>
          </cell>
          <cell r="BG211">
            <v>126.57917882004355</v>
          </cell>
          <cell r="BH211">
            <v>117.78828857609169</v>
          </cell>
          <cell r="BI211">
            <v>113.13623032896511</v>
          </cell>
          <cell r="BJ211">
            <v>119.73860942311263</v>
          </cell>
          <cell r="BK211">
            <v>108.73200780270295</v>
          </cell>
          <cell r="BL211">
            <v>99.789262886641367</v>
          </cell>
          <cell r="BM211">
            <v>96.594647066620908</v>
          </cell>
          <cell r="BN211">
            <v>102.88026826886816</v>
          </cell>
          <cell r="BO211">
            <v>120.03904271350967</v>
          </cell>
          <cell r="BP211">
            <v>113.79513029010175</v>
          </cell>
          <cell r="BQ211">
            <v>99.291046323314276</v>
          </cell>
          <cell r="BR211">
            <v>93.478008362883187</v>
          </cell>
          <cell r="BS211">
            <v>107.79910984248798</v>
          </cell>
          <cell r="BT211">
            <v>110.68566969926373</v>
          </cell>
          <cell r="BU211">
            <v>118.97901967381297</v>
          </cell>
          <cell r="BV211">
            <v>113.11307673347822</v>
          </cell>
          <cell r="BW211">
            <v>119.65028382836607</v>
          </cell>
          <cell r="BX211">
            <v>128.6432375973869</v>
          </cell>
          <cell r="BY211">
            <v>142.60848301767587</v>
          </cell>
          <cell r="BZ211">
            <v>139.48539524427255</v>
          </cell>
          <cell r="CA211">
            <v>142.11396730284719</v>
          </cell>
          <cell r="CB211">
            <v>137.95364615640665</v>
          </cell>
          <cell r="CC211">
            <v>148.57034162616822</v>
          </cell>
          <cell r="CD211">
            <v>158.56352768805098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162.40869565217392</v>
          </cell>
          <cell r="CM211">
            <v>144.45555555555555</v>
          </cell>
          <cell r="CN211">
            <v>169.82857142857145</v>
          </cell>
          <cell r="CO211">
            <v>177.54347826086956</v>
          </cell>
          <cell r="CP211">
            <v>185.12808219178083</v>
          </cell>
          <cell r="CQ211">
            <v>202.56575342465752</v>
          </cell>
        </row>
      </sheetData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in Sales retrieve Vol Rev"/>
      <sheetName val="Bad Debt Retrieve Escon 2"/>
      <sheetName val="Carburos"/>
      <sheetName val="Equipment"/>
      <sheetName val="Central Europe"/>
      <sheetName val="Tonnage"/>
      <sheetName val="Merchant"/>
      <sheetName val="BDV 1"/>
      <sheetName val="Rec Overview"/>
      <sheetName val="European Aging Summary"/>
      <sheetName val="Past Due Targets"/>
      <sheetName val="SE"/>
    </sheetNames>
    <sheetDataSet>
      <sheetData sheetId="0" refreshError="1"/>
      <sheetData sheetId="1" refreshError="1"/>
      <sheetData sheetId="2" refreshError="1">
        <row r="257">
          <cell r="B257" t="str">
            <v>SEPTEMBER FY 98</v>
          </cell>
          <cell r="H257" t="str">
            <v>As of 31st January 2000</v>
          </cell>
        </row>
        <row r="258">
          <cell r="M258" t="str">
            <v>PAST DUE</v>
          </cell>
          <cell r="W258" t="str">
            <v>Total Bad &amp;</v>
          </cell>
        </row>
        <row r="259">
          <cell r="B259" t="str">
            <v>CURRENCY</v>
          </cell>
          <cell r="C259" t="str">
            <v>SALES</v>
          </cell>
          <cell r="D259" t="str">
            <v>TAR</v>
          </cell>
          <cell r="E259" t="str">
            <v>DSO</v>
          </cell>
          <cell r="F259" t="str">
            <v>PAST DUE</v>
          </cell>
          <cell r="H259" t="str">
            <v>SALES</v>
          </cell>
          <cell r="I259" t="str">
            <v>TAR</v>
          </cell>
          <cell r="J259" t="str">
            <v>DSO</v>
          </cell>
          <cell r="K259" t="str">
            <v>TOTAL PAST DUE</v>
          </cell>
          <cell r="M259" t="str">
            <v>0-30 Days PD</v>
          </cell>
          <cell r="O259" t="str">
            <v>31-60 Days PD</v>
          </cell>
          <cell r="Q259" t="str">
            <v>61-90 Days PD</v>
          </cell>
          <cell r="S259" t="str">
            <v>91-180 Days PD</v>
          </cell>
          <cell r="U259" t="str">
            <v>180 + Days PD</v>
          </cell>
          <cell r="W259" t="str">
            <v>Doubtfull debt (BDD)</v>
          </cell>
          <cell r="X259" t="str">
            <v>Provision for BDD</v>
          </cell>
        </row>
        <row r="260">
          <cell r="C260" t="str">
            <v>LCL</v>
          </cell>
          <cell r="D260" t="str">
            <v>LCL</v>
          </cell>
          <cell r="E260" t="str">
            <v>Days</v>
          </cell>
          <cell r="F260" t="str">
            <v>LCL</v>
          </cell>
          <cell r="G260" t="str">
            <v>%</v>
          </cell>
          <cell r="H260" t="str">
            <v>LCL</v>
          </cell>
          <cell r="I260" t="str">
            <v>LCL</v>
          </cell>
          <cell r="J260" t="str">
            <v>Days</v>
          </cell>
          <cell r="K260" t="str">
            <v>LCL</v>
          </cell>
          <cell r="L260" t="str">
            <v>%</v>
          </cell>
          <cell r="M260" t="str">
            <v>LCL</v>
          </cell>
          <cell r="N260" t="str">
            <v>%</v>
          </cell>
          <cell r="O260" t="str">
            <v>LCL</v>
          </cell>
          <cell r="P260" t="str">
            <v>%</v>
          </cell>
          <cell r="Q260" t="str">
            <v>LCL</v>
          </cell>
          <cell r="R260" t="str">
            <v>%</v>
          </cell>
          <cell r="S260" t="str">
            <v>LCL</v>
          </cell>
          <cell r="T260" t="str">
            <v>%</v>
          </cell>
          <cell r="U260" t="str">
            <v>LCL</v>
          </cell>
          <cell r="V260" t="str">
            <v>%</v>
          </cell>
          <cell r="W260" t="str">
            <v>LCL</v>
          </cell>
          <cell r="X260" t="str">
            <v>LCL</v>
          </cell>
        </row>
        <row r="261">
          <cell r="A261" t="str">
            <v>ENERGY</v>
          </cell>
          <cell r="B261" t="str">
            <v>PTAS.</v>
          </cell>
          <cell r="C261">
            <v>37431</v>
          </cell>
          <cell r="D261">
            <v>93096</v>
          </cell>
          <cell r="E261">
            <v>80</v>
          </cell>
          <cell r="F261">
            <v>0</v>
          </cell>
          <cell r="G261">
            <v>0</v>
          </cell>
          <cell r="H261">
            <v>33155</v>
          </cell>
          <cell r="I261">
            <v>48228</v>
          </cell>
          <cell r="J261">
            <v>50.874481723949806</v>
          </cell>
          <cell r="K261">
            <v>0</v>
          </cell>
          <cell r="L261">
            <v>0</v>
          </cell>
          <cell r="M261">
            <v>0</v>
          </cell>
          <cell r="N261" t="e">
            <v>#DIV/0!</v>
          </cell>
          <cell r="O261">
            <v>0</v>
          </cell>
          <cell r="P261" t="e">
            <v>#DIV/0!</v>
          </cell>
          <cell r="Q261">
            <v>0</v>
          </cell>
          <cell r="R261" t="e">
            <v>#DIV/0!</v>
          </cell>
          <cell r="S261">
            <v>0</v>
          </cell>
          <cell r="T261" t="e">
            <v>#DIV/0!</v>
          </cell>
          <cell r="U261">
            <v>0</v>
          </cell>
          <cell r="V261" t="e">
            <v>#DIV/0!</v>
          </cell>
          <cell r="W261">
            <v>0</v>
          </cell>
          <cell r="X261">
            <v>0</v>
          </cell>
        </row>
        <row r="262">
          <cell r="A262" t="str">
            <v>BULK</v>
          </cell>
          <cell r="B262" t="str">
            <v>PTAS.</v>
          </cell>
          <cell r="C262">
            <v>920382</v>
          </cell>
          <cell r="D262">
            <v>2870434</v>
          </cell>
          <cell r="E262">
            <v>96</v>
          </cell>
          <cell r="F262">
            <v>31614</v>
          </cell>
          <cell r="G262">
            <v>1.1013665529324137</v>
          </cell>
          <cell r="H262">
            <v>947869</v>
          </cell>
          <cell r="I262">
            <v>3110771</v>
          </cell>
          <cell r="J262">
            <v>103.86422291126669</v>
          </cell>
          <cell r="K262">
            <v>71350</v>
          </cell>
          <cell r="L262">
            <v>2.2936436015380113</v>
          </cell>
          <cell r="M262">
            <v>2129</v>
          </cell>
          <cell r="N262">
            <v>2.983882270497547</v>
          </cell>
          <cell r="O262">
            <v>30827</v>
          </cell>
          <cell r="P262">
            <v>43.20532585844429</v>
          </cell>
          <cell r="Q262">
            <v>21043</v>
          </cell>
          <cell r="R262">
            <v>29.492641906096708</v>
          </cell>
          <cell r="S262">
            <v>8615</v>
          </cell>
          <cell r="T262">
            <v>12.074281709880868</v>
          </cell>
          <cell r="U262">
            <v>8736</v>
          </cell>
          <cell r="V262">
            <v>12.243868255080589</v>
          </cell>
          <cell r="W262">
            <v>79055</v>
          </cell>
          <cell r="X262">
            <v>7492</v>
          </cell>
        </row>
        <row r="263">
          <cell r="A263" t="str">
            <v>PACKAGED GASES</v>
          </cell>
          <cell r="B263" t="str">
            <v>PTAS.</v>
          </cell>
          <cell r="C263">
            <v>1824323</v>
          </cell>
          <cell r="D263">
            <v>5232806</v>
          </cell>
          <cell r="E263">
            <v>94</v>
          </cell>
          <cell r="F263">
            <v>184460</v>
          </cell>
          <cell r="G263">
            <v>3.525068576973807</v>
          </cell>
          <cell r="H263">
            <v>1801159</v>
          </cell>
          <cell r="I263">
            <v>5067550</v>
          </cell>
          <cell r="J263">
            <v>90.381870110109759</v>
          </cell>
          <cell r="K263">
            <v>116063</v>
          </cell>
          <cell r="L263">
            <v>2.2903178064350622</v>
          </cell>
          <cell r="M263">
            <v>5914</v>
          </cell>
          <cell r="N263">
            <v>5.0955084738461007</v>
          </cell>
          <cell r="O263">
            <v>40868</v>
          </cell>
          <cell r="P263">
            <v>35.211910772597641</v>
          </cell>
          <cell r="Q263">
            <v>28994</v>
          </cell>
          <cell r="R263">
            <v>24.981260177662133</v>
          </cell>
          <cell r="S263">
            <v>28443</v>
          </cell>
          <cell r="T263">
            <v>24.506518011769472</v>
          </cell>
          <cell r="U263">
            <v>11844</v>
          </cell>
          <cell r="V263">
            <v>10.204802564124657</v>
          </cell>
          <cell r="W263">
            <v>197802</v>
          </cell>
          <cell r="X263">
            <v>18567</v>
          </cell>
        </row>
        <row r="264">
          <cell r="A264" t="str">
            <v>WELDING</v>
          </cell>
          <cell r="B264" t="str">
            <v>PTAS.</v>
          </cell>
          <cell r="C264">
            <v>264100</v>
          </cell>
          <cell r="D264">
            <v>749468</v>
          </cell>
          <cell r="E264">
            <v>131</v>
          </cell>
          <cell r="F264">
            <v>5964</v>
          </cell>
          <cell r="G264">
            <v>0.79576446225856201</v>
          </cell>
          <cell r="H264">
            <v>167064</v>
          </cell>
          <cell r="I264">
            <v>742753</v>
          </cell>
          <cell r="J264">
            <v>123.96793995822566</v>
          </cell>
          <cell r="K264">
            <v>27813</v>
          </cell>
          <cell r="L264">
            <v>3.7445826539912996</v>
          </cell>
          <cell r="M264">
            <v>1434</v>
          </cell>
          <cell r="N264">
            <v>5.155862366519254</v>
          </cell>
          <cell r="O264">
            <v>6038</v>
          </cell>
          <cell r="P264">
            <v>21.709272642289577</v>
          </cell>
          <cell r="Q264">
            <v>11142</v>
          </cell>
          <cell r="R264">
            <v>40.060403408478052</v>
          </cell>
          <cell r="S264">
            <v>-1201</v>
          </cell>
          <cell r="T264">
            <v>-4.3181246179843962</v>
          </cell>
          <cell r="U264">
            <v>10400</v>
          </cell>
          <cell r="V264">
            <v>37.392586200697515</v>
          </cell>
          <cell r="W264">
            <v>104033</v>
          </cell>
          <cell r="X264">
            <v>9847</v>
          </cell>
        </row>
        <row r="265">
          <cell r="A265" t="str">
            <v>HOME CARE</v>
          </cell>
          <cell r="B265" t="str">
            <v>PTAS.</v>
          </cell>
          <cell r="C265">
            <v>766535</v>
          </cell>
          <cell r="D265">
            <v>3205692</v>
          </cell>
          <cell r="E265">
            <v>124</v>
          </cell>
          <cell r="F265">
            <v>1237787</v>
          </cell>
          <cell r="G265">
            <v>38.612162366191136</v>
          </cell>
          <cell r="H265">
            <v>673608</v>
          </cell>
          <cell r="I265">
            <v>4121967</v>
          </cell>
          <cell r="J265">
            <v>183.55797434814338</v>
          </cell>
          <cell r="K265">
            <v>1675932</v>
          </cell>
          <cell r="L265">
            <v>40.658549668155999</v>
          </cell>
          <cell r="M265">
            <v>32</v>
          </cell>
          <cell r="N265">
            <v>1.9093853449901309E-3</v>
          </cell>
          <cell r="O265">
            <v>186888</v>
          </cell>
          <cell r="P265">
            <v>11.151287761078612</v>
          </cell>
          <cell r="Q265">
            <v>46744</v>
          </cell>
          <cell r="R265">
            <v>2.7891346426943335</v>
          </cell>
          <cell r="S265">
            <v>272214</v>
          </cell>
          <cell r="T265">
            <v>16.242544446910735</v>
          </cell>
          <cell r="U265">
            <v>1170054</v>
          </cell>
          <cell r="V265">
            <v>69.815123763971329</v>
          </cell>
          <cell r="W265">
            <v>137</v>
          </cell>
          <cell r="X265">
            <v>51</v>
          </cell>
        </row>
        <row r="266">
          <cell r="A266" t="str">
            <v>HOSPITALS</v>
          </cell>
          <cell r="B266" t="str">
            <v>PTAS.</v>
          </cell>
          <cell r="C266">
            <v>598547</v>
          </cell>
          <cell r="D266">
            <v>3966384</v>
          </cell>
          <cell r="E266">
            <v>204</v>
          </cell>
          <cell r="F266">
            <v>1629030</v>
          </cell>
          <cell r="G266">
            <v>41.070909927026733</v>
          </cell>
          <cell r="H266">
            <v>812149</v>
          </cell>
          <cell r="I266">
            <v>4977358</v>
          </cell>
          <cell r="J266">
            <v>191.00842629511979</v>
          </cell>
          <cell r="K266">
            <v>2171302</v>
          </cell>
          <cell r="L266">
            <v>43.623585042506484</v>
          </cell>
          <cell r="M266">
            <v>1283</v>
          </cell>
          <cell r="N266">
            <v>5.9088970580785168E-2</v>
          </cell>
          <cell r="O266">
            <v>234279</v>
          </cell>
          <cell r="P266">
            <v>10.789793405062953</v>
          </cell>
          <cell r="Q266">
            <v>147521</v>
          </cell>
          <cell r="R266">
            <v>6.7941262892034366</v>
          </cell>
          <cell r="S266">
            <v>260807</v>
          </cell>
          <cell r="T266">
            <v>12.011548831070023</v>
          </cell>
          <cell r="U266">
            <v>1527412</v>
          </cell>
          <cell r="V266">
            <v>70.345442504082797</v>
          </cell>
          <cell r="W266">
            <v>54760</v>
          </cell>
          <cell r="X266">
            <v>5711</v>
          </cell>
        </row>
        <row r="267">
          <cell r="A267" t="str">
            <v>GASIN</v>
          </cell>
          <cell r="H267">
            <v>625787</v>
          </cell>
          <cell r="I267">
            <v>2450340</v>
          </cell>
          <cell r="J267">
            <v>123</v>
          </cell>
          <cell r="K267">
            <v>1201496</v>
          </cell>
          <cell r="L267">
            <v>49.033848363900518</v>
          </cell>
          <cell r="M267">
            <v>61947.48009923417</v>
          </cell>
          <cell r="N267">
            <v>5.155862366519254</v>
          </cell>
          <cell r="O267">
            <v>260836.04242620358</v>
          </cell>
          <cell r="P267">
            <v>21.70927264228958</v>
          </cell>
          <cell r="Q267">
            <v>481324.14453672746</v>
          </cell>
          <cell r="R267">
            <v>40.060403408478052</v>
          </cell>
          <cell r="S267">
            <v>-51882.094560097794</v>
          </cell>
          <cell r="T267">
            <v>-4.3181246179843962</v>
          </cell>
          <cell r="U267">
            <v>449270.42749793263</v>
          </cell>
          <cell r="V267">
            <v>37.392586200697515</v>
          </cell>
          <cell r="X267">
            <v>137366</v>
          </cell>
        </row>
        <row r="268">
          <cell r="A268" t="str">
            <v>TOTAL</v>
          </cell>
          <cell r="C268">
            <v>4411318</v>
          </cell>
          <cell r="D268">
            <v>16117880</v>
          </cell>
          <cell r="E268">
            <v>122</v>
          </cell>
          <cell r="F268">
            <v>3088855</v>
          </cell>
          <cell r="G268">
            <v>19.164151861162882</v>
          </cell>
          <cell r="H268">
            <v>5060791</v>
          </cell>
          <cell r="I268">
            <v>20518967</v>
          </cell>
          <cell r="J268">
            <v>126.5777614087263</v>
          </cell>
          <cell r="K268">
            <v>5263956</v>
          </cell>
          <cell r="L268">
            <v>25.654098473865666</v>
          </cell>
          <cell r="M268">
            <v>72739.480099234177</v>
          </cell>
          <cell r="N268">
            <v>1.3818405795799618</v>
          </cell>
          <cell r="O268">
            <v>759736.04242620361</v>
          </cell>
          <cell r="P268">
            <v>14.43279621687954</v>
          </cell>
          <cell r="Q268">
            <v>736768.14453672746</v>
          </cell>
          <cell r="R268">
            <v>13.996472321135045</v>
          </cell>
          <cell r="S268">
            <v>516995.90543990221</v>
          </cell>
          <cell r="T268">
            <v>9.8214328812760243</v>
          </cell>
          <cell r="U268">
            <v>3177716.4274979327</v>
          </cell>
          <cell r="V268">
            <v>60.367458001129428</v>
          </cell>
          <cell r="W268">
            <v>435787</v>
          </cell>
          <cell r="X268">
            <v>179034</v>
          </cell>
        </row>
        <row r="270">
          <cell r="B270" t="str">
            <v>SEPTEMBER FY 98</v>
          </cell>
          <cell r="H270" t="str">
            <v>As of 29th February 2000</v>
          </cell>
        </row>
        <row r="271">
          <cell r="M271" t="str">
            <v>PAST DUE</v>
          </cell>
          <cell r="W271" t="str">
            <v>Total Bad &amp;</v>
          </cell>
        </row>
        <row r="272">
          <cell r="B272" t="str">
            <v>CURRENCY</v>
          </cell>
          <cell r="C272" t="str">
            <v>SALES</v>
          </cell>
          <cell r="D272" t="str">
            <v>TAR</v>
          </cell>
          <cell r="E272" t="str">
            <v>DSO</v>
          </cell>
          <cell r="F272" t="str">
            <v>PAST DUE</v>
          </cell>
          <cell r="H272" t="str">
            <v>SALES</v>
          </cell>
          <cell r="I272" t="str">
            <v>TAR</v>
          </cell>
          <cell r="J272" t="str">
            <v>DSO</v>
          </cell>
          <cell r="K272" t="str">
            <v>TOTAL PAST DUE</v>
          </cell>
          <cell r="M272" t="str">
            <v>0-30 Days PD</v>
          </cell>
          <cell r="O272" t="str">
            <v>31-60 Days PD</v>
          </cell>
          <cell r="Q272" t="str">
            <v>61-90 Days PD</v>
          </cell>
          <cell r="S272" t="str">
            <v>91-180 Days PD</v>
          </cell>
          <cell r="U272" t="str">
            <v>180 + Days PD</v>
          </cell>
          <cell r="W272" t="str">
            <v>Doubtfull debt (BDD)</v>
          </cell>
          <cell r="X272" t="str">
            <v>Provision for BDD</v>
          </cell>
        </row>
        <row r="273">
          <cell r="C273" t="str">
            <v>LCL</v>
          </cell>
          <cell r="D273" t="str">
            <v>LCL</v>
          </cell>
          <cell r="E273" t="str">
            <v>Days</v>
          </cell>
          <cell r="F273" t="str">
            <v>LCL</v>
          </cell>
          <cell r="G273" t="str">
            <v>%</v>
          </cell>
          <cell r="H273" t="str">
            <v>LCL</v>
          </cell>
          <cell r="I273" t="str">
            <v>LCL</v>
          </cell>
          <cell r="J273" t="str">
            <v>Days</v>
          </cell>
          <cell r="K273" t="str">
            <v>LCL</v>
          </cell>
          <cell r="L273" t="str">
            <v>%</v>
          </cell>
          <cell r="M273" t="str">
            <v>LCL</v>
          </cell>
          <cell r="N273" t="str">
            <v>%</v>
          </cell>
          <cell r="O273" t="str">
            <v>LCL</v>
          </cell>
          <cell r="P273" t="str">
            <v>%</v>
          </cell>
          <cell r="Q273" t="str">
            <v>LCL</v>
          </cell>
          <cell r="R273" t="str">
            <v>%</v>
          </cell>
          <cell r="S273" t="str">
            <v>LCL</v>
          </cell>
          <cell r="T273" t="str">
            <v>%</v>
          </cell>
          <cell r="U273" t="str">
            <v>LCL</v>
          </cell>
          <cell r="V273" t="str">
            <v>%</v>
          </cell>
          <cell r="W273" t="str">
            <v>LCL</v>
          </cell>
          <cell r="X273" t="str">
            <v>LCL</v>
          </cell>
        </row>
        <row r="274">
          <cell r="A274" t="str">
            <v>ENERGY</v>
          </cell>
          <cell r="B274" t="str">
            <v>PTAS.</v>
          </cell>
          <cell r="C274">
            <v>37431</v>
          </cell>
          <cell r="D274">
            <v>93096</v>
          </cell>
          <cell r="E274">
            <v>80</v>
          </cell>
          <cell r="F274">
            <v>0</v>
          </cell>
          <cell r="G274">
            <v>0</v>
          </cell>
          <cell r="H274">
            <v>34538</v>
          </cell>
          <cell r="I274">
            <v>49310</v>
          </cell>
          <cell r="J274">
            <v>43.244789468691017</v>
          </cell>
          <cell r="K274">
            <v>0</v>
          </cell>
          <cell r="L274">
            <v>0</v>
          </cell>
          <cell r="M274">
            <v>0</v>
          </cell>
          <cell r="N274" t="e">
            <v>#DIV/0!</v>
          </cell>
          <cell r="O274">
            <v>0</v>
          </cell>
          <cell r="P274" t="e">
            <v>#DIV/0!</v>
          </cell>
          <cell r="Q274">
            <v>0</v>
          </cell>
          <cell r="R274" t="e">
            <v>#DIV/0!</v>
          </cell>
          <cell r="S274">
            <v>0</v>
          </cell>
          <cell r="T274" t="e">
            <v>#DIV/0!</v>
          </cell>
          <cell r="U274">
            <v>0</v>
          </cell>
          <cell r="V274" t="e">
            <v>#DIV/0!</v>
          </cell>
          <cell r="W274">
            <v>0</v>
          </cell>
          <cell r="X274">
            <v>0</v>
          </cell>
        </row>
        <row r="275">
          <cell r="A275" t="str">
            <v>BULK</v>
          </cell>
          <cell r="B275" t="str">
            <v>PTAS.</v>
          </cell>
          <cell r="C275">
            <v>920382</v>
          </cell>
          <cell r="D275">
            <v>2870434</v>
          </cell>
          <cell r="E275">
            <v>96</v>
          </cell>
          <cell r="F275">
            <v>31614</v>
          </cell>
          <cell r="G275">
            <v>1.1013665529324137</v>
          </cell>
          <cell r="H275">
            <v>934616</v>
          </cell>
          <cell r="I275">
            <v>3053944</v>
          </cell>
          <cell r="J275">
            <v>103.4419988351782</v>
          </cell>
          <cell r="K275">
            <v>46513</v>
          </cell>
          <cell r="L275">
            <v>1.5230469190004794</v>
          </cell>
          <cell r="M275">
            <v>5601</v>
          </cell>
          <cell r="N275">
            <v>12.041794767054371</v>
          </cell>
          <cell r="O275">
            <v>12103</v>
          </cell>
          <cell r="P275">
            <v>26.020682389869499</v>
          </cell>
          <cell r="Q275">
            <v>1246</v>
          </cell>
          <cell r="R275">
            <v>2.6788209747812441</v>
          </cell>
          <cell r="S275">
            <v>17326</v>
          </cell>
          <cell r="T275">
            <v>37.249801130866636</v>
          </cell>
          <cell r="U275">
            <v>10237</v>
          </cell>
          <cell r="V275">
            <v>22.008900737428245</v>
          </cell>
          <cell r="W275">
            <v>78795</v>
          </cell>
          <cell r="X275">
            <v>9365</v>
          </cell>
        </row>
        <row r="276">
          <cell r="A276" t="str">
            <v>PACKAGED GASES</v>
          </cell>
          <cell r="B276" t="str">
            <v>PTAS.</v>
          </cell>
          <cell r="C276">
            <v>1824323</v>
          </cell>
          <cell r="D276">
            <v>5232806</v>
          </cell>
          <cell r="E276">
            <v>94</v>
          </cell>
          <cell r="F276">
            <v>184460</v>
          </cell>
          <cell r="G276">
            <v>3.525068576973807</v>
          </cell>
          <cell r="H276">
            <v>1865066</v>
          </cell>
          <cell r="I276">
            <v>5176555</v>
          </cell>
          <cell r="J276">
            <v>88.887819727033914</v>
          </cell>
          <cell r="K276">
            <v>106329</v>
          </cell>
          <cell r="L276">
            <v>2.0540494595343817</v>
          </cell>
          <cell r="M276">
            <v>9336</v>
          </cell>
          <cell r="N276">
            <v>8.7802951217447731</v>
          </cell>
          <cell r="O276">
            <v>35902</v>
          </cell>
          <cell r="P276">
            <v>33.765012367275155</v>
          </cell>
          <cell r="Q276">
            <v>20740</v>
          </cell>
          <cell r="R276">
            <v>19.505497089223073</v>
          </cell>
          <cell r="S276">
            <v>26479</v>
          </cell>
          <cell r="T276">
            <v>24.902895729293043</v>
          </cell>
          <cell r="U276">
            <v>13872</v>
          </cell>
          <cell r="V276">
            <v>13.046299692463956</v>
          </cell>
          <cell r="W276">
            <v>196575</v>
          </cell>
          <cell r="X276">
            <v>23208</v>
          </cell>
        </row>
        <row r="277">
          <cell r="A277" t="str">
            <v>WELDING</v>
          </cell>
          <cell r="B277" t="str">
            <v>PTAS.</v>
          </cell>
          <cell r="C277">
            <v>264100</v>
          </cell>
          <cell r="D277">
            <v>749468</v>
          </cell>
          <cell r="E277">
            <v>131</v>
          </cell>
          <cell r="F277">
            <v>5964</v>
          </cell>
          <cell r="G277">
            <v>0.79576446225856201</v>
          </cell>
          <cell r="H277">
            <v>206794</v>
          </cell>
          <cell r="I277">
            <v>764232</v>
          </cell>
          <cell r="J277">
            <v>125.68847778380801</v>
          </cell>
          <cell r="K277">
            <v>28697</v>
          </cell>
          <cell r="L277">
            <v>3.755011567168085</v>
          </cell>
          <cell r="M277">
            <v>1561</v>
          </cell>
          <cell r="N277">
            <v>5.4395929888141614</v>
          </cell>
          <cell r="O277">
            <v>3400</v>
          </cell>
          <cell r="P277">
            <v>11.847928354880301</v>
          </cell>
          <cell r="Q277">
            <v>4868</v>
          </cell>
          <cell r="R277">
            <v>16.963445656340383</v>
          </cell>
          <cell r="S277">
            <v>11541</v>
          </cell>
          <cell r="T277">
            <v>40.216747395198105</v>
          </cell>
          <cell r="U277">
            <v>7327</v>
          </cell>
          <cell r="V277">
            <v>25.532285604767047</v>
          </cell>
          <cell r="W277">
            <v>103691</v>
          </cell>
          <cell r="X277">
            <v>12309</v>
          </cell>
        </row>
        <row r="278">
          <cell r="A278" t="str">
            <v>HOME CARE</v>
          </cell>
          <cell r="B278" t="str">
            <v>PTAS.</v>
          </cell>
          <cell r="C278">
            <v>766535</v>
          </cell>
          <cell r="D278">
            <v>3205692</v>
          </cell>
          <cell r="E278">
            <v>124</v>
          </cell>
          <cell r="F278">
            <v>1237787</v>
          </cell>
          <cell r="G278">
            <v>38.612162366191136</v>
          </cell>
          <cell r="H278">
            <v>573784</v>
          </cell>
          <cell r="I278">
            <v>3857918</v>
          </cell>
          <cell r="J278">
            <v>186.25365280992452</v>
          </cell>
          <cell r="K278">
            <v>1613300</v>
          </cell>
          <cell r="L278">
            <v>41.817892448724933</v>
          </cell>
          <cell r="M278">
            <v>0</v>
          </cell>
          <cell r="N278">
            <v>0</v>
          </cell>
          <cell r="O278">
            <v>91849</v>
          </cell>
          <cell r="P278">
            <v>5.6932374635839587</v>
          </cell>
          <cell r="Q278">
            <v>67416</v>
          </cell>
          <cell r="R278">
            <v>4.1787640240500838</v>
          </cell>
          <cell r="S278">
            <v>277026</v>
          </cell>
          <cell r="T278">
            <v>17.171387838591706</v>
          </cell>
          <cell r="U278">
            <v>1177009</v>
          </cell>
          <cell r="V278">
            <v>72.95661067377425</v>
          </cell>
          <cell r="W278">
            <v>137</v>
          </cell>
          <cell r="X278">
            <v>64</v>
          </cell>
        </row>
        <row r="279">
          <cell r="A279" t="str">
            <v>HOSPITALS</v>
          </cell>
          <cell r="B279" t="str">
            <v>PTAS.</v>
          </cell>
          <cell r="C279">
            <v>598547</v>
          </cell>
          <cell r="D279">
            <v>3966384</v>
          </cell>
          <cell r="E279">
            <v>204</v>
          </cell>
          <cell r="F279">
            <v>1629030</v>
          </cell>
          <cell r="G279">
            <v>41.070909927026733</v>
          </cell>
          <cell r="H279">
            <v>742434</v>
          </cell>
          <cell r="I279">
            <v>4990003</v>
          </cell>
          <cell r="J279">
            <v>191.93949438794843</v>
          </cell>
          <cell r="K279">
            <v>2175932</v>
          </cell>
          <cell r="L279">
            <v>43.605825487479663</v>
          </cell>
          <cell r="M279">
            <v>235</v>
          </cell>
          <cell r="N279">
            <v>1.0799969851999051E-2</v>
          </cell>
          <cell r="O279">
            <v>193451</v>
          </cell>
          <cell r="P279">
            <v>8.8904892248471015</v>
          </cell>
          <cell r="Q279">
            <v>155766</v>
          </cell>
          <cell r="R279">
            <v>7.1585876764531253</v>
          </cell>
          <cell r="S279">
            <v>268062</v>
          </cell>
          <cell r="T279">
            <v>12.31941071687902</v>
          </cell>
          <cell r="U279">
            <v>1558418</v>
          </cell>
          <cell r="V279">
            <v>71.620712411968753</v>
          </cell>
          <cell r="W279">
            <v>54759</v>
          </cell>
          <cell r="X279">
            <v>7139</v>
          </cell>
        </row>
        <row r="280">
          <cell r="A280" t="str">
            <v>GASIN</v>
          </cell>
          <cell r="H280">
            <v>596788</v>
          </cell>
          <cell r="I280">
            <v>2473366</v>
          </cell>
          <cell r="J280">
            <v>122</v>
          </cell>
          <cell r="K280">
            <v>1180628</v>
          </cell>
          <cell r="L280">
            <v>47.733655269782147</v>
          </cell>
          <cell r="M280">
            <v>64221.357911976862</v>
          </cell>
          <cell r="N280">
            <v>5.4395929888141614</v>
          </cell>
          <cell r="O280">
            <v>139879.95957765621</v>
          </cell>
          <cell r="P280">
            <v>11.847928354880301</v>
          </cell>
          <cell r="Q280">
            <v>200275.18918353834</v>
          </cell>
          <cell r="R280">
            <v>16.963445656340383</v>
          </cell>
          <cell r="S280">
            <v>474810.18043697946</v>
          </cell>
          <cell r="T280">
            <v>40.216747395198105</v>
          </cell>
          <cell r="U280">
            <v>301441.31288984913</v>
          </cell>
          <cell r="V280">
            <v>25.532285604767051</v>
          </cell>
          <cell r="W280">
            <v>137366</v>
          </cell>
          <cell r="X280">
            <v>8300</v>
          </cell>
        </row>
        <row r="281">
          <cell r="A281" t="str">
            <v>TOTAL</v>
          </cell>
          <cell r="C281">
            <v>4411318</v>
          </cell>
          <cell r="D281">
            <v>16117880</v>
          </cell>
          <cell r="E281">
            <v>122</v>
          </cell>
          <cell r="F281">
            <v>3088855</v>
          </cell>
          <cell r="G281">
            <v>19.164151861162882</v>
          </cell>
          <cell r="H281">
            <v>4954020</v>
          </cell>
          <cell r="I281">
            <v>20365328</v>
          </cell>
          <cell r="J281">
            <v>126.26108706220303</v>
          </cell>
          <cell r="K281">
            <v>5151399</v>
          </cell>
          <cell r="L281">
            <v>25.294947373300346</v>
          </cell>
          <cell r="M281">
            <v>80954.357911976869</v>
          </cell>
          <cell r="N281">
            <v>1.5715023804596939</v>
          </cell>
          <cell r="O281">
            <v>476584.95957765623</v>
          </cell>
          <cell r="P281">
            <v>9.2515636932347149</v>
          </cell>
          <cell r="Q281">
            <v>450311.18918353831</v>
          </cell>
          <cell r="R281">
            <v>8.7415319446918858</v>
          </cell>
          <cell r="S281">
            <v>1075244.1804369795</v>
          </cell>
          <cell r="T281">
            <v>20.872857653561287</v>
          </cell>
          <cell r="U281">
            <v>3068304.3128898493</v>
          </cell>
          <cell r="V281">
            <v>59.562544328052425</v>
          </cell>
          <cell r="W281">
            <v>571323</v>
          </cell>
          <cell r="X281">
            <v>60385</v>
          </cell>
        </row>
        <row r="283">
          <cell r="B283" t="str">
            <v>SEPTEMBER FY 98</v>
          </cell>
          <cell r="H283" t="str">
            <v>As of 31st March 2000</v>
          </cell>
        </row>
        <row r="284">
          <cell r="M284" t="str">
            <v>PAST DUE</v>
          </cell>
          <cell r="W284" t="str">
            <v>Total Bad &amp;</v>
          </cell>
        </row>
        <row r="285">
          <cell r="B285" t="str">
            <v>CURRENCY</v>
          </cell>
          <cell r="C285" t="str">
            <v>SALES</v>
          </cell>
          <cell r="D285" t="str">
            <v>TAR</v>
          </cell>
          <cell r="E285" t="str">
            <v>DSO</v>
          </cell>
          <cell r="F285" t="str">
            <v>PAST DUE</v>
          </cell>
          <cell r="H285" t="str">
            <v>SALES</v>
          </cell>
          <cell r="I285" t="str">
            <v>TAR</v>
          </cell>
          <cell r="J285" t="str">
            <v>DSO</v>
          </cell>
          <cell r="K285" t="str">
            <v>TOTAL PAST DUE</v>
          </cell>
          <cell r="M285" t="str">
            <v>0-30 Days PD</v>
          </cell>
          <cell r="O285" t="str">
            <v>31-60 Days PD</v>
          </cell>
          <cell r="Q285" t="str">
            <v>61-90 Days PD</v>
          </cell>
          <cell r="S285" t="str">
            <v>91-180 Days PD</v>
          </cell>
          <cell r="U285" t="str">
            <v>180 + Days PD</v>
          </cell>
          <cell r="W285" t="str">
            <v>Doubtfull debt (BDD)</v>
          </cell>
          <cell r="X285" t="str">
            <v>Provision for BDD</v>
          </cell>
        </row>
        <row r="286">
          <cell r="C286" t="str">
            <v>LCL</v>
          </cell>
          <cell r="D286" t="str">
            <v>LCL</v>
          </cell>
          <cell r="E286" t="str">
            <v>Days</v>
          </cell>
          <cell r="F286" t="str">
            <v>LCL</v>
          </cell>
          <cell r="G286" t="str">
            <v>%</v>
          </cell>
          <cell r="H286" t="str">
            <v>LCL</v>
          </cell>
          <cell r="I286" t="str">
            <v>LCL</v>
          </cell>
          <cell r="J286" t="str">
            <v>Days</v>
          </cell>
          <cell r="K286" t="str">
            <v>LCL</v>
          </cell>
          <cell r="L286" t="str">
            <v>%</v>
          </cell>
          <cell r="M286" t="str">
            <v>LCL</v>
          </cell>
          <cell r="N286" t="str">
            <v>%</v>
          </cell>
          <cell r="O286" t="str">
            <v>LCL</v>
          </cell>
          <cell r="P286" t="str">
            <v>%</v>
          </cell>
          <cell r="Q286" t="str">
            <v>LCL</v>
          </cell>
          <cell r="R286" t="str">
            <v>%</v>
          </cell>
          <cell r="S286" t="str">
            <v>LCL</v>
          </cell>
          <cell r="T286" t="str">
            <v>%</v>
          </cell>
          <cell r="U286" t="str">
            <v>LCL</v>
          </cell>
          <cell r="V286" t="str">
            <v>%</v>
          </cell>
          <cell r="W286" t="str">
            <v>LCL</v>
          </cell>
          <cell r="X286" t="str">
            <v>LCL</v>
          </cell>
        </row>
        <row r="287">
          <cell r="A287" t="str">
            <v>ENERGY</v>
          </cell>
          <cell r="B287" t="str">
            <v>PTAS.</v>
          </cell>
          <cell r="C287">
            <v>37431</v>
          </cell>
          <cell r="D287">
            <v>93096</v>
          </cell>
          <cell r="E287">
            <v>80</v>
          </cell>
          <cell r="F287">
            <v>0</v>
          </cell>
          <cell r="G287">
            <v>0</v>
          </cell>
          <cell r="H287">
            <v>33713</v>
          </cell>
          <cell r="I287">
            <v>50767</v>
          </cell>
          <cell r="J287">
            <v>44.362118612310908</v>
          </cell>
          <cell r="K287">
            <v>0</v>
          </cell>
          <cell r="L287">
            <v>0</v>
          </cell>
          <cell r="M287">
            <v>0</v>
          </cell>
          <cell r="N287" t="e">
            <v>#DIV/0!</v>
          </cell>
          <cell r="P287" t="e">
            <v>#DIV/0!</v>
          </cell>
          <cell r="R287" t="e">
            <v>#DIV/0!</v>
          </cell>
          <cell r="T287" t="e">
            <v>#DIV/0!</v>
          </cell>
          <cell r="V287" t="e">
            <v>#DIV/0!</v>
          </cell>
        </row>
        <row r="288">
          <cell r="A288" t="str">
            <v>BULK</v>
          </cell>
          <cell r="B288" t="str">
            <v>PTAS.</v>
          </cell>
          <cell r="C288">
            <v>920382</v>
          </cell>
          <cell r="D288">
            <v>2870434</v>
          </cell>
          <cell r="E288">
            <v>96</v>
          </cell>
          <cell r="F288">
            <v>31614</v>
          </cell>
          <cell r="G288">
            <v>1.1013665529324137</v>
          </cell>
          <cell r="H288">
            <v>1071889</v>
          </cell>
          <cell r="I288">
            <v>3158906</v>
          </cell>
          <cell r="J288">
            <v>95.728064106530397</v>
          </cell>
          <cell r="K288">
            <v>70432</v>
          </cell>
          <cell r="L288">
            <v>2.2296326639665756</v>
          </cell>
          <cell r="M288">
            <v>2397</v>
          </cell>
          <cell r="N288">
            <v>3.403282598818719</v>
          </cell>
          <cell r="O288">
            <v>20414</v>
          </cell>
          <cell r="P288">
            <v>28.983984552476151</v>
          </cell>
          <cell r="Q288">
            <v>17512</v>
          </cell>
          <cell r="R288">
            <v>24.863698318945936</v>
          </cell>
          <cell r="S288">
            <v>18684</v>
          </cell>
          <cell r="T288">
            <v>26.527714675147664</v>
          </cell>
          <cell r="U288">
            <v>11425</v>
          </cell>
          <cell r="V288">
            <v>16.22131985461154</v>
          </cell>
          <cell r="W288">
            <v>78327</v>
          </cell>
          <cell r="X288">
            <v>11238</v>
          </cell>
        </row>
        <row r="289">
          <cell r="A289" t="str">
            <v>PACKAGED GASES</v>
          </cell>
          <cell r="B289" t="str">
            <v>PTAS.</v>
          </cell>
          <cell r="C289">
            <v>1824323</v>
          </cell>
          <cell r="D289">
            <v>5232806</v>
          </cell>
          <cell r="E289">
            <v>94</v>
          </cell>
          <cell r="F289">
            <v>184460</v>
          </cell>
          <cell r="G289">
            <v>3.525068576973807</v>
          </cell>
          <cell r="H289">
            <v>2105832</v>
          </cell>
          <cell r="I289">
            <v>5479299</v>
          </cell>
          <cell r="J289">
            <v>82.629685511883665</v>
          </cell>
          <cell r="K289">
            <v>97251</v>
          </cell>
          <cell r="L289">
            <v>1.7748803268447295</v>
          </cell>
          <cell r="M289">
            <v>7015</v>
          </cell>
          <cell r="N289">
            <v>7.2132934365713473</v>
          </cell>
          <cell r="O289">
            <v>32995</v>
          </cell>
          <cell r="P289">
            <v>33.927671694892595</v>
          </cell>
          <cell r="Q289">
            <v>16913</v>
          </cell>
          <cell r="R289">
            <v>17.391080811508363</v>
          </cell>
          <cell r="S289">
            <v>23987</v>
          </cell>
          <cell r="T289">
            <v>24.665042004709463</v>
          </cell>
          <cell r="U289">
            <v>16341</v>
          </cell>
          <cell r="V289">
            <v>16.802912052318227</v>
          </cell>
          <cell r="W289">
            <v>196358</v>
          </cell>
          <cell r="X289">
            <v>27850</v>
          </cell>
        </row>
        <row r="290">
          <cell r="A290" t="str">
            <v>WELDING</v>
          </cell>
          <cell r="B290" t="str">
            <v>PTAS.</v>
          </cell>
          <cell r="C290">
            <v>264100</v>
          </cell>
          <cell r="D290">
            <v>749468</v>
          </cell>
          <cell r="E290">
            <v>131</v>
          </cell>
          <cell r="F290">
            <v>5964</v>
          </cell>
          <cell r="G290">
            <v>0.79576446225856201</v>
          </cell>
          <cell r="H290">
            <v>212837</v>
          </cell>
          <cell r="I290">
            <v>805444</v>
          </cell>
          <cell r="J290">
            <v>119.55731626597577</v>
          </cell>
          <cell r="K290">
            <v>19010</v>
          </cell>
          <cell r="L290">
            <v>2.3601889144372548</v>
          </cell>
          <cell r="M290">
            <v>1342</v>
          </cell>
          <cell r="N290">
            <v>7.0594423987375059</v>
          </cell>
          <cell r="O290">
            <v>277</v>
          </cell>
          <cell r="P290">
            <v>1.4571278274592319</v>
          </cell>
          <cell r="Q290">
            <v>1799</v>
          </cell>
          <cell r="R290">
            <v>9.4634402945817993</v>
          </cell>
          <cell r="S290">
            <v>9404</v>
          </cell>
          <cell r="T290">
            <v>49.468700683850599</v>
          </cell>
          <cell r="U290">
            <v>6188</v>
          </cell>
          <cell r="V290">
            <v>32.551288795370859</v>
          </cell>
          <cell r="W290">
            <v>103491</v>
          </cell>
          <cell r="X290">
            <v>14771</v>
          </cell>
        </row>
        <row r="291">
          <cell r="A291" t="str">
            <v>HOME CARE</v>
          </cell>
          <cell r="B291" t="str">
            <v>PTAS.</v>
          </cell>
          <cell r="C291">
            <v>766535</v>
          </cell>
          <cell r="D291">
            <v>3205692</v>
          </cell>
          <cell r="E291">
            <v>124</v>
          </cell>
          <cell r="F291">
            <v>1237787</v>
          </cell>
          <cell r="G291">
            <v>38.612162366191136</v>
          </cell>
          <cell r="H291">
            <v>613987</v>
          </cell>
          <cell r="I291">
            <v>3600493</v>
          </cell>
          <cell r="J291">
            <v>188.71571345760321</v>
          </cell>
          <cell r="K291">
            <v>1206888</v>
          </cell>
          <cell r="L291">
            <v>33.520076278442978</v>
          </cell>
          <cell r="M291">
            <v>66</v>
          </cell>
          <cell r="N291">
            <v>5.4686101775806868E-3</v>
          </cell>
          <cell r="O291">
            <v>35955</v>
          </cell>
          <cell r="P291">
            <v>2.9791496808320241</v>
          </cell>
          <cell r="Q291">
            <v>40531</v>
          </cell>
          <cell r="R291">
            <v>3.3583066531442851</v>
          </cell>
          <cell r="S291">
            <v>78359</v>
          </cell>
          <cell r="T291">
            <v>6.4926488621976519</v>
          </cell>
          <cell r="U291">
            <v>1051977</v>
          </cell>
          <cell r="V291">
            <v>87.164426193648453</v>
          </cell>
          <cell r="W291">
            <v>137</v>
          </cell>
          <cell r="X291">
            <v>77</v>
          </cell>
        </row>
        <row r="292">
          <cell r="A292" t="str">
            <v>HOSPITALS</v>
          </cell>
          <cell r="B292" t="str">
            <v>PTAS.</v>
          </cell>
          <cell r="C292">
            <v>598547</v>
          </cell>
          <cell r="D292">
            <v>3966384</v>
          </cell>
          <cell r="E292">
            <v>204</v>
          </cell>
          <cell r="F292">
            <v>1629030</v>
          </cell>
          <cell r="G292">
            <v>41.070909927026733</v>
          </cell>
          <cell r="H292">
            <v>731623</v>
          </cell>
          <cell r="I292">
            <v>4840325</v>
          </cell>
          <cell r="J292">
            <v>196.46806776525531</v>
          </cell>
          <cell r="K292">
            <v>2010101</v>
          </cell>
          <cell r="L292">
            <v>41.528223827945439</v>
          </cell>
          <cell r="M292">
            <v>2986</v>
          </cell>
          <cell r="N292">
            <v>0.14854974949019975</v>
          </cell>
          <cell r="O292">
            <v>224481</v>
          </cell>
          <cell r="P292">
            <v>11.1676477948123</v>
          </cell>
          <cell r="Q292">
            <v>145377</v>
          </cell>
          <cell r="R292">
            <v>7.2323231519212214</v>
          </cell>
          <cell r="S292">
            <v>262299</v>
          </cell>
          <cell r="T292">
            <v>13.04904579421631</v>
          </cell>
          <cell r="U292">
            <v>1374958</v>
          </cell>
          <cell r="V292">
            <v>68.40243350955997</v>
          </cell>
          <cell r="W292">
            <v>54759</v>
          </cell>
          <cell r="X292">
            <v>8567</v>
          </cell>
        </row>
        <row r="293">
          <cell r="A293" t="str">
            <v>GASIN</v>
          </cell>
          <cell r="H293">
            <v>625158</v>
          </cell>
          <cell r="I293">
            <v>2434807</v>
          </cell>
          <cell r="J293">
            <v>120.80112638929253</v>
          </cell>
          <cell r="K293">
            <v>1180628</v>
          </cell>
          <cell r="L293">
            <v>48.489592809614891</v>
          </cell>
          <cell r="M293">
            <v>55211.442868592538</v>
          </cell>
          <cell r="N293">
            <v>4.6764470153674607</v>
          </cell>
          <cell r="O293">
            <v>11396.102589120814</v>
          </cell>
          <cell r="P293">
            <v>0.96525769244171866</v>
          </cell>
          <cell r="Q293">
            <v>74012.955082412795</v>
          </cell>
          <cell r="R293">
            <v>6.2689479736557825</v>
          </cell>
          <cell r="S293">
            <v>386891.51172596437</v>
          </cell>
          <cell r="T293">
            <v>32.769975955674809</v>
          </cell>
          <cell r="U293">
            <v>254581.52643133429</v>
          </cell>
          <cell r="V293">
            <v>21.563229605882146</v>
          </cell>
          <cell r="W293">
            <v>137653</v>
          </cell>
          <cell r="X293">
            <v>9960</v>
          </cell>
        </row>
        <row r="294">
          <cell r="A294" t="str">
            <v>TOTAL</v>
          </cell>
          <cell r="C294">
            <v>4411318</v>
          </cell>
          <cell r="D294">
            <v>16117880</v>
          </cell>
          <cell r="E294">
            <v>122</v>
          </cell>
          <cell r="F294">
            <v>3088855</v>
          </cell>
          <cell r="G294">
            <v>19.164151861162882</v>
          </cell>
          <cell r="H294">
            <v>5395039</v>
          </cell>
          <cell r="I294">
            <v>20370041</v>
          </cell>
          <cell r="J294">
            <v>120.57535874781389</v>
          </cell>
          <cell r="K294">
            <v>4584310</v>
          </cell>
          <cell r="L294">
            <v>22.505158433407178</v>
          </cell>
          <cell r="M294">
            <v>69017.442868592538</v>
          </cell>
          <cell r="N294">
            <v>1.5055143057208726</v>
          </cell>
          <cell r="O294">
            <v>325518.1025891208</v>
          </cell>
          <cell r="P294">
            <v>7.1007000527695725</v>
          </cell>
          <cell r="Q294">
            <v>296144.95508241281</v>
          </cell>
          <cell r="R294">
            <v>6.4599679140898587</v>
          </cell>
          <cell r="S294">
            <v>779624.51172596437</v>
          </cell>
          <cell r="T294">
            <v>17.006365444875332</v>
          </cell>
          <cell r="U294">
            <v>2715470.5264313342</v>
          </cell>
          <cell r="V294">
            <v>59.234007439098448</v>
          </cell>
          <cell r="W294">
            <v>570725</v>
          </cell>
          <cell r="X294">
            <v>72463</v>
          </cell>
        </row>
      </sheetData>
      <sheetData sheetId="3" refreshError="1">
        <row r="201">
          <cell r="J201" t="str">
            <v>As of 31st January 2000</v>
          </cell>
        </row>
        <row r="203">
          <cell r="D203" t="str">
            <v>September FY 97 *</v>
          </cell>
          <cell r="I203" t="str">
            <v>|</v>
          </cell>
          <cell r="M203" t="str">
            <v>PAST DUE</v>
          </cell>
          <cell r="Y203" t="str">
            <v>Total Bad</v>
          </cell>
          <cell r="Z203" t="str">
            <v>Provision for</v>
          </cell>
        </row>
        <row r="204">
          <cell r="B204" t="str">
            <v>CURRENCY</v>
          </cell>
          <cell r="C204" t="str">
            <v>SALES</v>
          </cell>
          <cell r="D204" t="str">
            <v>TAR</v>
          </cell>
          <cell r="E204" t="str">
            <v>DSO</v>
          </cell>
          <cell r="G204" t="str">
            <v>PAST DUE</v>
          </cell>
          <cell r="I204" t="str">
            <v>|</v>
          </cell>
          <cell r="J204" t="str">
            <v>SALES</v>
          </cell>
          <cell r="K204" t="str">
            <v>TAR</v>
          </cell>
          <cell r="L204" t="str">
            <v>DSO</v>
          </cell>
          <cell r="M204" t="str">
            <v>TOTAL PAST DUE</v>
          </cell>
          <cell r="O204" t="str">
            <v>0-30 Days PD</v>
          </cell>
          <cell r="Q204" t="str">
            <v>31-60 Days PD</v>
          </cell>
          <cell r="S204" t="str">
            <v>61-90 Days PD</v>
          </cell>
          <cell r="U204" t="str">
            <v>91-180 Days PD</v>
          </cell>
          <cell r="W204" t="str">
            <v>180+ Days PD</v>
          </cell>
          <cell r="Y204" t="str">
            <v>Debt Recovery</v>
          </cell>
          <cell r="Z204" t="str">
            <v>Bad Debt</v>
          </cell>
        </row>
        <row r="205">
          <cell r="C205" t="str">
            <v>LCL</v>
          </cell>
          <cell r="D205" t="str">
            <v>LCL</v>
          </cell>
          <cell r="E205" t="str">
            <v>Days</v>
          </cell>
          <cell r="G205" t="str">
            <v>LCL</v>
          </cell>
          <cell r="H205" t="str">
            <v>%</v>
          </cell>
          <cell r="I205" t="str">
            <v>|</v>
          </cell>
          <cell r="J205" t="str">
            <v>LCL</v>
          </cell>
          <cell r="K205" t="str">
            <v>LCL</v>
          </cell>
          <cell r="L205" t="str">
            <v>Days</v>
          </cell>
          <cell r="M205" t="str">
            <v>LCL</v>
          </cell>
          <cell r="N205" t="str">
            <v>%</v>
          </cell>
          <cell r="O205" t="str">
            <v>LCL</v>
          </cell>
          <cell r="P205" t="str">
            <v>%</v>
          </cell>
          <cell r="Q205" t="str">
            <v>LCL</v>
          </cell>
          <cell r="R205" t="str">
            <v>%</v>
          </cell>
          <cell r="S205" t="str">
            <v>LCL</v>
          </cell>
          <cell r="T205" t="str">
            <v>%</v>
          </cell>
          <cell r="U205" t="str">
            <v>LCL</v>
          </cell>
          <cell r="V205" t="str">
            <v>%</v>
          </cell>
          <cell r="W205" t="str">
            <v>LCL</v>
          </cell>
          <cell r="X205" t="str">
            <v>%</v>
          </cell>
          <cell r="Y205" t="str">
            <v>LCL</v>
          </cell>
          <cell r="Z205" t="str">
            <v>LCL</v>
          </cell>
        </row>
        <row r="206">
          <cell r="I206" t="str">
            <v>|</v>
          </cell>
        </row>
        <row r="207">
          <cell r="A207" t="str">
            <v>Equipment</v>
          </cell>
          <cell r="B207" t="str">
            <v>GBP</v>
          </cell>
          <cell r="C207">
            <v>20077</v>
          </cell>
          <cell r="D207">
            <v>17848</v>
          </cell>
          <cell r="E207">
            <v>56.899068348586034</v>
          </cell>
          <cell r="G207">
            <v>10339</v>
          </cell>
          <cell r="H207">
            <v>0.57928059166293144</v>
          </cell>
          <cell r="I207" t="str">
            <v>|</v>
          </cell>
          <cell r="J207">
            <v>199</v>
          </cell>
          <cell r="K207">
            <v>5263</v>
          </cell>
          <cell r="L207">
            <v>81.067301793511604</v>
          </cell>
          <cell r="M207">
            <v>1637</v>
          </cell>
          <cell r="N207">
            <v>0.31103933117993537</v>
          </cell>
          <cell r="O207">
            <v>285</v>
          </cell>
          <cell r="P207">
            <v>5.4151624548736461E-2</v>
          </cell>
          <cell r="Q207">
            <v>569</v>
          </cell>
          <cell r="R207">
            <v>0</v>
          </cell>
          <cell r="S207">
            <v>46</v>
          </cell>
          <cell r="T207">
            <v>8.7402622078662368E-3</v>
          </cell>
          <cell r="U207">
            <v>91</v>
          </cell>
          <cell r="V207">
            <v>0</v>
          </cell>
          <cell r="W207">
            <v>646</v>
          </cell>
          <cell r="X207">
            <v>0.39462431276725718</v>
          </cell>
          <cell r="Y207">
            <v>0</v>
          </cell>
          <cell r="Z207">
            <v>0</v>
          </cell>
        </row>
        <row r="208">
          <cell r="A208" t="str">
            <v>PED1</v>
          </cell>
          <cell r="C208">
            <v>20077</v>
          </cell>
          <cell r="D208">
            <v>17848</v>
          </cell>
          <cell r="E208">
            <v>56.899068348586034</v>
          </cell>
          <cell r="G208">
            <v>10339</v>
          </cell>
          <cell r="H208">
            <v>0.57928059166293144</v>
          </cell>
          <cell r="I208" t="str">
            <v>|</v>
          </cell>
          <cell r="J208">
            <v>199</v>
          </cell>
          <cell r="K208">
            <v>5263</v>
          </cell>
          <cell r="L208">
            <v>81.067301793511604</v>
          </cell>
          <cell r="M208">
            <v>1637</v>
          </cell>
          <cell r="N208">
            <v>0.31103933117993537</v>
          </cell>
          <cell r="O208">
            <v>285</v>
          </cell>
          <cell r="P208">
            <v>5.4151624548736461E-2</v>
          </cell>
          <cell r="Q208">
            <v>569</v>
          </cell>
          <cell r="R208">
            <v>0.10811324339730193</v>
          </cell>
          <cell r="S208">
            <v>46</v>
          </cell>
          <cell r="T208">
            <v>8.7402622078662368E-3</v>
          </cell>
          <cell r="U208">
            <v>91</v>
          </cell>
          <cell r="V208">
            <v>1.7290518715561465E-2</v>
          </cell>
          <cell r="W208">
            <v>646</v>
          </cell>
          <cell r="X208">
            <v>0.39462431276725718</v>
          </cell>
          <cell r="Y208">
            <v>0</v>
          </cell>
          <cell r="Z208">
            <v>0</v>
          </cell>
        </row>
        <row r="210">
          <cell r="J210" t="str">
            <v>As of 29th February 2000</v>
          </cell>
        </row>
        <row r="212">
          <cell r="D212" t="str">
            <v>September FY 97 *</v>
          </cell>
          <cell r="I212" t="str">
            <v>|</v>
          </cell>
          <cell r="M212" t="str">
            <v>PAST DUE</v>
          </cell>
          <cell r="Y212" t="str">
            <v>Total Bad</v>
          </cell>
          <cell r="Z212" t="str">
            <v>Provision for</v>
          </cell>
        </row>
        <row r="213">
          <cell r="B213" t="str">
            <v>CURRENCY</v>
          </cell>
          <cell r="C213" t="str">
            <v>SALES</v>
          </cell>
          <cell r="D213" t="str">
            <v>TAR</v>
          </cell>
          <cell r="E213" t="str">
            <v>DSO</v>
          </cell>
          <cell r="G213" t="str">
            <v>PAST DUE</v>
          </cell>
          <cell r="I213" t="str">
            <v>|</v>
          </cell>
          <cell r="J213" t="str">
            <v>SALES</v>
          </cell>
          <cell r="K213" t="str">
            <v>TAR</v>
          </cell>
          <cell r="L213" t="str">
            <v>DSO</v>
          </cell>
          <cell r="M213" t="str">
            <v>TOTAL PAST DUE</v>
          </cell>
          <cell r="O213" t="str">
            <v>0-30 Days PD</v>
          </cell>
          <cell r="Q213" t="str">
            <v>31-60 Days PD</v>
          </cell>
          <cell r="S213" t="str">
            <v>61-90 Days PD</v>
          </cell>
          <cell r="U213" t="str">
            <v>91-180 Days PD</v>
          </cell>
          <cell r="W213" t="str">
            <v>180+ Days PD</v>
          </cell>
          <cell r="Y213" t="str">
            <v>Debt Recovery</v>
          </cell>
          <cell r="Z213" t="str">
            <v>Bad Debt</v>
          </cell>
        </row>
        <row r="214">
          <cell r="C214" t="str">
            <v>LCL</v>
          </cell>
          <cell r="D214" t="str">
            <v>LCL</v>
          </cell>
          <cell r="E214" t="str">
            <v>Days</v>
          </cell>
          <cell r="G214" t="str">
            <v>LCL</v>
          </cell>
          <cell r="H214" t="str">
            <v>%</v>
          </cell>
          <cell r="I214" t="str">
            <v>|</v>
          </cell>
          <cell r="J214" t="str">
            <v>LCL</v>
          </cell>
          <cell r="K214" t="str">
            <v>LCL</v>
          </cell>
          <cell r="L214" t="str">
            <v>Days</v>
          </cell>
          <cell r="M214" t="str">
            <v>LCL</v>
          </cell>
          <cell r="N214" t="str">
            <v>%</v>
          </cell>
          <cell r="O214" t="str">
            <v>LCL</v>
          </cell>
          <cell r="P214" t="str">
            <v>%</v>
          </cell>
          <cell r="Q214" t="str">
            <v>LCL</v>
          </cell>
          <cell r="R214" t="str">
            <v>%</v>
          </cell>
          <cell r="S214" t="str">
            <v>LCL</v>
          </cell>
          <cell r="T214" t="str">
            <v>%</v>
          </cell>
          <cell r="U214" t="str">
            <v>LCL</v>
          </cell>
          <cell r="V214" t="str">
            <v>%</v>
          </cell>
          <cell r="W214" t="str">
            <v>LCL</v>
          </cell>
          <cell r="X214" t="str">
            <v>%</v>
          </cell>
          <cell r="Y214" t="str">
            <v>LCL</v>
          </cell>
          <cell r="Z214" t="str">
            <v>LCL</v>
          </cell>
        </row>
        <row r="215">
          <cell r="I215" t="str">
            <v>|</v>
          </cell>
        </row>
        <row r="216">
          <cell r="A216" t="str">
            <v>Equipment</v>
          </cell>
          <cell r="B216" t="str">
            <v>GBP</v>
          </cell>
          <cell r="C216">
            <v>20077</v>
          </cell>
          <cell r="D216">
            <v>17848</v>
          </cell>
          <cell r="E216">
            <v>56.899068348586034</v>
          </cell>
          <cell r="G216">
            <v>10339</v>
          </cell>
          <cell r="H216">
            <v>0.57928059166293144</v>
          </cell>
          <cell r="I216" t="str">
            <v>|</v>
          </cell>
          <cell r="J216">
            <v>161</v>
          </cell>
          <cell r="K216">
            <v>6417</v>
          </cell>
          <cell r="L216">
            <v>64.574204670114398</v>
          </cell>
          <cell r="M216">
            <v>3824</v>
          </cell>
          <cell r="N216">
            <v>0.59591709521583291</v>
          </cell>
          <cell r="O216">
            <v>1936</v>
          </cell>
          <cell r="P216">
            <v>0.30169861305906187</v>
          </cell>
          <cell r="Q216">
            <v>292</v>
          </cell>
          <cell r="R216">
            <v>0</v>
          </cell>
          <cell r="S216">
            <v>733</v>
          </cell>
          <cell r="T216">
            <v>0.11422783232039894</v>
          </cell>
          <cell r="U216">
            <v>112</v>
          </cell>
          <cell r="V216">
            <v>0</v>
          </cell>
          <cell r="W216">
            <v>751</v>
          </cell>
          <cell r="X216">
            <v>0.19639121338912133</v>
          </cell>
          <cell r="Y216">
            <v>0</v>
          </cell>
          <cell r="Z216">
            <v>0</v>
          </cell>
        </row>
        <row r="217">
          <cell r="A217" t="str">
            <v>PED1</v>
          </cell>
          <cell r="C217">
            <v>20077</v>
          </cell>
          <cell r="D217">
            <v>17848</v>
          </cell>
          <cell r="E217">
            <v>56.899068348586034</v>
          </cell>
          <cell r="G217">
            <v>10339</v>
          </cell>
          <cell r="H217">
            <v>0.57928059166293144</v>
          </cell>
          <cell r="I217" t="str">
            <v>|</v>
          </cell>
          <cell r="J217">
            <v>161</v>
          </cell>
          <cell r="K217">
            <v>6417</v>
          </cell>
          <cell r="L217">
            <v>64.574204670114398</v>
          </cell>
          <cell r="M217">
            <v>3824</v>
          </cell>
          <cell r="N217">
            <v>0.59591709521583291</v>
          </cell>
          <cell r="O217">
            <v>1936</v>
          </cell>
          <cell r="P217">
            <v>0.30169861305906187</v>
          </cell>
          <cell r="Q217">
            <v>292</v>
          </cell>
          <cell r="R217">
            <v>4.5504129655602306E-2</v>
          </cell>
          <cell r="S217">
            <v>733</v>
          </cell>
          <cell r="T217">
            <v>0.11422783232039894</v>
          </cell>
          <cell r="U217">
            <v>112</v>
          </cell>
          <cell r="V217">
            <v>1.7453638772011844E-2</v>
          </cell>
          <cell r="W217">
            <v>751</v>
          </cell>
          <cell r="X217">
            <v>0.19639121338912133</v>
          </cell>
          <cell r="Y217">
            <v>0</v>
          </cell>
          <cell r="Z217">
            <v>0</v>
          </cell>
        </row>
        <row r="219">
          <cell r="J219" t="str">
            <v>As of 31st March 2000</v>
          </cell>
        </row>
        <row r="221">
          <cell r="D221" t="str">
            <v>September FY 97 *</v>
          </cell>
          <cell r="I221" t="str">
            <v>|</v>
          </cell>
          <cell r="M221" t="str">
            <v>PAST DUE</v>
          </cell>
          <cell r="Y221" t="str">
            <v>Total Bad</v>
          </cell>
          <cell r="Z221" t="str">
            <v>Provision for</v>
          </cell>
        </row>
        <row r="222">
          <cell r="B222" t="str">
            <v>CURRENCY</v>
          </cell>
          <cell r="C222" t="str">
            <v>SALES</v>
          </cell>
          <cell r="D222" t="str">
            <v>TAR</v>
          </cell>
          <cell r="E222" t="str">
            <v>DSO</v>
          </cell>
          <cell r="G222" t="str">
            <v>PAST DUE</v>
          </cell>
          <cell r="I222" t="str">
            <v>|</v>
          </cell>
          <cell r="J222" t="str">
            <v>SALES</v>
          </cell>
          <cell r="K222" t="str">
            <v>TAR</v>
          </cell>
          <cell r="L222" t="str">
            <v>DSO</v>
          </cell>
          <cell r="M222" t="str">
            <v>TOTAL PAST DUE</v>
          </cell>
          <cell r="O222" t="str">
            <v>0-30 Days PD</v>
          </cell>
          <cell r="Q222" t="str">
            <v>31-60 Days PD</v>
          </cell>
          <cell r="S222" t="str">
            <v>61-90 Days PD</v>
          </cell>
          <cell r="U222" t="str">
            <v>91-180 Days PD</v>
          </cell>
          <cell r="W222" t="str">
            <v>180+ Days PD</v>
          </cell>
          <cell r="Y222" t="str">
            <v>Debt Recovery</v>
          </cell>
          <cell r="Z222" t="str">
            <v>Bad Debt</v>
          </cell>
        </row>
        <row r="223">
          <cell r="C223" t="str">
            <v>LCL</v>
          </cell>
          <cell r="D223" t="str">
            <v>LCL</v>
          </cell>
          <cell r="E223" t="str">
            <v>Days</v>
          </cell>
          <cell r="G223" t="str">
            <v>LCL</v>
          </cell>
          <cell r="H223" t="str">
            <v>%</v>
          </cell>
          <cell r="I223" t="str">
            <v>|</v>
          </cell>
          <cell r="J223" t="str">
            <v>LCL</v>
          </cell>
          <cell r="K223" t="str">
            <v>LCL</v>
          </cell>
          <cell r="L223" t="str">
            <v>Days</v>
          </cell>
          <cell r="M223" t="str">
            <v>LCL</v>
          </cell>
          <cell r="N223" t="str">
            <v>%</v>
          </cell>
          <cell r="O223" t="str">
            <v>LCL</v>
          </cell>
          <cell r="P223" t="str">
            <v>%</v>
          </cell>
          <cell r="Q223" t="str">
            <v>LCL</v>
          </cell>
          <cell r="R223" t="str">
            <v>%</v>
          </cell>
          <cell r="S223" t="str">
            <v>LCL</v>
          </cell>
          <cell r="T223" t="str">
            <v>%</v>
          </cell>
          <cell r="U223" t="str">
            <v>LCL</v>
          </cell>
          <cell r="V223" t="str">
            <v>%</v>
          </cell>
          <cell r="W223" t="str">
            <v>LCL</v>
          </cell>
          <cell r="X223" t="str">
            <v>%</v>
          </cell>
          <cell r="Y223" t="str">
            <v>LCL</v>
          </cell>
          <cell r="Z223" t="str">
            <v>LCL</v>
          </cell>
        </row>
        <row r="224">
          <cell r="I224" t="str">
            <v>|</v>
          </cell>
        </row>
        <row r="225">
          <cell r="A225" t="str">
            <v>Equipment</v>
          </cell>
          <cell r="B225" t="str">
            <v>GBP</v>
          </cell>
          <cell r="C225">
            <v>20077</v>
          </cell>
          <cell r="D225">
            <v>17848</v>
          </cell>
          <cell r="E225">
            <v>56.899068348586034</v>
          </cell>
          <cell r="G225">
            <v>10339</v>
          </cell>
          <cell r="H225">
            <v>0.57928059166293144</v>
          </cell>
          <cell r="I225" t="str">
            <v>|</v>
          </cell>
          <cell r="J225">
            <v>9540</v>
          </cell>
          <cell r="K225">
            <v>5810</v>
          </cell>
          <cell r="L225">
            <v>53.588888888888889</v>
          </cell>
          <cell r="M225">
            <v>1513</v>
          </cell>
          <cell r="N225">
            <v>0.26041308089500859</v>
          </cell>
          <cell r="O225">
            <v>555</v>
          </cell>
          <cell r="P225">
            <v>9.5524956970740107E-2</v>
          </cell>
          <cell r="Q225">
            <v>114</v>
          </cell>
          <cell r="R225">
            <v>0</v>
          </cell>
          <cell r="S225">
            <v>152</v>
          </cell>
          <cell r="T225">
            <v>2.6161790017211705E-2</v>
          </cell>
          <cell r="U225">
            <v>138</v>
          </cell>
          <cell r="V225">
            <v>0</v>
          </cell>
          <cell r="W225">
            <v>554</v>
          </cell>
          <cell r="X225">
            <v>0.3661599471249174</v>
          </cell>
          <cell r="Y225">
            <v>0</v>
          </cell>
          <cell r="Z225">
            <v>0</v>
          </cell>
        </row>
        <row r="226">
          <cell r="A226" t="str">
            <v>PED1</v>
          </cell>
          <cell r="C226">
            <v>20077</v>
          </cell>
          <cell r="D226">
            <v>17848</v>
          </cell>
          <cell r="E226">
            <v>56.899068348586034</v>
          </cell>
          <cell r="G226">
            <v>10339</v>
          </cell>
          <cell r="H226">
            <v>0.57928059166293144</v>
          </cell>
          <cell r="I226" t="str">
            <v>|</v>
          </cell>
          <cell r="J226">
            <v>9540</v>
          </cell>
          <cell r="K226">
            <v>5810</v>
          </cell>
          <cell r="L226">
            <v>53.588888888888889</v>
          </cell>
          <cell r="M226">
            <v>1513</v>
          </cell>
          <cell r="N226">
            <v>0.26041308089500859</v>
          </cell>
          <cell r="O226">
            <v>555</v>
          </cell>
          <cell r="P226">
            <v>9.5524956970740107E-2</v>
          </cell>
          <cell r="Q226">
            <v>114</v>
          </cell>
          <cell r="R226">
            <v>1.9621342512908778E-2</v>
          </cell>
          <cell r="S226">
            <v>152</v>
          </cell>
          <cell r="T226">
            <v>2.6161790017211705E-2</v>
          </cell>
          <cell r="U226">
            <v>138</v>
          </cell>
          <cell r="V226">
            <v>2.3752151462994836E-2</v>
          </cell>
          <cell r="W226">
            <v>554</v>
          </cell>
          <cell r="X226">
            <v>0.3661599471249174</v>
          </cell>
          <cell r="Y226">
            <v>0</v>
          </cell>
          <cell r="Z226">
            <v>0</v>
          </cell>
        </row>
      </sheetData>
      <sheetData sheetId="4" refreshError="1">
        <row r="259">
          <cell r="A259" t="str">
            <v>x</v>
          </cell>
          <cell r="J259" t="str">
            <v>As of 29th February 2000 (Local January 2000)</v>
          </cell>
        </row>
        <row r="261">
          <cell r="D261" t="str">
            <v>September FY 97 (Local August)</v>
          </cell>
          <cell r="M261" t="str">
            <v>PAST DUE</v>
          </cell>
          <cell r="Y261" t="str">
            <v>Total Debt</v>
          </cell>
          <cell r="Z261" t="str">
            <v>Provision for</v>
          </cell>
        </row>
        <row r="262">
          <cell r="B262" t="str">
            <v>CURRENCY</v>
          </cell>
          <cell r="C262" t="str">
            <v>SALES</v>
          </cell>
          <cell r="D262" t="str">
            <v>TAR</v>
          </cell>
          <cell r="E262" t="str">
            <v>DSO</v>
          </cell>
          <cell r="G262" t="str">
            <v>PAST DUE</v>
          </cell>
          <cell r="J262" t="str">
            <v>SALES</v>
          </cell>
          <cell r="K262" t="str">
            <v>TAR</v>
          </cell>
          <cell r="L262" t="str">
            <v>DSO</v>
          </cell>
          <cell r="M262" t="str">
            <v>TOTAL PAST DUE</v>
          </cell>
          <cell r="O262" t="str">
            <v>0-30 Days PD</v>
          </cell>
          <cell r="Q262" t="str">
            <v>31-60 Days PD</v>
          </cell>
          <cell r="S262" t="str">
            <v>61-90 Days PD</v>
          </cell>
          <cell r="U262" t="str">
            <v>91-180 Days PD</v>
          </cell>
          <cell r="W262" t="str">
            <v>180+ Days PD</v>
          </cell>
          <cell r="Y262" t="str">
            <v>Recovery</v>
          </cell>
          <cell r="Z262" t="str">
            <v>Bad debt</v>
          </cell>
        </row>
        <row r="263">
          <cell r="C263" t="str">
            <v>LCL</v>
          </cell>
          <cell r="D263" t="str">
            <v>LCL</v>
          </cell>
          <cell r="E263" t="str">
            <v>Days</v>
          </cell>
          <cell r="G263" t="str">
            <v>LCL</v>
          </cell>
          <cell r="H263" t="str">
            <v>%</v>
          </cell>
          <cell r="J263" t="str">
            <v>LCL</v>
          </cell>
          <cell r="K263" t="str">
            <v>LCL</v>
          </cell>
          <cell r="L263" t="str">
            <v>Days</v>
          </cell>
          <cell r="M263" t="str">
            <v>LCL</v>
          </cell>
          <cell r="N263" t="str">
            <v>%</v>
          </cell>
          <cell r="O263" t="str">
            <v>LCL</v>
          </cell>
          <cell r="P263" t="str">
            <v>%</v>
          </cell>
          <cell r="Q263" t="str">
            <v>LCL</v>
          </cell>
          <cell r="R263" t="str">
            <v>%</v>
          </cell>
          <cell r="S263" t="str">
            <v>LCL</v>
          </cell>
          <cell r="T263" t="str">
            <v>%</v>
          </cell>
          <cell r="U263" t="str">
            <v>LCL</v>
          </cell>
          <cell r="V263" t="str">
            <v>%</v>
          </cell>
          <cell r="W263" t="str">
            <v>LCL</v>
          </cell>
          <cell r="X263" t="str">
            <v>%</v>
          </cell>
          <cell r="Y263" t="str">
            <v>LCL</v>
          </cell>
          <cell r="Z263" t="str">
            <v>LCL</v>
          </cell>
        </row>
        <row r="264">
          <cell r="A264" t="str">
            <v>Central Europe</v>
          </cell>
        </row>
        <row r="265">
          <cell r="A265" t="str">
            <v>Czech Republic</v>
          </cell>
          <cell r="B265" t="str">
            <v>CZK 000</v>
          </cell>
          <cell r="C265">
            <v>0</v>
          </cell>
          <cell r="D265">
            <v>113961</v>
          </cell>
          <cell r="E265">
            <v>0</v>
          </cell>
          <cell r="G265">
            <v>0</v>
          </cell>
          <cell r="H265">
            <v>0</v>
          </cell>
          <cell r="J265">
            <v>70875</v>
          </cell>
          <cell r="K265">
            <v>126737</v>
          </cell>
          <cell r="L265">
            <v>56.190458734986507</v>
          </cell>
          <cell r="M265">
            <v>46919</v>
          </cell>
          <cell r="N265">
            <v>0.37020759525631819</v>
          </cell>
          <cell r="O265">
            <v>10942</v>
          </cell>
          <cell r="P265">
            <v>8.6336271175741885E-2</v>
          </cell>
          <cell r="Q265">
            <v>7124</v>
          </cell>
          <cell r="R265">
            <v>5.6210893424966664E-2</v>
          </cell>
          <cell r="S265">
            <v>2615</v>
          </cell>
          <cell r="T265">
            <v>2.0633279941926982E-2</v>
          </cell>
          <cell r="U265">
            <v>4885</v>
          </cell>
          <cell r="V265">
            <v>3.8544387195530903E-2</v>
          </cell>
          <cell r="W265">
            <v>21353</v>
          </cell>
          <cell r="X265">
            <v>0.45510347620367014</v>
          </cell>
          <cell r="Y265">
            <v>16778</v>
          </cell>
          <cell r="Z265">
            <v>20239</v>
          </cell>
        </row>
        <row r="266">
          <cell r="A266" t="str">
            <v>Slovak Republic</v>
          </cell>
          <cell r="B266" t="str">
            <v>CZK 000</v>
          </cell>
          <cell r="C266">
            <v>0</v>
          </cell>
          <cell r="D266">
            <v>0</v>
          </cell>
          <cell r="E266">
            <v>0</v>
          </cell>
          <cell r="G266">
            <v>0</v>
          </cell>
          <cell r="H266" t="e">
            <v>#DIV/0!</v>
          </cell>
          <cell r="J266">
            <v>4225</v>
          </cell>
          <cell r="K266">
            <v>18089</v>
          </cell>
          <cell r="L266">
            <v>123.67083209362293</v>
          </cell>
          <cell r="M266">
            <v>12151</v>
          </cell>
          <cell r="N266">
            <v>0.67173420310686049</v>
          </cell>
          <cell r="O266">
            <v>2210</v>
          </cell>
          <cell r="P266">
            <v>0.1221736967217646</v>
          </cell>
          <cell r="Q266">
            <v>3217</v>
          </cell>
          <cell r="R266">
            <v>0.17784288794294875</v>
          </cell>
          <cell r="S266">
            <v>2843</v>
          </cell>
          <cell r="T266">
            <v>0.15716733926695781</v>
          </cell>
          <cell r="U266">
            <v>2013</v>
          </cell>
          <cell r="V266">
            <v>0.11128310022665708</v>
          </cell>
          <cell r="W266">
            <v>1868</v>
          </cell>
          <cell r="X266">
            <v>0.15373220311085509</v>
          </cell>
          <cell r="Y266">
            <v>0</v>
          </cell>
          <cell r="Z266">
            <v>1498</v>
          </cell>
        </row>
        <row r="267">
          <cell r="A267" t="str">
            <v>Poland</v>
          </cell>
          <cell r="B267" t="str">
            <v>PLZ 000</v>
          </cell>
          <cell r="C267">
            <v>0</v>
          </cell>
          <cell r="D267">
            <v>1687.434</v>
          </cell>
          <cell r="E267">
            <v>0</v>
          </cell>
          <cell r="G267">
            <v>0</v>
          </cell>
          <cell r="H267">
            <v>0</v>
          </cell>
          <cell r="J267">
            <v>1670</v>
          </cell>
          <cell r="K267">
            <v>2994</v>
          </cell>
          <cell r="L267">
            <v>66.286995805098414</v>
          </cell>
          <cell r="M267">
            <v>756</v>
          </cell>
          <cell r="N267">
            <v>0.25250501002004005</v>
          </cell>
          <cell r="O267">
            <v>407</v>
          </cell>
          <cell r="P267">
            <v>0.13593854375417502</v>
          </cell>
          <cell r="Q267">
            <v>61</v>
          </cell>
          <cell r="R267">
            <v>2.0374081496325986E-2</v>
          </cell>
          <cell r="S267">
            <v>75</v>
          </cell>
          <cell r="T267">
            <v>2.5050100200400802E-2</v>
          </cell>
          <cell r="U267">
            <v>91</v>
          </cell>
          <cell r="V267">
            <v>3.0394121576486306E-2</v>
          </cell>
          <cell r="W267">
            <v>122</v>
          </cell>
          <cell r="X267">
            <v>0.16137566137566137</v>
          </cell>
          <cell r="Y267">
            <v>0</v>
          </cell>
          <cell r="Z267">
            <v>171</v>
          </cell>
        </row>
        <row r="268">
          <cell r="A268" t="str">
            <v>Subtotal Central Europe</v>
          </cell>
          <cell r="C268">
            <v>0</v>
          </cell>
          <cell r="D268">
            <v>115648.43399999999</v>
          </cell>
          <cell r="E268">
            <v>0</v>
          </cell>
          <cell r="G268">
            <v>0</v>
          </cell>
          <cell r="H268">
            <v>0</v>
          </cell>
          <cell r="J268">
            <v>76770</v>
          </cell>
          <cell r="K268">
            <v>147820</v>
          </cell>
          <cell r="L268">
            <v>60.541609406016185</v>
          </cell>
          <cell r="M268">
            <v>59826</v>
          </cell>
          <cell r="N268">
            <v>0.40472195913949399</v>
          </cell>
          <cell r="O268">
            <v>13559</v>
          </cell>
          <cell r="P268">
            <v>9.1726424029224735E-2</v>
          </cell>
          <cell r="Q268">
            <v>10402</v>
          </cell>
          <cell r="R268">
            <v>7.0369368150453249E-2</v>
          </cell>
          <cell r="S268">
            <v>5533</v>
          </cell>
          <cell r="T268">
            <v>3.7430658909484507E-2</v>
          </cell>
          <cell r="U268">
            <v>6989</v>
          </cell>
          <cell r="V268">
            <v>4.7280476254904613E-2</v>
          </cell>
          <cell r="W268">
            <v>23343</v>
          </cell>
          <cell r="X268">
            <v>0.39018152642663723</v>
          </cell>
          <cell r="Y268">
            <v>16778</v>
          </cell>
          <cell r="Z268">
            <v>21908</v>
          </cell>
        </row>
        <row r="270">
          <cell r="A270" t="str">
            <v>x</v>
          </cell>
          <cell r="J270" t="str">
            <v>As of 31st March 2000 (Local February 2000)</v>
          </cell>
        </row>
        <row r="272">
          <cell r="D272" t="str">
            <v>September FY 97 (Local August)</v>
          </cell>
          <cell r="M272" t="str">
            <v>PAST DUE</v>
          </cell>
          <cell r="Y272" t="str">
            <v>Total Debt</v>
          </cell>
          <cell r="Z272" t="str">
            <v>Provision for</v>
          </cell>
        </row>
        <row r="273">
          <cell r="B273" t="str">
            <v>CURRENCY</v>
          </cell>
          <cell r="C273" t="str">
            <v>SALES</v>
          </cell>
          <cell r="D273" t="str">
            <v>TAR</v>
          </cell>
          <cell r="E273" t="str">
            <v>DSO</v>
          </cell>
          <cell r="G273" t="str">
            <v>PAST DUE</v>
          </cell>
          <cell r="J273" t="str">
            <v>SALES</v>
          </cell>
          <cell r="K273" t="str">
            <v>TAR</v>
          </cell>
          <cell r="L273" t="str">
            <v>DSO</v>
          </cell>
          <cell r="M273" t="str">
            <v>TOTAL PAST DUE</v>
          </cell>
          <cell r="O273" t="str">
            <v>0-30 Days PD</v>
          </cell>
          <cell r="Q273" t="str">
            <v>31-60 Days PD</v>
          </cell>
          <cell r="S273" t="str">
            <v>61-90 Days PD</v>
          </cell>
          <cell r="U273" t="str">
            <v>91-180 Days PD</v>
          </cell>
          <cell r="W273" t="str">
            <v>180+ Days PD</v>
          </cell>
          <cell r="Y273" t="str">
            <v>Recovery</v>
          </cell>
          <cell r="Z273" t="str">
            <v>Bad debt</v>
          </cell>
        </row>
        <row r="274">
          <cell r="C274" t="str">
            <v>LCL</v>
          </cell>
          <cell r="D274" t="str">
            <v>LCL</v>
          </cell>
          <cell r="E274" t="str">
            <v>Days</v>
          </cell>
          <cell r="G274" t="str">
            <v>LCL</v>
          </cell>
          <cell r="H274" t="str">
            <v>%</v>
          </cell>
          <cell r="J274" t="str">
            <v>LCL</v>
          </cell>
          <cell r="K274" t="str">
            <v>LCL</v>
          </cell>
          <cell r="L274" t="str">
            <v>Days</v>
          </cell>
          <cell r="M274" t="str">
            <v>LCL</v>
          </cell>
          <cell r="N274" t="str">
            <v>%</v>
          </cell>
          <cell r="O274" t="str">
            <v>LCL</v>
          </cell>
          <cell r="P274" t="str">
            <v>%</v>
          </cell>
          <cell r="Q274" t="str">
            <v>LCL</v>
          </cell>
          <cell r="R274" t="str">
            <v>%</v>
          </cell>
          <cell r="S274" t="str">
            <v>LCL</v>
          </cell>
          <cell r="T274" t="str">
            <v>%</v>
          </cell>
          <cell r="U274" t="str">
            <v>LCL</v>
          </cell>
          <cell r="V274" t="str">
            <v>%</v>
          </cell>
          <cell r="W274" t="str">
            <v>LCL</v>
          </cell>
          <cell r="X274" t="str">
            <v>%</v>
          </cell>
          <cell r="Y274" t="str">
            <v>LCL</v>
          </cell>
          <cell r="Z274" t="str">
            <v>LCL</v>
          </cell>
        </row>
        <row r="275">
          <cell r="A275" t="str">
            <v>Central Europe</v>
          </cell>
        </row>
        <row r="276">
          <cell r="A276" t="str">
            <v>Czech Republic</v>
          </cell>
          <cell r="B276" t="str">
            <v>CZK 000</v>
          </cell>
          <cell r="C276">
            <v>0</v>
          </cell>
          <cell r="D276">
            <v>113961</v>
          </cell>
          <cell r="E276">
            <v>0</v>
          </cell>
          <cell r="G276">
            <v>0</v>
          </cell>
          <cell r="H276">
            <v>0</v>
          </cell>
          <cell r="J276">
            <v>69988</v>
          </cell>
          <cell r="K276">
            <v>129878</v>
          </cell>
          <cell r="L276">
            <v>56.182782894967261</v>
          </cell>
          <cell r="M276">
            <v>47262</v>
          </cell>
          <cell r="N276">
            <v>0.36389534794191469</v>
          </cell>
          <cell r="O276">
            <v>14275</v>
          </cell>
          <cell r="P276">
            <v>0.10991083940313218</v>
          </cell>
          <cell r="Q276">
            <v>6724</v>
          </cell>
          <cell r="R276">
            <v>5.1771662637244184E-2</v>
          </cell>
          <cell r="S276">
            <v>3862</v>
          </cell>
          <cell r="T276">
            <v>2.973559802275982E-2</v>
          </cell>
          <cell r="U276">
            <v>3421</v>
          </cell>
          <cell r="V276">
            <v>2.6340103789710342E-2</v>
          </cell>
          <cell r="W276">
            <v>18981</v>
          </cell>
          <cell r="X276">
            <v>0.40161228894249079</v>
          </cell>
          <cell r="Y276">
            <v>17921</v>
          </cell>
          <cell r="Z276">
            <v>18013</v>
          </cell>
        </row>
        <row r="277">
          <cell r="A277" t="str">
            <v>Slovak Republic</v>
          </cell>
          <cell r="B277" t="str">
            <v>CZK 000</v>
          </cell>
          <cell r="C277">
            <v>0</v>
          </cell>
          <cell r="D277">
            <v>0</v>
          </cell>
          <cell r="E277">
            <v>0</v>
          </cell>
          <cell r="G277">
            <v>0</v>
          </cell>
          <cell r="H277" t="e">
            <v>#DIV/0!</v>
          </cell>
          <cell r="J277">
            <v>5254</v>
          </cell>
          <cell r="K277">
            <v>22052</v>
          </cell>
          <cell r="L277">
            <v>124.38448679371449</v>
          </cell>
          <cell r="M277">
            <v>15908</v>
          </cell>
          <cell r="N277">
            <v>0.72138581534554691</v>
          </cell>
          <cell r="O277">
            <v>5492</v>
          </cell>
          <cell r="P277">
            <v>0.24904770542354435</v>
          </cell>
          <cell r="Q277">
            <v>1773</v>
          </cell>
          <cell r="R277">
            <v>8.0400870669327051E-2</v>
          </cell>
          <cell r="S277">
            <v>2727</v>
          </cell>
          <cell r="T277">
            <v>0.12366225285688373</v>
          </cell>
          <cell r="U277">
            <v>3841</v>
          </cell>
          <cell r="V277">
            <v>0.17417921276981679</v>
          </cell>
          <cell r="W277">
            <v>2075</v>
          </cell>
          <cell r="X277">
            <v>0.13043751571536333</v>
          </cell>
          <cell r="Y277">
            <v>0</v>
          </cell>
          <cell r="Z277">
            <v>1781</v>
          </cell>
        </row>
        <row r="278">
          <cell r="A278" t="str">
            <v>Poland</v>
          </cell>
          <cell r="B278" t="str">
            <v>PLZ 000</v>
          </cell>
          <cell r="C278">
            <v>0</v>
          </cell>
          <cell r="D278">
            <v>1687.434</v>
          </cell>
          <cell r="E278">
            <v>0</v>
          </cell>
          <cell r="G278">
            <v>0</v>
          </cell>
          <cell r="H278">
            <v>0</v>
          </cell>
          <cell r="J278">
            <v>1623</v>
          </cell>
          <cell r="K278">
            <v>3565</v>
          </cell>
          <cell r="L278">
            <v>66.41193653322712</v>
          </cell>
          <cell r="M278">
            <v>1160</v>
          </cell>
          <cell r="N278">
            <v>0.32538569424964936</v>
          </cell>
          <cell r="O278">
            <v>754</v>
          </cell>
          <cell r="P278">
            <v>0.21150070126227208</v>
          </cell>
          <cell r="Q278">
            <v>90</v>
          </cell>
          <cell r="R278">
            <v>2.5245441795231416E-2</v>
          </cell>
          <cell r="S278">
            <v>77</v>
          </cell>
          <cell r="T278">
            <v>2.1598877980364656E-2</v>
          </cell>
          <cell r="U278">
            <v>44</v>
          </cell>
          <cell r="V278">
            <v>1.2342215988779803E-2</v>
          </cell>
          <cell r="W278">
            <v>195</v>
          </cell>
          <cell r="X278">
            <v>0.16810344827586207</v>
          </cell>
          <cell r="Y278">
            <v>0</v>
          </cell>
          <cell r="Z278">
            <v>0</v>
          </cell>
        </row>
        <row r="279">
          <cell r="A279" t="str">
            <v>Subtotal Central Europe</v>
          </cell>
          <cell r="C279">
            <v>0</v>
          </cell>
          <cell r="D279">
            <v>115648.43399999999</v>
          </cell>
          <cell r="E279">
            <v>0</v>
          </cell>
          <cell r="G279">
            <v>0</v>
          </cell>
          <cell r="H279">
            <v>0</v>
          </cell>
          <cell r="J279">
            <v>76865</v>
          </cell>
          <cell r="K279">
            <v>155495</v>
          </cell>
          <cell r="L279">
            <v>60.767292666209734</v>
          </cell>
          <cell r="M279">
            <v>64330</v>
          </cell>
          <cell r="N279">
            <v>0.41371105180230877</v>
          </cell>
          <cell r="O279">
            <v>20521</v>
          </cell>
          <cell r="P279">
            <v>0.13197208913469888</v>
          </cell>
          <cell r="Q279">
            <v>8587</v>
          </cell>
          <cell r="R279">
            <v>5.5223640631531561E-2</v>
          </cell>
          <cell r="S279">
            <v>6666</v>
          </cell>
          <cell r="T279">
            <v>4.2869545644554488E-2</v>
          </cell>
          <cell r="U279">
            <v>7306</v>
          </cell>
          <cell r="V279">
            <v>4.6985433615228785E-2</v>
          </cell>
          <cell r="W279">
            <v>21251</v>
          </cell>
          <cell r="X279">
            <v>0.33034354111612002</v>
          </cell>
          <cell r="Y279">
            <v>17921</v>
          </cell>
          <cell r="Z279">
            <v>19794</v>
          </cell>
        </row>
      </sheetData>
      <sheetData sheetId="5" refreshError="1">
        <row r="355">
          <cell r="A355" t="str">
            <v>x</v>
          </cell>
          <cell r="J355" t="str">
            <v>As of 31st January 2000</v>
          </cell>
        </row>
        <row r="357">
          <cell r="I357" t="str">
            <v>|</v>
          </cell>
          <cell r="M357" t="str">
            <v>PAST DUE</v>
          </cell>
          <cell r="W357" t="str">
            <v>Total Debt</v>
          </cell>
          <cell r="X357" t="str">
            <v>Provision for</v>
          </cell>
        </row>
        <row r="358">
          <cell r="I358" t="str">
            <v>|</v>
          </cell>
          <cell r="J358" t="str">
            <v>SALES</v>
          </cell>
          <cell r="K358" t="str">
            <v>TAR</v>
          </cell>
          <cell r="L358" t="str">
            <v>DSO</v>
          </cell>
          <cell r="M358" t="str">
            <v>TOTAL PAST DUE</v>
          </cell>
          <cell r="O358" t="str">
            <v>0-30 Days PD</v>
          </cell>
          <cell r="Q358" t="str">
            <v>31-60 Days PD</v>
          </cell>
          <cell r="S358" t="str">
            <v>61-90 Days PD</v>
          </cell>
          <cell r="U358" t="str">
            <v>91-180 Days PD</v>
          </cell>
          <cell r="W358" t="str">
            <v>Recovery</v>
          </cell>
          <cell r="X358" t="str">
            <v>Bad Debt</v>
          </cell>
        </row>
        <row r="359">
          <cell r="I359" t="str">
            <v>|</v>
          </cell>
          <cell r="J359" t="str">
            <v>LCL</v>
          </cell>
          <cell r="K359" t="str">
            <v>LCL</v>
          </cell>
          <cell r="L359" t="str">
            <v>Days</v>
          </cell>
          <cell r="M359" t="str">
            <v>LCL</v>
          </cell>
          <cell r="N359" t="str">
            <v>%</v>
          </cell>
          <cell r="O359" t="str">
            <v>LCL</v>
          </cell>
          <cell r="P359" t="str">
            <v>%</v>
          </cell>
          <cell r="Q359" t="str">
            <v>LCL</v>
          </cell>
          <cell r="R359" t="str">
            <v>%</v>
          </cell>
          <cell r="S359" t="str">
            <v>LCL</v>
          </cell>
          <cell r="T359" t="str">
            <v>%</v>
          </cell>
          <cell r="U359" t="str">
            <v>LCL</v>
          </cell>
          <cell r="V359" t="str">
            <v>%</v>
          </cell>
          <cell r="W359" t="str">
            <v>LCL</v>
          </cell>
          <cell r="X359" t="str">
            <v>LCL</v>
          </cell>
        </row>
        <row r="360">
          <cell r="A360" t="str">
            <v>Tonnage</v>
          </cell>
          <cell r="I360" t="str">
            <v>|</v>
          </cell>
        </row>
        <row r="361">
          <cell r="A361" t="str">
            <v>UK</v>
          </cell>
          <cell r="I361" t="str">
            <v>|</v>
          </cell>
          <cell r="J361">
            <v>4346</v>
          </cell>
          <cell r="K361">
            <v>3682</v>
          </cell>
          <cell r="L361">
            <v>23.456547680908088</v>
          </cell>
          <cell r="M361">
            <v>761</v>
          </cell>
          <cell r="N361">
            <v>0.20668115154807171</v>
          </cell>
          <cell r="O361">
            <v>669</v>
          </cell>
          <cell r="P361">
            <v>0.18169473112438891</v>
          </cell>
          <cell r="Q361">
            <v>203</v>
          </cell>
          <cell r="R361">
            <v>5.5133079847908745E-2</v>
          </cell>
          <cell r="S361">
            <v>-62</v>
          </cell>
          <cell r="T361">
            <v>-1.6838674633351439E-2</v>
          </cell>
          <cell r="U361">
            <v>-49</v>
          </cell>
          <cell r="V361">
            <v>-1.3307984790874524E-2</v>
          </cell>
          <cell r="W361">
            <v>0</v>
          </cell>
          <cell r="X361">
            <v>0</v>
          </cell>
        </row>
        <row r="362">
          <cell r="A362" t="str">
            <v>Ireland</v>
          </cell>
          <cell r="I362" t="str">
            <v>|</v>
          </cell>
          <cell r="J362">
            <v>355</v>
          </cell>
          <cell r="K362">
            <v>1409</v>
          </cell>
          <cell r="L362">
            <v>87.200640455840457</v>
          </cell>
          <cell r="M362">
            <v>1208</v>
          </cell>
          <cell r="N362">
            <v>0.85734563520227114</v>
          </cell>
          <cell r="O362">
            <v>82</v>
          </cell>
          <cell r="P362">
            <v>5.8197303051809791E-2</v>
          </cell>
          <cell r="Q362">
            <v>810</v>
          </cell>
          <cell r="R362">
            <v>0.57487579843860892</v>
          </cell>
          <cell r="S362">
            <v>289</v>
          </cell>
          <cell r="T362">
            <v>0.20511000709723207</v>
          </cell>
          <cell r="U362">
            <v>27</v>
          </cell>
          <cell r="V362">
            <v>1.9162526614620298E-2</v>
          </cell>
          <cell r="W362">
            <v>0</v>
          </cell>
          <cell r="X362">
            <v>0</v>
          </cell>
        </row>
        <row r="363">
          <cell r="A363" t="str">
            <v>Netherlands</v>
          </cell>
          <cell r="I363" t="str">
            <v>|</v>
          </cell>
          <cell r="J363">
            <v>28610</v>
          </cell>
          <cell r="K363">
            <v>30009</v>
          </cell>
          <cell r="L363">
            <v>35.00869067395567</v>
          </cell>
          <cell r="M363">
            <v>2604</v>
          </cell>
          <cell r="N363">
            <v>8.6773967809657099E-2</v>
          </cell>
          <cell r="O363">
            <v>1416</v>
          </cell>
          <cell r="P363">
            <v>4.7185844246725984E-2</v>
          </cell>
          <cell r="Q363">
            <v>1337</v>
          </cell>
          <cell r="R363">
            <v>4.4553300676463729E-2</v>
          </cell>
          <cell r="S363">
            <v>49</v>
          </cell>
          <cell r="T363">
            <v>1.6328434802892467E-3</v>
          </cell>
          <cell r="U363">
            <v>-198</v>
          </cell>
          <cell r="V363">
            <v>-6.5980205938218532E-3</v>
          </cell>
          <cell r="W363">
            <v>0</v>
          </cell>
          <cell r="X363">
            <v>0</v>
          </cell>
        </row>
        <row r="364">
          <cell r="A364" t="str">
            <v>Belgium</v>
          </cell>
          <cell r="I364" t="str">
            <v>|</v>
          </cell>
          <cell r="J364">
            <v>111553</v>
          </cell>
          <cell r="K364">
            <v>91905</v>
          </cell>
          <cell r="L364">
            <v>36.906884590543342</v>
          </cell>
          <cell r="M364">
            <v>787</v>
          </cell>
          <cell r="N364">
            <v>8.5631902508024587E-3</v>
          </cell>
          <cell r="O364">
            <v>0</v>
          </cell>
          <cell r="P364">
            <v>0</v>
          </cell>
          <cell r="Q364">
            <v>787</v>
          </cell>
          <cell r="R364">
            <v>8.5631902508024587E-3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</row>
        <row r="365">
          <cell r="A365" t="str">
            <v>France</v>
          </cell>
          <cell r="I365" t="str">
            <v>|</v>
          </cell>
          <cell r="J365">
            <v>3276</v>
          </cell>
          <cell r="K365">
            <v>5396</v>
          </cell>
          <cell r="L365">
            <v>36.268432357569935</v>
          </cell>
          <cell r="M365">
            <v>2250</v>
          </cell>
          <cell r="N365">
            <v>0.41697553743513716</v>
          </cell>
          <cell r="O365">
            <v>1951</v>
          </cell>
          <cell r="P365">
            <v>0.36156412157153445</v>
          </cell>
          <cell r="Q365">
            <v>299</v>
          </cell>
          <cell r="R365">
            <v>5.5411415863602667E-2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</row>
        <row r="366">
          <cell r="A366" t="str">
            <v>Italy</v>
          </cell>
          <cell r="I366" t="str">
            <v>|</v>
          </cell>
          <cell r="J366">
            <v>721876</v>
          </cell>
          <cell r="K366">
            <v>1878141</v>
          </cell>
          <cell r="L366">
            <v>56.781330617164031</v>
          </cell>
          <cell r="M366">
            <v>1037507</v>
          </cell>
          <cell r="N366">
            <v>0.5524116666427068</v>
          </cell>
          <cell r="O366">
            <v>669167</v>
          </cell>
          <cell r="P366">
            <v>0.35629220596323707</v>
          </cell>
          <cell r="Q366">
            <v>256931</v>
          </cell>
          <cell r="R366">
            <v>0.13680069813714732</v>
          </cell>
          <cell r="S366">
            <v>111551</v>
          </cell>
          <cell r="T366">
            <v>5.9394369219350408E-2</v>
          </cell>
          <cell r="U366">
            <v>-142</v>
          </cell>
          <cell r="V366">
            <v>-7.5606677027976061E-5</v>
          </cell>
          <cell r="W366">
            <v>0</v>
          </cell>
          <cell r="X366">
            <v>0</v>
          </cell>
        </row>
        <row r="367">
          <cell r="A367" t="str">
            <v>Germany</v>
          </cell>
          <cell r="I367" t="str">
            <v>|</v>
          </cell>
          <cell r="J367">
            <v>1841</v>
          </cell>
          <cell r="K367">
            <v>1711</v>
          </cell>
          <cell r="L367">
            <v>29.602597515054732</v>
          </cell>
          <cell r="M367">
            <v>977</v>
          </cell>
          <cell r="N367">
            <v>0.57101110461718296</v>
          </cell>
          <cell r="O367">
            <v>383</v>
          </cell>
          <cell r="P367">
            <v>0.22384570426651082</v>
          </cell>
          <cell r="Q367">
            <v>594</v>
          </cell>
          <cell r="R367">
            <v>0.34716540035067212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</row>
        <row r="368">
          <cell r="A368" t="str">
            <v>Israel</v>
          </cell>
          <cell r="I368" t="str">
            <v>|</v>
          </cell>
          <cell r="J368">
            <v>844</v>
          </cell>
          <cell r="K368">
            <v>654</v>
          </cell>
          <cell r="L368">
            <v>47.550338896571624</v>
          </cell>
          <cell r="M368">
            <v>186</v>
          </cell>
          <cell r="N368">
            <v>0.28440366972477066</v>
          </cell>
          <cell r="O368">
            <v>30</v>
          </cell>
          <cell r="P368">
            <v>4.5871559633027525E-2</v>
          </cell>
          <cell r="Q368">
            <v>140</v>
          </cell>
          <cell r="R368">
            <v>0.21406727828746178</v>
          </cell>
          <cell r="S368">
            <v>16</v>
          </cell>
          <cell r="T368">
            <v>2.4464831804281346E-2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 t="str">
            <v>Subtotal Tonnage</v>
          </cell>
          <cell r="I369" t="str">
            <v>|</v>
          </cell>
          <cell r="J369">
            <v>872701</v>
          </cell>
          <cell r="K369">
            <v>2012907</v>
          </cell>
          <cell r="L369">
            <v>53.653528878047936</v>
          </cell>
          <cell r="M369">
            <v>1046280</v>
          </cell>
          <cell r="N369">
            <v>0.51978556386360619</v>
          </cell>
          <cell r="O369">
            <v>673698</v>
          </cell>
          <cell r="P369">
            <v>0.33468908399642905</v>
          </cell>
          <cell r="Q369">
            <v>261101</v>
          </cell>
          <cell r="R369">
            <v>0.12971339460789794</v>
          </cell>
          <cell r="S369">
            <v>111843</v>
          </cell>
          <cell r="T369">
            <v>5.5562924665670095E-2</v>
          </cell>
          <cell r="U369">
            <v>-362</v>
          </cell>
          <cell r="V369">
            <v>-1.7983940639085662E-4</v>
          </cell>
        </row>
        <row r="371">
          <cell r="A371" t="str">
            <v>x</v>
          </cell>
          <cell r="J371" t="str">
            <v>As of 29th February 2000</v>
          </cell>
        </row>
        <row r="373">
          <cell r="I373" t="str">
            <v>|</v>
          </cell>
          <cell r="M373" t="str">
            <v>PAST DUE</v>
          </cell>
          <cell r="W373" t="str">
            <v>Total Debt</v>
          </cell>
          <cell r="X373" t="str">
            <v>Provision for</v>
          </cell>
        </row>
        <row r="374">
          <cell r="I374" t="str">
            <v>|</v>
          </cell>
          <cell r="J374" t="str">
            <v>SALES</v>
          </cell>
          <cell r="K374" t="str">
            <v>TAR</v>
          </cell>
          <cell r="L374" t="str">
            <v>DSO</v>
          </cell>
          <cell r="M374" t="str">
            <v>TOTAL PAST DUE</v>
          </cell>
          <cell r="O374" t="str">
            <v>0-30 Days PD</v>
          </cell>
          <cell r="Q374" t="str">
            <v>31-60 Days PD</v>
          </cell>
          <cell r="S374" t="str">
            <v>61-90 Days PD</v>
          </cell>
          <cell r="U374" t="str">
            <v>91-180 Days PD</v>
          </cell>
          <cell r="W374" t="str">
            <v>Recovery</v>
          </cell>
          <cell r="X374" t="str">
            <v>Bad Debt</v>
          </cell>
        </row>
        <row r="375">
          <cell r="I375" t="str">
            <v>|</v>
          </cell>
          <cell r="J375" t="str">
            <v>LCL</v>
          </cell>
          <cell r="K375" t="str">
            <v>LCL</v>
          </cell>
          <cell r="L375" t="str">
            <v>Days</v>
          </cell>
          <cell r="M375" t="str">
            <v>LCL</v>
          </cell>
          <cell r="N375" t="str">
            <v>%</v>
          </cell>
          <cell r="O375" t="str">
            <v>LCL</v>
          </cell>
          <cell r="P375" t="str">
            <v>%</v>
          </cell>
          <cell r="Q375" t="str">
            <v>LCL</v>
          </cell>
          <cell r="R375" t="str">
            <v>%</v>
          </cell>
          <cell r="S375" t="str">
            <v>LCL</v>
          </cell>
          <cell r="T375" t="str">
            <v>%</v>
          </cell>
          <cell r="U375" t="str">
            <v>LCL</v>
          </cell>
          <cell r="V375" t="str">
            <v>%</v>
          </cell>
          <cell r="W375" t="str">
            <v>LCL</v>
          </cell>
          <cell r="X375" t="str">
            <v>LCL</v>
          </cell>
        </row>
        <row r="376">
          <cell r="A376" t="str">
            <v>Tonnage</v>
          </cell>
          <cell r="I376" t="str">
            <v>|</v>
          </cell>
        </row>
        <row r="377">
          <cell r="A377" t="str">
            <v>UK</v>
          </cell>
          <cell r="I377" t="str">
            <v>|</v>
          </cell>
          <cell r="J377">
            <v>4044</v>
          </cell>
          <cell r="K377">
            <v>4444</v>
          </cell>
          <cell r="L377">
            <v>27.027557837662563</v>
          </cell>
          <cell r="M377">
            <v>141</v>
          </cell>
          <cell r="N377">
            <v>3.1728172817281727E-2</v>
          </cell>
          <cell r="O377">
            <v>210</v>
          </cell>
          <cell r="P377">
            <v>4.7254725472547256E-2</v>
          </cell>
          <cell r="Q377">
            <v>66</v>
          </cell>
          <cell r="R377">
            <v>1.4851485148514851E-2</v>
          </cell>
          <cell r="S377">
            <v>93</v>
          </cell>
          <cell r="T377">
            <v>2.0927092709270928E-2</v>
          </cell>
          <cell r="U377">
            <v>-228</v>
          </cell>
          <cell r="V377">
            <v>-5.1305130513051307E-2</v>
          </cell>
          <cell r="W377">
            <v>0</v>
          </cell>
          <cell r="X377">
            <v>0</v>
          </cell>
        </row>
        <row r="378">
          <cell r="A378" t="str">
            <v>Ireland</v>
          </cell>
          <cell r="I378" t="str">
            <v>|</v>
          </cell>
          <cell r="J378">
            <v>368</v>
          </cell>
          <cell r="K378">
            <v>1491</v>
          </cell>
          <cell r="L378">
            <v>107.60459240069085</v>
          </cell>
          <cell r="M378">
            <v>1064</v>
          </cell>
          <cell r="N378">
            <v>0.71361502347417838</v>
          </cell>
          <cell r="O378">
            <v>189</v>
          </cell>
          <cell r="P378">
            <v>0.12676056338028169</v>
          </cell>
          <cell r="Q378">
            <v>363</v>
          </cell>
          <cell r="R378">
            <v>0.24346076458752516</v>
          </cell>
          <cell r="S378">
            <v>485</v>
          </cell>
          <cell r="T378">
            <v>0.32528504359490273</v>
          </cell>
          <cell r="U378">
            <v>27</v>
          </cell>
          <cell r="V378">
            <v>1.8108651911468814E-2</v>
          </cell>
          <cell r="W378">
            <v>0</v>
          </cell>
          <cell r="X378">
            <v>0</v>
          </cell>
        </row>
        <row r="379">
          <cell r="A379" t="str">
            <v>Netherlands</v>
          </cell>
          <cell r="I379" t="str">
            <v>|</v>
          </cell>
          <cell r="J379">
            <v>27646</v>
          </cell>
          <cell r="K379">
            <v>28981</v>
          </cell>
          <cell r="L379">
            <v>31.68537486481031</v>
          </cell>
          <cell r="M379">
            <v>1328</v>
          </cell>
          <cell r="N379">
            <v>4.5823125496014631E-2</v>
          </cell>
          <cell r="O379">
            <v>1526</v>
          </cell>
          <cell r="P379">
            <v>5.2655187881715609E-2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-198</v>
          </cell>
          <cell r="V379">
            <v>-6.8320623857009762E-3</v>
          </cell>
          <cell r="W379">
            <v>0</v>
          </cell>
          <cell r="X379">
            <v>0</v>
          </cell>
        </row>
        <row r="380">
          <cell r="A380" t="str">
            <v>Belgium</v>
          </cell>
          <cell r="I380" t="str">
            <v>|</v>
          </cell>
          <cell r="J380">
            <v>105008</v>
          </cell>
          <cell r="K380">
            <v>160692</v>
          </cell>
          <cell r="L380">
            <v>38.672019948714926</v>
          </cell>
          <cell r="M380">
            <v>1377</v>
          </cell>
          <cell r="N380">
            <v>8.569188260772161E-3</v>
          </cell>
          <cell r="O380">
            <v>590</v>
          </cell>
          <cell r="P380">
            <v>3.6716202424513975E-3</v>
          </cell>
          <cell r="Q380">
            <v>0</v>
          </cell>
          <cell r="R380">
            <v>0</v>
          </cell>
          <cell r="S380">
            <v>787</v>
          </cell>
          <cell r="T380">
            <v>4.897568018320763E-3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</row>
        <row r="381">
          <cell r="A381" t="str">
            <v>France</v>
          </cell>
          <cell r="I381" t="str">
            <v>|</v>
          </cell>
          <cell r="J381">
            <v>3335</v>
          </cell>
          <cell r="K381">
            <v>3320</v>
          </cell>
          <cell r="L381">
            <v>38.415840499350644</v>
          </cell>
          <cell r="M381">
            <v>32</v>
          </cell>
          <cell r="N381">
            <v>9.6385542168674707E-3</v>
          </cell>
          <cell r="O381">
            <v>0</v>
          </cell>
          <cell r="P381">
            <v>0</v>
          </cell>
          <cell r="Q381">
            <v>32</v>
          </cell>
          <cell r="R381">
            <v>9.6385542168674707E-3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</row>
        <row r="382">
          <cell r="A382" t="str">
            <v>Italy</v>
          </cell>
          <cell r="I382" t="str">
            <v>|</v>
          </cell>
          <cell r="J382">
            <v>789008</v>
          </cell>
          <cell r="K382">
            <v>2019208</v>
          </cell>
          <cell r="L382">
            <v>62.854376104121805</v>
          </cell>
          <cell r="M382">
            <v>531599</v>
          </cell>
          <cell r="N382">
            <v>0.2632710448849252</v>
          </cell>
          <cell r="O382">
            <v>22505</v>
          </cell>
          <cell r="P382">
            <v>1.1145459011652094E-2</v>
          </cell>
          <cell r="Q382">
            <v>169354</v>
          </cell>
          <cell r="R382">
            <v>8.3871498131940836E-2</v>
          </cell>
          <cell r="S382">
            <v>228331</v>
          </cell>
          <cell r="T382">
            <v>0.11307948462961716</v>
          </cell>
          <cell r="U382">
            <v>111409</v>
          </cell>
          <cell r="V382">
            <v>5.5174603111715091E-2</v>
          </cell>
          <cell r="W382">
            <v>0</v>
          </cell>
          <cell r="X382">
            <v>0</v>
          </cell>
        </row>
        <row r="383">
          <cell r="A383" t="str">
            <v>Germany</v>
          </cell>
          <cell r="I383" t="str">
            <v>|</v>
          </cell>
          <cell r="J383">
            <v>2003</v>
          </cell>
          <cell r="K383">
            <v>923</v>
          </cell>
          <cell r="L383">
            <v>22.839330755594673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</row>
        <row r="384">
          <cell r="A384" t="str">
            <v>Israel</v>
          </cell>
          <cell r="I384" t="str">
            <v>|</v>
          </cell>
          <cell r="J384">
            <v>808</v>
          </cell>
          <cell r="K384">
            <v>1139</v>
          </cell>
          <cell r="L384">
            <v>40.685953412765897</v>
          </cell>
          <cell r="M384">
            <v>338</v>
          </cell>
          <cell r="N384">
            <v>0.2967515364354697</v>
          </cell>
          <cell r="O384">
            <v>313</v>
          </cell>
          <cell r="P384">
            <v>0.27480245829675154</v>
          </cell>
          <cell r="Q384">
            <v>23</v>
          </cell>
          <cell r="R384">
            <v>2.0193151887620719E-2</v>
          </cell>
          <cell r="S384">
            <v>2</v>
          </cell>
          <cell r="T384">
            <v>1.7559262510974539E-3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</row>
        <row r="385">
          <cell r="A385" t="str">
            <v>Subtotal Tonnage</v>
          </cell>
          <cell r="I385" t="str">
            <v>|</v>
          </cell>
          <cell r="J385">
            <v>932220</v>
          </cell>
          <cell r="K385">
            <v>2220198</v>
          </cell>
          <cell r="L385">
            <v>58.963782955342118</v>
          </cell>
          <cell r="M385">
            <v>535879</v>
          </cell>
          <cell r="N385">
            <v>0.24136540975174287</v>
          </cell>
          <cell r="O385">
            <v>25333</v>
          </cell>
          <cell r="P385">
            <v>1.1410243590886939E-2</v>
          </cell>
          <cell r="Q385">
            <v>169838</v>
          </cell>
          <cell r="R385">
            <v>7.6496780917737969E-2</v>
          </cell>
          <cell r="S385">
            <v>229698</v>
          </cell>
          <cell r="T385">
            <v>0.10345834020209009</v>
          </cell>
          <cell r="U385">
            <v>111010</v>
          </cell>
          <cell r="V385">
            <v>5.0000045041027875E-2</v>
          </cell>
        </row>
        <row r="387">
          <cell r="A387" t="str">
            <v>x</v>
          </cell>
          <cell r="J387" t="str">
            <v>As of 31st March 2000</v>
          </cell>
        </row>
        <row r="389">
          <cell r="I389" t="str">
            <v>|</v>
          </cell>
          <cell r="M389" t="str">
            <v>PAST DUE</v>
          </cell>
          <cell r="W389" t="str">
            <v>Total Debt</v>
          </cell>
          <cell r="X389" t="str">
            <v>Provision for</v>
          </cell>
        </row>
        <row r="390">
          <cell r="I390" t="str">
            <v>|</v>
          </cell>
          <cell r="J390" t="str">
            <v>SALES</v>
          </cell>
          <cell r="K390" t="str">
            <v>TAR</v>
          </cell>
          <cell r="L390" t="str">
            <v>DSO</v>
          </cell>
          <cell r="M390" t="str">
            <v>TOTAL PAST DUE</v>
          </cell>
          <cell r="O390" t="str">
            <v>0-30 Days PD</v>
          </cell>
          <cell r="Q390" t="str">
            <v>31-60 Days PD</v>
          </cell>
          <cell r="S390" t="str">
            <v>61-90 Days PD</v>
          </cell>
          <cell r="U390" t="str">
            <v>91-180 Days PD</v>
          </cell>
          <cell r="W390" t="str">
            <v>Recovery</v>
          </cell>
          <cell r="X390" t="str">
            <v>Bad Debt</v>
          </cell>
        </row>
        <row r="391">
          <cell r="I391" t="str">
            <v>|</v>
          </cell>
          <cell r="J391" t="str">
            <v>LCL</v>
          </cell>
          <cell r="K391" t="str">
            <v>LCL</v>
          </cell>
          <cell r="L391" t="str">
            <v>Days</v>
          </cell>
          <cell r="M391" t="str">
            <v>LCL</v>
          </cell>
          <cell r="N391" t="str">
            <v>%</v>
          </cell>
          <cell r="O391" t="str">
            <v>LCL</v>
          </cell>
          <cell r="P391" t="str">
            <v>%</v>
          </cell>
          <cell r="Q391" t="str">
            <v>LCL</v>
          </cell>
          <cell r="R391" t="str">
            <v>%</v>
          </cell>
          <cell r="S391" t="str">
            <v>LCL</v>
          </cell>
          <cell r="T391" t="str">
            <v>%</v>
          </cell>
          <cell r="U391" t="str">
            <v>LCL</v>
          </cell>
          <cell r="V391" t="str">
            <v>%</v>
          </cell>
          <cell r="W391" t="str">
            <v>LCL</v>
          </cell>
          <cell r="X391" t="str">
            <v>LCL</v>
          </cell>
        </row>
        <row r="392">
          <cell r="A392" t="str">
            <v>Tonnage</v>
          </cell>
          <cell r="I392" t="str">
            <v>|</v>
          </cell>
        </row>
        <row r="393">
          <cell r="A393" t="str">
            <v>UK</v>
          </cell>
          <cell r="I393" t="str">
            <v>|</v>
          </cell>
          <cell r="J393">
            <v>4208</v>
          </cell>
          <cell r="K393">
            <v>3444</v>
          </cell>
          <cell r="L393">
            <v>27.858125628406626</v>
          </cell>
          <cell r="M393">
            <v>566</v>
          </cell>
          <cell r="N393">
            <v>0.16434378629500582</v>
          </cell>
          <cell r="O393">
            <v>412</v>
          </cell>
          <cell r="P393">
            <v>0.11962833914053426</v>
          </cell>
          <cell r="Q393">
            <v>223</v>
          </cell>
          <cell r="R393">
            <v>6.4750290360046453E-2</v>
          </cell>
          <cell r="S393">
            <v>66</v>
          </cell>
          <cell r="T393">
            <v>1.9163763066202089E-2</v>
          </cell>
          <cell r="U393">
            <v>-135</v>
          </cell>
          <cell r="V393">
            <v>-3.9198606271777001E-2</v>
          </cell>
          <cell r="W393">
            <v>0</v>
          </cell>
          <cell r="X393">
            <v>0</v>
          </cell>
        </row>
        <row r="394">
          <cell r="A394" t="str">
            <v>Ireland</v>
          </cell>
          <cell r="I394" t="str">
            <v>|</v>
          </cell>
          <cell r="J394">
            <v>369</v>
          </cell>
          <cell r="K394">
            <v>633</v>
          </cell>
          <cell r="L394">
            <v>98.1388888888889</v>
          </cell>
          <cell r="M394">
            <v>259</v>
          </cell>
          <cell r="N394">
            <v>0.40916271721958924</v>
          </cell>
          <cell r="P394">
            <v>0</v>
          </cell>
          <cell r="Q394">
            <v>35</v>
          </cell>
          <cell r="R394">
            <v>5.5292259083728278E-2</v>
          </cell>
          <cell r="T394">
            <v>0</v>
          </cell>
          <cell r="U394">
            <v>224</v>
          </cell>
          <cell r="V394">
            <v>0.35387045813586099</v>
          </cell>
          <cell r="W394">
            <v>0</v>
          </cell>
          <cell r="X394">
            <v>0</v>
          </cell>
        </row>
        <row r="395">
          <cell r="A395" t="str">
            <v>Netherlands</v>
          </cell>
          <cell r="I395" t="str">
            <v>|</v>
          </cell>
          <cell r="J395">
            <v>26789</v>
          </cell>
          <cell r="K395">
            <v>27841</v>
          </cell>
          <cell r="L395">
            <v>31.716222128564834</v>
          </cell>
          <cell r="M395">
            <v>881</v>
          </cell>
          <cell r="N395">
            <v>3.1643978305376963E-2</v>
          </cell>
          <cell r="O395">
            <v>1079</v>
          </cell>
          <cell r="P395">
            <v>3.8755791817822634E-2</v>
          </cell>
          <cell r="R395">
            <v>0</v>
          </cell>
          <cell r="T395">
            <v>0</v>
          </cell>
          <cell r="U395">
            <v>-198</v>
          </cell>
          <cell r="V395">
            <v>-7.1118135124456734E-3</v>
          </cell>
          <cell r="W395">
            <v>0</v>
          </cell>
          <cell r="X395">
            <v>0</v>
          </cell>
        </row>
        <row r="396">
          <cell r="A396" t="str">
            <v>Belgium</v>
          </cell>
          <cell r="I396" t="str">
            <v>|</v>
          </cell>
          <cell r="J396">
            <v>94557</v>
          </cell>
          <cell r="K396">
            <v>83282</v>
          </cell>
          <cell r="L396">
            <v>32.74747737728665</v>
          </cell>
          <cell r="M396">
            <v>931</v>
          </cell>
          <cell r="N396">
            <v>1.117888619389544E-2</v>
          </cell>
          <cell r="O396">
            <v>931</v>
          </cell>
          <cell r="P396">
            <v>1.117888619389544E-2</v>
          </cell>
          <cell r="R396">
            <v>0</v>
          </cell>
          <cell r="T396">
            <v>0</v>
          </cell>
          <cell r="V396">
            <v>0</v>
          </cell>
          <cell r="W396">
            <v>0</v>
          </cell>
          <cell r="X396">
            <v>0</v>
          </cell>
        </row>
        <row r="397">
          <cell r="A397" t="str">
            <v>France</v>
          </cell>
          <cell r="I397" t="str">
            <v>|</v>
          </cell>
          <cell r="J397">
            <v>3541</v>
          </cell>
          <cell r="K397">
            <v>5058</v>
          </cell>
          <cell r="L397">
            <v>41.155568689256626</v>
          </cell>
          <cell r="M397">
            <v>0</v>
          </cell>
          <cell r="N397">
            <v>0</v>
          </cell>
          <cell r="P397">
            <v>0</v>
          </cell>
          <cell r="R397">
            <v>0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</row>
        <row r="398">
          <cell r="A398" t="str">
            <v>Italy</v>
          </cell>
          <cell r="I398" t="str">
            <v>|</v>
          </cell>
          <cell r="J398">
            <v>736923</v>
          </cell>
          <cell r="K398">
            <v>412544</v>
          </cell>
          <cell r="L398">
            <v>58.160429698813104</v>
          </cell>
          <cell r="M398">
            <v>-142</v>
          </cell>
          <cell r="N398">
            <v>-3.4420570896680111E-4</v>
          </cell>
          <cell r="P398">
            <v>0</v>
          </cell>
          <cell r="R398">
            <v>0</v>
          </cell>
          <cell r="T398">
            <v>0</v>
          </cell>
          <cell r="U398">
            <v>-142</v>
          </cell>
          <cell r="V398">
            <v>-3.4420570896680111E-4</v>
          </cell>
          <cell r="W398">
            <v>0</v>
          </cell>
          <cell r="X398">
            <v>0</v>
          </cell>
        </row>
        <row r="399">
          <cell r="A399" t="str">
            <v>Germany</v>
          </cell>
          <cell r="I399" t="str">
            <v>|</v>
          </cell>
          <cell r="J399">
            <v>2074</v>
          </cell>
          <cell r="K399">
            <v>1107</v>
          </cell>
          <cell r="L399">
            <v>19.174890165596484</v>
          </cell>
          <cell r="M399">
            <v>53</v>
          </cell>
          <cell r="N399">
            <v>4.7877145438121049E-2</v>
          </cell>
          <cell r="O399">
            <v>53</v>
          </cell>
          <cell r="P399">
            <v>4.7877145438121049E-2</v>
          </cell>
          <cell r="R399">
            <v>0</v>
          </cell>
          <cell r="T399">
            <v>0</v>
          </cell>
          <cell r="V399">
            <v>0</v>
          </cell>
          <cell r="W399">
            <v>0</v>
          </cell>
          <cell r="X399">
            <v>0</v>
          </cell>
        </row>
        <row r="400">
          <cell r="A400" t="str">
            <v>Israel</v>
          </cell>
          <cell r="I400" t="str">
            <v>|</v>
          </cell>
          <cell r="J400">
            <v>756</v>
          </cell>
          <cell r="K400">
            <v>1126</v>
          </cell>
          <cell r="L400">
            <v>36.770348837209305</v>
          </cell>
          <cell r="M400">
            <v>389</v>
          </cell>
          <cell r="N400">
            <v>0.34547069271758435</v>
          </cell>
          <cell r="O400">
            <v>306</v>
          </cell>
          <cell r="P400">
            <v>0.27175843694493784</v>
          </cell>
          <cell r="Q400">
            <v>58</v>
          </cell>
          <cell r="R400">
            <v>5.1509769094138541E-2</v>
          </cell>
          <cell r="S400">
            <v>23</v>
          </cell>
          <cell r="T400">
            <v>2.0426287744227355E-2</v>
          </cell>
          <cell r="U400">
            <v>2</v>
          </cell>
          <cell r="V400">
            <v>1.7761989342806395E-3</v>
          </cell>
          <cell r="W400">
            <v>0</v>
          </cell>
          <cell r="X400">
            <v>0</v>
          </cell>
        </row>
        <row r="401">
          <cell r="A401" t="str">
            <v>Subtotal Tonnage</v>
          </cell>
          <cell r="I401" t="str">
            <v>|</v>
          </cell>
          <cell r="J401">
            <v>869217</v>
          </cell>
          <cell r="K401">
            <v>535035</v>
          </cell>
          <cell r="L401">
            <v>54.086056890108139</v>
          </cell>
          <cell r="M401">
            <v>2937</v>
          </cell>
          <cell r="N401">
            <v>5.4893605091255711E-3</v>
          </cell>
          <cell r="O401">
            <v>2781</v>
          </cell>
          <cell r="P401">
            <v>5.1977907987327933E-3</v>
          </cell>
          <cell r="Q401">
            <v>316</v>
          </cell>
          <cell r="R401">
            <v>5.9061556720588378E-4</v>
          </cell>
          <cell r="S401">
            <v>89</v>
          </cell>
          <cell r="T401">
            <v>1.6634425785229005E-4</v>
          </cell>
          <cell r="U401">
            <v>-249</v>
          </cell>
          <cell r="V401">
            <v>-4.6539011466539571E-4</v>
          </cell>
        </row>
      </sheetData>
      <sheetData sheetId="6" refreshError="1">
        <row r="290">
          <cell r="A290" t="str">
            <v>x</v>
          </cell>
          <cell r="J290" t="str">
            <v>As of 31st January 2000</v>
          </cell>
        </row>
        <row r="291">
          <cell r="D291" t="str">
            <v>September FY 97 *</v>
          </cell>
          <cell r="W291" t="str">
            <v>Total Debt</v>
          </cell>
          <cell r="X291" t="str">
            <v>Provision for</v>
          </cell>
        </row>
        <row r="292">
          <cell r="B292" t="str">
            <v>CURRENCY</v>
          </cell>
          <cell r="C292" t="str">
            <v>SALES</v>
          </cell>
          <cell r="D292" t="str">
            <v>TAR</v>
          </cell>
          <cell r="E292" t="str">
            <v>DSO</v>
          </cell>
          <cell r="G292" t="str">
            <v>PAST DUE</v>
          </cell>
          <cell r="J292" t="str">
            <v>SALES</v>
          </cell>
          <cell r="K292" t="str">
            <v>TAR</v>
          </cell>
          <cell r="L292" t="str">
            <v>DSO</v>
          </cell>
          <cell r="M292" t="str">
            <v>TOTAL PAST DUE</v>
          </cell>
          <cell r="O292" t="str">
            <v>0-30 Days PD</v>
          </cell>
          <cell r="Q292" t="str">
            <v>31-60 Days PD</v>
          </cell>
          <cell r="S292" t="str">
            <v>61-90 Days PD</v>
          </cell>
          <cell r="U292" t="str">
            <v>91+ Days PD</v>
          </cell>
          <cell r="W292" t="str">
            <v>Recovery</v>
          </cell>
          <cell r="X292" t="str">
            <v>Bad debt</v>
          </cell>
        </row>
        <row r="293">
          <cell r="C293" t="str">
            <v>LCL</v>
          </cell>
          <cell r="D293" t="str">
            <v>LCL</v>
          </cell>
          <cell r="E293" t="str">
            <v>Days</v>
          </cell>
          <cell r="G293" t="str">
            <v>LCL</v>
          </cell>
          <cell r="H293" t="str">
            <v>%</v>
          </cell>
          <cell r="J293" t="str">
            <v>LCL</v>
          </cell>
          <cell r="K293" t="str">
            <v>LCL</v>
          </cell>
          <cell r="L293" t="str">
            <v>Days</v>
          </cell>
          <cell r="M293" t="str">
            <v>LCL</v>
          </cell>
          <cell r="N293" t="str">
            <v>%</v>
          </cell>
          <cell r="O293" t="str">
            <v>LCL</v>
          </cell>
          <cell r="P293" t="str">
            <v>%</v>
          </cell>
          <cell r="Q293" t="str">
            <v>LCL</v>
          </cell>
          <cell r="R293" t="str">
            <v>%</v>
          </cell>
          <cell r="S293" t="str">
            <v>LCL</v>
          </cell>
          <cell r="T293" t="str">
            <v>%</v>
          </cell>
          <cell r="U293" t="str">
            <v>LCL</v>
          </cell>
          <cell r="V293" t="str">
            <v>%</v>
          </cell>
          <cell r="W293" t="str">
            <v>LCL</v>
          </cell>
          <cell r="X293" t="str">
            <v>LCL</v>
          </cell>
        </row>
        <row r="294">
          <cell r="A294" t="str">
            <v>Merchant</v>
          </cell>
        </row>
        <row r="295">
          <cell r="A295" t="str">
            <v>UK</v>
          </cell>
          <cell r="B295" t="str">
            <v>GBP</v>
          </cell>
          <cell r="C295">
            <v>13187</v>
          </cell>
          <cell r="D295">
            <v>20990</v>
          </cell>
          <cell r="E295">
            <v>48.1</v>
          </cell>
          <cell r="G295">
            <v>7208</v>
          </cell>
          <cell r="H295">
            <v>0.34340161981896139</v>
          </cell>
          <cell r="J295">
            <v>16420</v>
          </cell>
          <cell r="K295">
            <v>28665</v>
          </cell>
          <cell r="L295">
            <v>57.654234553495534</v>
          </cell>
          <cell r="M295">
            <v>10809</v>
          </cell>
          <cell r="N295">
            <v>0.37708006279434853</v>
          </cell>
          <cell r="O295">
            <v>4935</v>
          </cell>
          <cell r="P295">
            <v>0.17216117216117216</v>
          </cell>
          <cell r="Q295">
            <v>2559</v>
          </cell>
          <cell r="R295">
            <v>8.9272632129774987E-2</v>
          </cell>
          <cell r="S295">
            <v>988</v>
          </cell>
          <cell r="T295">
            <v>3.4467120181405894E-2</v>
          </cell>
          <cell r="U295">
            <v>2327</v>
          </cell>
          <cell r="V295">
            <v>8.117913832199547E-2</v>
          </cell>
          <cell r="W295">
            <v>1419</v>
          </cell>
          <cell r="X295">
            <v>1882</v>
          </cell>
        </row>
        <row r="296">
          <cell r="A296" t="str">
            <v>Ireland</v>
          </cell>
          <cell r="B296" t="str">
            <v>IEP</v>
          </cell>
          <cell r="C296">
            <v>663</v>
          </cell>
          <cell r="D296">
            <v>1209</v>
          </cell>
          <cell r="E296">
            <v>44.7</v>
          </cell>
          <cell r="G296">
            <v>356</v>
          </cell>
          <cell r="H296">
            <v>0.29445822994210091</v>
          </cell>
          <cell r="J296">
            <v>1014</v>
          </cell>
          <cell r="K296">
            <v>2445</v>
          </cell>
          <cell r="L296">
            <v>73.407232173031431</v>
          </cell>
          <cell r="M296">
            <v>1370</v>
          </cell>
          <cell r="N296">
            <v>0.56032719836400813</v>
          </cell>
          <cell r="O296">
            <v>455</v>
          </cell>
          <cell r="P296">
            <v>0.18609406952965235</v>
          </cell>
          <cell r="Q296">
            <v>296</v>
          </cell>
          <cell r="R296">
            <v>0.12106339468302658</v>
          </cell>
          <cell r="S296">
            <v>195</v>
          </cell>
          <cell r="T296">
            <v>7.9754601226993863E-2</v>
          </cell>
          <cell r="U296">
            <v>424</v>
          </cell>
          <cell r="V296">
            <v>0.17341513292433539</v>
          </cell>
          <cell r="W296">
            <v>51</v>
          </cell>
        </row>
        <row r="297">
          <cell r="A297" t="str">
            <v>France</v>
          </cell>
          <cell r="B297" t="str">
            <v>FRF</v>
          </cell>
          <cell r="C297">
            <v>61110</v>
          </cell>
          <cell r="D297">
            <v>125033</v>
          </cell>
          <cell r="E297">
            <v>65.900000000000006</v>
          </cell>
          <cell r="G297">
            <v>31735</v>
          </cell>
          <cell r="H297">
            <v>0.25</v>
          </cell>
          <cell r="J297">
            <v>68212</v>
          </cell>
          <cell r="K297">
            <v>144179</v>
          </cell>
          <cell r="L297">
            <v>69.9721269185452</v>
          </cell>
          <cell r="M297">
            <v>44038</v>
          </cell>
          <cell r="N297">
            <v>0.30543976584662119</v>
          </cell>
          <cell r="O297">
            <v>21999</v>
          </cell>
          <cell r="P297">
            <v>0.15258116646668377</v>
          </cell>
          <cell r="Q297">
            <v>11675</v>
          </cell>
          <cell r="R297">
            <v>8.097573155591313E-2</v>
          </cell>
          <cell r="S297">
            <v>4081</v>
          </cell>
          <cell r="T297">
            <v>2.8305092974705053E-2</v>
          </cell>
          <cell r="U297">
            <v>6283</v>
          </cell>
          <cell r="V297">
            <v>4.3577774849319247E-2</v>
          </cell>
          <cell r="W297">
            <v>2954</v>
          </cell>
          <cell r="X297">
            <v>4351</v>
          </cell>
        </row>
        <row r="298">
          <cell r="A298" t="str">
            <v>Germany</v>
          </cell>
          <cell r="B298" t="str">
            <v>DEM</v>
          </cell>
          <cell r="C298">
            <v>16061</v>
          </cell>
          <cell r="D298">
            <v>17274</v>
          </cell>
          <cell r="E298">
            <v>32.6</v>
          </cell>
          <cell r="G298">
            <v>3113</v>
          </cell>
          <cell r="H298">
            <v>0.18021303693412064</v>
          </cell>
          <cell r="J298">
            <v>21004</v>
          </cell>
          <cell r="K298">
            <v>20624</v>
          </cell>
          <cell r="L298">
            <v>35.076359441454805</v>
          </cell>
          <cell r="M298">
            <v>2910</v>
          </cell>
          <cell r="N298">
            <v>0.1410977501939488</v>
          </cell>
          <cell r="O298">
            <v>1982</v>
          </cell>
          <cell r="P298">
            <v>9.6101629169899144E-2</v>
          </cell>
          <cell r="Q298">
            <v>717</v>
          </cell>
          <cell r="R298">
            <v>3.4765321955003876E-2</v>
          </cell>
          <cell r="S298">
            <v>226</v>
          </cell>
          <cell r="T298">
            <v>1.095810705973623E-2</v>
          </cell>
          <cell r="U298">
            <v>-15</v>
          </cell>
          <cell r="V298">
            <v>-7.2730799069045768E-4</v>
          </cell>
          <cell r="W298">
            <v>538</v>
          </cell>
          <cell r="X298">
            <v>122</v>
          </cell>
        </row>
        <row r="299">
          <cell r="A299" t="str">
            <v>Belgium</v>
          </cell>
          <cell r="B299" t="str">
            <v>BEF</v>
          </cell>
          <cell r="C299">
            <v>172725</v>
          </cell>
          <cell r="D299">
            <v>344420</v>
          </cell>
          <cell r="E299">
            <v>63</v>
          </cell>
          <cell r="G299">
            <v>172725</v>
          </cell>
          <cell r="H299">
            <v>0.50149526740607397</v>
          </cell>
          <cell r="J299">
            <v>130989.587</v>
          </cell>
          <cell r="K299">
            <v>267835.03000000003</v>
          </cell>
          <cell r="L299">
            <v>66.548900243413016</v>
          </cell>
          <cell r="M299">
            <v>115078.158</v>
          </cell>
          <cell r="N299">
            <v>0.42966059368709159</v>
          </cell>
          <cell r="O299">
            <v>73322.885999999999</v>
          </cell>
          <cell r="P299">
            <v>0.27376137467903278</v>
          </cell>
          <cell r="Q299">
            <v>24539.460999999999</v>
          </cell>
          <cell r="R299">
            <v>9.1621551519978542E-2</v>
          </cell>
          <cell r="S299">
            <v>8534.7289999999994</v>
          </cell>
          <cell r="T299">
            <v>3.1865618922214914E-2</v>
          </cell>
          <cell r="U299">
            <v>8681.0820000000003</v>
          </cell>
          <cell r="V299">
            <v>3.241204856586534E-2</v>
          </cell>
          <cell r="W299">
            <v>11238.27</v>
          </cell>
          <cell r="X299">
            <v>0</v>
          </cell>
        </row>
        <row r="300">
          <cell r="A300" t="str">
            <v>Netherlands</v>
          </cell>
          <cell r="B300" t="str">
            <v>NLG</v>
          </cell>
          <cell r="C300">
            <v>5975</v>
          </cell>
          <cell r="D300">
            <v>11853</v>
          </cell>
          <cell r="E300">
            <v>52.3</v>
          </cell>
          <cell r="G300">
            <v>5974</v>
          </cell>
          <cell r="H300">
            <v>0.50400742428077283</v>
          </cell>
          <cell r="J300">
            <v>7341.44139</v>
          </cell>
          <cell r="K300">
            <v>15573.948979999999</v>
          </cell>
          <cell r="L300">
            <v>63.677318998552394</v>
          </cell>
          <cell r="M300">
            <v>6283.2721900000006</v>
          </cell>
          <cell r="N300">
            <v>0.40344759046462481</v>
          </cell>
          <cell r="O300">
            <v>4849.8103000000001</v>
          </cell>
          <cell r="P300">
            <v>0.31140530293428509</v>
          </cell>
          <cell r="Q300">
            <v>828.75729000000001</v>
          </cell>
          <cell r="R300">
            <v>5.3214331899012042E-2</v>
          </cell>
          <cell r="S300">
            <v>193.48752999999999</v>
          </cell>
          <cell r="T300">
            <v>1.2423793749965143E-2</v>
          </cell>
          <cell r="U300">
            <v>411.21706999999998</v>
          </cell>
          <cell r="V300">
            <v>2.6404161881362475E-2</v>
          </cell>
          <cell r="W300">
            <v>321.28348999999997</v>
          </cell>
          <cell r="X300">
            <v>0</v>
          </cell>
        </row>
        <row r="301">
          <cell r="A301" t="str">
            <v>Subtotal Merchant</v>
          </cell>
          <cell r="C301">
            <v>265329</v>
          </cell>
          <cell r="D301">
            <v>520084</v>
          </cell>
          <cell r="E301">
            <v>0</v>
          </cell>
          <cell r="G301">
            <v>223525</v>
          </cell>
          <cell r="H301">
            <v>0.429786342206259</v>
          </cell>
          <cell r="J301">
            <v>244981.02838999999</v>
          </cell>
          <cell r="K301">
            <v>479321.97898000001</v>
          </cell>
          <cell r="L301">
            <v>64.496871628570247</v>
          </cell>
          <cell r="M301">
            <v>180488.43018999998</v>
          </cell>
          <cell r="N301">
            <v>0.3765494554914432</v>
          </cell>
          <cell r="O301">
            <v>107543.6963</v>
          </cell>
          <cell r="P301">
            <v>0.22436629450803322</v>
          </cell>
          <cell r="Q301">
            <v>40615.218289999997</v>
          </cell>
          <cell r="R301">
            <v>8.4734729620430549E-2</v>
          </cell>
          <cell r="S301">
            <v>14218.21653</v>
          </cell>
          <cell r="T301">
            <v>2.9663184985292034E-2</v>
          </cell>
          <cell r="U301">
            <v>18111.299070000001</v>
          </cell>
          <cell r="V301">
            <v>3.7785246377687397E-2</v>
          </cell>
          <cell r="W301">
            <v>16521.553490000002</v>
          </cell>
          <cell r="X301">
            <v>6355</v>
          </cell>
        </row>
        <row r="303">
          <cell r="A303" t="str">
            <v>x</v>
          </cell>
          <cell r="J303" t="str">
            <v>As of 29th February 2000</v>
          </cell>
        </row>
        <row r="304">
          <cell r="D304" t="str">
            <v>September FY 97 *</v>
          </cell>
          <cell r="W304" t="str">
            <v>Total Debt</v>
          </cell>
          <cell r="X304" t="str">
            <v>Provision for</v>
          </cell>
        </row>
        <row r="305">
          <cell r="B305" t="str">
            <v>CURRENCY</v>
          </cell>
          <cell r="C305" t="str">
            <v>SALES</v>
          </cell>
          <cell r="D305" t="str">
            <v>TAR</v>
          </cell>
          <cell r="E305" t="str">
            <v>DSO</v>
          </cell>
          <cell r="G305" t="str">
            <v>PAST DUE</v>
          </cell>
          <cell r="J305" t="str">
            <v>SALES</v>
          </cell>
          <cell r="K305" t="str">
            <v>TAR</v>
          </cell>
          <cell r="L305" t="str">
            <v>DSO</v>
          </cell>
          <cell r="M305" t="str">
            <v>TOTAL PAST DUE</v>
          </cell>
          <cell r="O305" t="str">
            <v>0-30 Days PD</v>
          </cell>
          <cell r="Q305" t="str">
            <v>31-60 Days PD</v>
          </cell>
          <cell r="S305" t="str">
            <v>61-90 Days PD</v>
          </cell>
          <cell r="U305" t="str">
            <v>91+ Days PD</v>
          </cell>
          <cell r="W305" t="str">
            <v>Recovery</v>
          </cell>
          <cell r="X305" t="str">
            <v>Bad debt</v>
          </cell>
        </row>
        <row r="306">
          <cell r="C306" t="str">
            <v>LCL</v>
          </cell>
          <cell r="D306" t="str">
            <v>LCL</v>
          </cell>
          <cell r="E306" t="str">
            <v>Days</v>
          </cell>
          <cell r="G306" t="str">
            <v>LCL</v>
          </cell>
          <cell r="H306" t="str">
            <v>%</v>
          </cell>
          <cell r="J306" t="str">
            <v>LCL</v>
          </cell>
          <cell r="K306" t="str">
            <v>LCL</v>
          </cell>
          <cell r="L306" t="str">
            <v>Days</v>
          </cell>
          <cell r="M306" t="str">
            <v>LCL</v>
          </cell>
          <cell r="N306" t="str">
            <v>%</v>
          </cell>
          <cell r="O306" t="str">
            <v>LCL</v>
          </cell>
          <cell r="P306" t="str">
            <v>%</v>
          </cell>
          <cell r="Q306" t="str">
            <v>LCL</v>
          </cell>
          <cell r="R306" t="str">
            <v>%</v>
          </cell>
          <cell r="S306" t="str">
            <v>LCL</v>
          </cell>
          <cell r="T306" t="str">
            <v>%</v>
          </cell>
          <cell r="U306" t="str">
            <v>LCL</v>
          </cell>
          <cell r="V306" t="str">
            <v>%</v>
          </cell>
          <cell r="W306" t="str">
            <v>LCL</v>
          </cell>
          <cell r="X306" t="str">
            <v>LCL</v>
          </cell>
        </row>
        <row r="307">
          <cell r="A307" t="str">
            <v>Merchant</v>
          </cell>
        </row>
        <row r="308">
          <cell r="A308" t="str">
            <v>UK</v>
          </cell>
          <cell r="B308" t="str">
            <v>GBP</v>
          </cell>
          <cell r="C308">
            <v>13187</v>
          </cell>
          <cell r="D308">
            <v>20990</v>
          </cell>
          <cell r="E308">
            <v>48.1</v>
          </cell>
          <cell r="G308">
            <v>7208</v>
          </cell>
          <cell r="H308">
            <v>0.34340161981896139</v>
          </cell>
          <cell r="J308">
            <v>15687</v>
          </cell>
          <cell r="K308">
            <v>28627</v>
          </cell>
          <cell r="L308">
            <v>56.69969176574196</v>
          </cell>
          <cell r="M308">
            <v>7172</v>
          </cell>
          <cell r="N308">
            <v>0.25053271387151987</v>
          </cell>
          <cell r="O308">
            <v>1788</v>
          </cell>
          <cell r="P308">
            <v>6.2458518182135749E-2</v>
          </cell>
          <cell r="Q308">
            <v>1762</v>
          </cell>
          <cell r="R308">
            <v>6.1550284696265764E-2</v>
          </cell>
          <cell r="S308">
            <v>1209</v>
          </cell>
          <cell r="T308">
            <v>4.2232857092954205E-2</v>
          </cell>
          <cell r="U308">
            <v>2413</v>
          </cell>
          <cell r="V308">
            <v>8.4291053900164184E-2</v>
          </cell>
          <cell r="W308">
            <v>1032</v>
          </cell>
          <cell r="X308">
            <v>1952</v>
          </cell>
        </row>
        <row r="309">
          <cell r="A309" t="str">
            <v>Ireland</v>
          </cell>
          <cell r="B309" t="str">
            <v>IEP</v>
          </cell>
          <cell r="C309">
            <v>663</v>
          </cell>
          <cell r="D309">
            <v>1209</v>
          </cell>
          <cell r="E309">
            <v>44.7</v>
          </cell>
          <cell r="G309">
            <v>356</v>
          </cell>
          <cell r="H309">
            <v>0.29445822994210091</v>
          </cell>
          <cell r="J309">
            <v>1116</v>
          </cell>
          <cell r="K309">
            <v>2568</v>
          </cell>
          <cell r="L309">
            <v>72.824234354194402</v>
          </cell>
          <cell r="M309">
            <v>1253</v>
          </cell>
          <cell r="N309">
            <v>0.48792834890965731</v>
          </cell>
          <cell r="O309">
            <v>595</v>
          </cell>
          <cell r="P309">
            <v>0.23169781931464176</v>
          </cell>
          <cell r="Q309">
            <v>168</v>
          </cell>
          <cell r="R309">
            <v>6.5420560747663545E-2</v>
          </cell>
          <cell r="S309">
            <v>154</v>
          </cell>
          <cell r="T309">
            <v>5.9968847352024922E-2</v>
          </cell>
          <cell r="U309">
            <v>336</v>
          </cell>
          <cell r="V309">
            <v>0.13084112149532709</v>
          </cell>
          <cell r="W309">
            <v>48</v>
          </cell>
          <cell r="X309">
            <v>83</v>
          </cell>
        </row>
        <row r="310">
          <cell r="A310" t="str">
            <v>France</v>
          </cell>
          <cell r="B310" t="str">
            <v>FRF</v>
          </cell>
          <cell r="C310">
            <v>61110</v>
          </cell>
          <cell r="D310">
            <v>125033</v>
          </cell>
          <cell r="E310">
            <v>65.900000000000006</v>
          </cell>
          <cell r="G310">
            <v>31735</v>
          </cell>
          <cell r="H310">
            <v>0.25</v>
          </cell>
          <cell r="J310">
            <v>64049</v>
          </cell>
          <cell r="K310">
            <v>144076</v>
          </cell>
          <cell r="L310">
            <v>68.164163982753934</v>
          </cell>
          <cell r="M310">
            <v>33018</v>
          </cell>
          <cell r="N310">
            <v>0.2291707154557317</v>
          </cell>
          <cell r="O310">
            <v>16884</v>
          </cell>
          <cell r="P310">
            <v>0.11718815069824259</v>
          </cell>
          <cell r="Q310">
            <v>6095</v>
          </cell>
          <cell r="R310">
            <v>4.2304061745190039E-2</v>
          </cell>
          <cell r="S310">
            <v>4237</v>
          </cell>
          <cell r="T310">
            <v>2.9408090174630055E-2</v>
          </cell>
          <cell r="U310">
            <v>5802</v>
          </cell>
          <cell r="V310">
            <v>4.0270412837669009E-2</v>
          </cell>
          <cell r="W310">
            <v>0</v>
          </cell>
          <cell r="X310">
            <v>0</v>
          </cell>
        </row>
        <row r="311">
          <cell r="A311" t="str">
            <v>Germany</v>
          </cell>
          <cell r="B311" t="str">
            <v>DEM</v>
          </cell>
          <cell r="C311">
            <v>16061</v>
          </cell>
          <cell r="D311">
            <v>17274</v>
          </cell>
          <cell r="E311">
            <v>32.6</v>
          </cell>
          <cell r="G311">
            <v>3113</v>
          </cell>
          <cell r="H311">
            <v>0.18021303693412064</v>
          </cell>
          <cell r="J311">
            <v>19168</v>
          </cell>
          <cell r="K311">
            <v>21358</v>
          </cell>
          <cell r="L311">
            <v>33.181148972154787</v>
          </cell>
          <cell r="M311">
            <v>4289</v>
          </cell>
          <cell r="N311">
            <v>0.20081468302275493</v>
          </cell>
          <cell r="O311">
            <v>3434</v>
          </cell>
          <cell r="P311">
            <v>0.16078284483565877</v>
          </cell>
          <cell r="Q311">
            <v>604</v>
          </cell>
          <cell r="R311">
            <v>2.8279801479539284E-2</v>
          </cell>
          <cell r="S311">
            <v>263</v>
          </cell>
          <cell r="T311">
            <v>1.2313887068077536E-2</v>
          </cell>
          <cell r="U311">
            <v>-12</v>
          </cell>
          <cell r="V311">
            <v>-5.6185036052064797E-4</v>
          </cell>
          <cell r="W311">
            <v>692</v>
          </cell>
          <cell r="X311">
            <v>100</v>
          </cell>
        </row>
        <row r="312">
          <cell r="A312" t="str">
            <v>Belgium</v>
          </cell>
          <cell r="B312" t="str">
            <v>BEF</v>
          </cell>
          <cell r="C312">
            <v>172725</v>
          </cell>
          <cell r="D312">
            <v>344420</v>
          </cell>
          <cell r="E312">
            <v>63</v>
          </cell>
          <cell r="G312">
            <v>172725</v>
          </cell>
          <cell r="H312">
            <v>0.50149526740607397</v>
          </cell>
          <cell r="J312">
            <v>135611</v>
          </cell>
          <cell r="K312">
            <v>269770</v>
          </cell>
          <cell r="L312">
            <v>63.642919954720497</v>
          </cell>
          <cell r="M312">
            <v>64479</v>
          </cell>
          <cell r="N312">
            <v>0.23901471623975978</v>
          </cell>
          <cell r="O312">
            <v>34243</v>
          </cell>
          <cell r="P312">
            <v>0.12693405493568596</v>
          </cell>
          <cell r="Q312">
            <v>14304</v>
          </cell>
          <cell r="R312">
            <v>5.3022945472068803E-2</v>
          </cell>
          <cell r="S312">
            <v>6480</v>
          </cell>
          <cell r="T312">
            <v>2.4020461874930496E-2</v>
          </cell>
          <cell r="U312">
            <v>9452</v>
          </cell>
          <cell r="V312">
            <v>3.5037253957074542E-2</v>
          </cell>
          <cell r="W312">
            <v>12105</v>
          </cell>
          <cell r="X312">
            <v>24694</v>
          </cell>
        </row>
        <row r="313">
          <cell r="A313" t="str">
            <v>Netherlands</v>
          </cell>
          <cell r="B313" t="str">
            <v>NLG</v>
          </cell>
          <cell r="C313">
            <v>5975</v>
          </cell>
          <cell r="D313">
            <v>11853</v>
          </cell>
          <cell r="E313">
            <v>52.3</v>
          </cell>
          <cell r="G313">
            <v>5974</v>
          </cell>
          <cell r="H313">
            <v>0.50400742428077283</v>
          </cell>
          <cell r="J313">
            <v>5997</v>
          </cell>
          <cell r="K313">
            <v>13310</v>
          </cell>
          <cell r="L313">
            <v>64.445284606549365</v>
          </cell>
          <cell r="M313">
            <v>2502</v>
          </cell>
          <cell r="N313">
            <v>0.18797896318557475</v>
          </cell>
          <cell r="O313">
            <v>856</v>
          </cell>
          <cell r="P313">
            <v>6.431254695717506E-2</v>
          </cell>
          <cell r="Q313">
            <v>792</v>
          </cell>
          <cell r="R313">
            <v>5.9504132231404959E-2</v>
          </cell>
          <cell r="S313">
            <v>407</v>
          </cell>
          <cell r="T313">
            <v>3.0578512396694214E-2</v>
          </cell>
          <cell r="U313">
            <v>447</v>
          </cell>
          <cell r="V313">
            <v>3.3583771600300523E-2</v>
          </cell>
          <cell r="W313">
            <v>306</v>
          </cell>
          <cell r="X313">
            <v>1353</v>
          </cell>
        </row>
        <row r="314">
          <cell r="A314" t="str">
            <v>Subtotal Merchant</v>
          </cell>
          <cell r="C314">
            <v>265329</v>
          </cell>
          <cell r="D314">
            <v>520084</v>
          </cell>
          <cell r="E314">
            <v>0</v>
          </cell>
          <cell r="G314">
            <v>223525</v>
          </cell>
          <cell r="H314">
            <v>0.429786342206259</v>
          </cell>
          <cell r="J314">
            <v>241628</v>
          </cell>
          <cell r="K314">
            <v>479709</v>
          </cell>
          <cell r="L314">
            <v>62.124236723305238</v>
          </cell>
          <cell r="M314">
            <v>112713</v>
          </cell>
          <cell r="N314">
            <v>0.23496119522460493</v>
          </cell>
          <cell r="O314">
            <v>57800</v>
          </cell>
          <cell r="P314">
            <v>0.12048971355550969</v>
          </cell>
          <cell r="Q314">
            <v>23725</v>
          </cell>
          <cell r="R314">
            <v>4.9457066680008085E-2</v>
          </cell>
          <cell r="S314">
            <v>12750</v>
          </cell>
          <cell r="T314">
            <v>2.6578613284303609E-2</v>
          </cell>
          <cell r="U314">
            <v>18438</v>
          </cell>
          <cell r="V314">
            <v>3.8435801704783522E-2</v>
          </cell>
          <cell r="W314">
            <v>14183</v>
          </cell>
          <cell r="X314">
            <v>28182</v>
          </cell>
        </row>
        <row r="316">
          <cell r="A316" t="str">
            <v>x</v>
          </cell>
          <cell r="J316" t="str">
            <v>As of 31st March 2000</v>
          </cell>
        </row>
        <row r="317">
          <cell r="D317" t="str">
            <v>September FY 97 *</v>
          </cell>
          <cell r="W317" t="str">
            <v>Total Debt</v>
          </cell>
          <cell r="X317" t="str">
            <v>Provision for</v>
          </cell>
        </row>
        <row r="318">
          <cell r="B318" t="str">
            <v>CURRENCY</v>
          </cell>
          <cell r="C318" t="str">
            <v>SALES</v>
          </cell>
          <cell r="D318" t="str">
            <v>TAR</v>
          </cell>
          <cell r="E318" t="str">
            <v>DSO</v>
          </cell>
          <cell r="G318" t="str">
            <v>PAST DUE</v>
          </cell>
          <cell r="J318" t="str">
            <v>SALES</v>
          </cell>
          <cell r="K318" t="str">
            <v>TAR</v>
          </cell>
          <cell r="L318" t="str">
            <v>DSO</v>
          </cell>
          <cell r="M318" t="str">
            <v>TOTAL PAST DUE</v>
          </cell>
          <cell r="O318" t="str">
            <v>0-30 Days PD</v>
          </cell>
          <cell r="Q318" t="str">
            <v>31-60 Days PD</v>
          </cell>
          <cell r="S318" t="str">
            <v>61-90 Days PD</v>
          </cell>
          <cell r="U318" t="str">
            <v>91+ Days PD</v>
          </cell>
          <cell r="W318" t="str">
            <v>Recovery</v>
          </cell>
          <cell r="X318" t="str">
            <v>Bad debt</v>
          </cell>
        </row>
        <row r="319">
          <cell r="C319" t="str">
            <v>LCL</v>
          </cell>
          <cell r="D319" t="str">
            <v>LCL</v>
          </cell>
          <cell r="E319" t="str">
            <v>Days</v>
          </cell>
          <cell r="G319" t="str">
            <v>LCL</v>
          </cell>
          <cell r="H319" t="str">
            <v>%</v>
          </cell>
          <cell r="J319" t="str">
            <v>LCL</v>
          </cell>
          <cell r="K319" t="str">
            <v>LCL</v>
          </cell>
          <cell r="L319" t="str">
            <v>Days</v>
          </cell>
          <cell r="M319" t="str">
            <v>LCL</v>
          </cell>
          <cell r="N319" t="str">
            <v>%</v>
          </cell>
          <cell r="O319" t="str">
            <v>LCL</v>
          </cell>
          <cell r="P319" t="str">
            <v>%</v>
          </cell>
          <cell r="Q319" t="str">
            <v>LCL</v>
          </cell>
          <cell r="R319" t="str">
            <v>%</v>
          </cell>
          <cell r="S319" t="str">
            <v>LCL</v>
          </cell>
          <cell r="T319" t="str">
            <v>%</v>
          </cell>
          <cell r="U319" t="str">
            <v>LCL</v>
          </cell>
          <cell r="V319" t="str">
            <v>%</v>
          </cell>
          <cell r="W319" t="str">
            <v>LCL</v>
          </cell>
          <cell r="X319" t="str">
            <v>LCL</v>
          </cell>
        </row>
        <row r="320">
          <cell r="A320" t="str">
            <v>Merchant</v>
          </cell>
        </row>
        <row r="321">
          <cell r="A321" t="str">
            <v>UK</v>
          </cell>
          <cell r="B321" t="str">
            <v>GBP</v>
          </cell>
          <cell r="C321">
            <v>13187</v>
          </cell>
          <cell r="D321">
            <v>20990</v>
          </cell>
          <cell r="E321">
            <v>48.1</v>
          </cell>
          <cell r="G321">
            <v>7208</v>
          </cell>
          <cell r="H321">
            <v>0.34340161981896139</v>
          </cell>
          <cell r="J321">
            <v>16903</v>
          </cell>
          <cell r="K321">
            <v>27896</v>
          </cell>
          <cell r="L321">
            <v>52.724668435013264</v>
          </cell>
          <cell r="M321">
            <v>9252</v>
          </cell>
          <cell r="N321">
            <v>0.33166045311155723</v>
          </cell>
          <cell r="O321">
            <v>4445</v>
          </cell>
          <cell r="P321">
            <v>0.15934184112417552</v>
          </cell>
          <cell r="Q321">
            <v>1417</v>
          </cell>
          <cell r="R321">
            <v>5.0795813019787785E-2</v>
          </cell>
          <cell r="S321">
            <v>695</v>
          </cell>
          <cell r="T321">
            <v>2.4913966160022942E-2</v>
          </cell>
          <cell r="U321">
            <v>2695</v>
          </cell>
          <cell r="V321">
            <v>9.6608832807570974E-2</v>
          </cell>
          <cell r="W321">
            <v>1411</v>
          </cell>
          <cell r="X321">
            <v>1952</v>
          </cell>
        </row>
        <row r="322">
          <cell r="A322" t="str">
            <v>Ireland</v>
          </cell>
          <cell r="B322" t="str">
            <v>IEP</v>
          </cell>
          <cell r="C322">
            <v>663</v>
          </cell>
          <cell r="D322">
            <v>1209</v>
          </cell>
          <cell r="E322">
            <v>44.7</v>
          </cell>
          <cell r="G322">
            <v>356</v>
          </cell>
          <cell r="H322">
            <v>0.29445822994210091</v>
          </cell>
          <cell r="J322">
            <v>1960</v>
          </cell>
          <cell r="K322">
            <v>2585</v>
          </cell>
          <cell r="L322">
            <v>56.350285248573755</v>
          </cell>
          <cell r="M322">
            <v>928</v>
          </cell>
          <cell r="N322">
            <v>0.35899419729206961</v>
          </cell>
          <cell r="O322">
            <v>442</v>
          </cell>
          <cell r="P322">
            <v>0.17098646034816248</v>
          </cell>
          <cell r="Q322">
            <v>99</v>
          </cell>
          <cell r="R322">
            <v>3.8297872340425532E-2</v>
          </cell>
          <cell r="S322">
            <v>96</v>
          </cell>
          <cell r="T322">
            <v>3.7137330754352028E-2</v>
          </cell>
          <cell r="U322">
            <v>291</v>
          </cell>
          <cell r="V322">
            <v>0.11257253384912959</v>
          </cell>
          <cell r="W322">
            <v>64</v>
          </cell>
          <cell r="X322">
            <v>218.47300000000001</v>
          </cell>
        </row>
        <row r="323">
          <cell r="A323" t="str">
            <v>France</v>
          </cell>
          <cell r="B323" t="str">
            <v>FRF</v>
          </cell>
          <cell r="C323">
            <v>61110</v>
          </cell>
          <cell r="D323">
            <v>125033</v>
          </cell>
          <cell r="E323">
            <v>65.900000000000006</v>
          </cell>
          <cell r="G323">
            <v>31735</v>
          </cell>
          <cell r="H323">
            <v>0.25</v>
          </cell>
          <cell r="J323">
            <v>72785</v>
          </cell>
          <cell r="K323">
            <v>156534</v>
          </cell>
          <cell r="L323">
            <v>65.799542541673574</v>
          </cell>
          <cell r="M323">
            <v>40528</v>
          </cell>
          <cell r="N323">
            <v>0.25890860771461793</v>
          </cell>
          <cell r="O323">
            <v>22543</v>
          </cell>
          <cell r="P323">
            <v>0.14401344116933062</v>
          </cell>
          <cell r="Q323">
            <v>7474</v>
          </cell>
          <cell r="R323">
            <v>4.7746815388350135E-2</v>
          </cell>
          <cell r="S323">
            <v>4202</v>
          </cell>
          <cell r="T323">
            <v>2.6844008330458559E-2</v>
          </cell>
          <cell r="U323">
            <v>6309</v>
          </cell>
          <cell r="V323">
            <v>4.0304342826478594E-2</v>
          </cell>
          <cell r="W323">
            <v>2886</v>
          </cell>
          <cell r="X323">
            <v>4436</v>
          </cell>
        </row>
        <row r="324">
          <cell r="A324" t="str">
            <v>Germany</v>
          </cell>
          <cell r="B324" t="str">
            <v>DEM</v>
          </cell>
          <cell r="C324">
            <v>16061</v>
          </cell>
          <cell r="D324">
            <v>17274</v>
          </cell>
          <cell r="E324">
            <v>32.6</v>
          </cell>
          <cell r="G324">
            <v>3113</v>
          </cell>
          <cell r="H324">
            <v>0.18021303693412064</v>
          </cell>
          <cell r="J324">
            <v>20927</v>
          </cell>
          <cell r="K324">
            <v>21417</v>
          </cell>
          <cell r="L324">
            <v>31.475195993387782</v>
          </cell>
          <cell r="M324">
            <v>6825</v>
          </cell>
          <cell r="N324">
            <v>0.31867208292477939</v>
          </cell>
          <cell r="O324">
            <v>5102</v>
          </cell>
          <cell r="P324">
            <v>0.23822197319886071</v>
          </cell>
          <cell r="Q324">
            <v>1219</v>
          </cell>
          <cell r="R324">
            <v>5.6917402063781111E-2</v>
          </cell>
          <cell r="S324">
            <v>365</v>
          </cell>
          <cell r="T324">
            <v>1.7042536302936919E-2</v>
          </cell>
          <cell r="U324">
            <v>139</v>
          </cell>
          <cell r="V324">
            <v>6.4901713592006348E-3</v>
          </cell>
          <cell r="W324">
            <v>507</v>
          </cell>
          <cell r="X324">
            <v>183</v>
          </cell>
        </row>
        <row r="325">
          <cell r="A325" t="str">
            <v>Belgium</v>
          </cell>
          <cell r="B325" t="str">
            <v>BEF</v>
          </cell>
          <cell r="C325">
            <v>172725</v>
          </cell>
          <cell r="D325">
            <v>344420</v>
          </cell>
          <cell r="E325">
            <v>63</v>
          </cell>
          <cell r="G325">
            <v>172725</v>
          </cell>
          <cell r="H325">
            <v>0.50149526740607397</v>
          </cell>
          <cell r="J325">
            <v>155435</v>
          </cell>
          <cell r="K325">
            <v>302683</v>
          </cell>
          <cell r="L325">
            <v>60.394757444945043</v>
          </cell>
          <cell r="M325">
            <v>90212</v>
          </cell>
          <cell r="N325">
            <v>0.29804118500213095</v>
          </cell>
          <cell r="O325">
            <v>55474</v>
          </cell>
          <cell r="P325">
            <v>0.183274250618634</v>
          </cell>
          <cell r="Q325">
            <v>20012</v>
          </cell>
          <cell r="R325">
            <v>6.611537483109392E-2</v>
          </cell>
          <cell r="S325">
            <v>6570</v>
          </cell>
          <cell r="T325">
            <v>2.17058771057509E-2</v>
          </cell>
          <cell r="U325">
            <v>8156</v>
          </cell>
          <cell r="V325">
            <v>2.694568244665211E-2</v>
          </cell>
          <cell r="W325">
            <v>10777</v>
          </cell>
          <cell r="X325">
            <v>26992</v>
          </cell>
        </row>
        <row r="326">
          <cell r="A326" t="str">
            <v>Netherlands</v>
          </cell>
          <cell r="B326" t="str">
            <v>NLG</v>
          </cell>
          <cell r="C326">
            <v>5975</v>
          </cell>
          <cell r="D326">
            <v>11853</v>
          </cell>
          <cell r="E326">
            <v>52.3</v>
          </cell>
          <cell r="G326">
            <v>5974</v>
          </cell>
          <cell r="H326">
            <v>0.50400742428077283</v>
          </cell>
          <cell r="J326">
            <v>7288</v>
          </cell>
          <cell r="K326">
            <v>12924</v>
          </cell>
          <cell r="L326">
            <v>61.482949405328</v>
          </cell>
          <cell r="M326">
            <v>1944</v>
          </cell>
          <cell r="N326">
            <v>0.15041782729805014</v>
          </cell>
          <cell r="O326">
            <v>646</v>
          </cell>
          <cell r="P326">
            <v>4.998452491488703E-2</v>
          </cell>
          <cell r="Q326">
            <v>877</v>
          </cell>
          <cell r="R326">
            <v>6.7858248220365208E-2</v>
          </cell>
          <cell r="S326">
            <v>270</v>
          </cell>
          <cell r="T326">
            <v>2.0891364902506964E-2</v>
          </cell>
          <cell r="U326">
            <v>151</v>
          </cell>
          <cell r="V326">
            <v>1.1683689260290932E-2</v>
          </cell>
          <cell r="W326">
            <v>300</v>
          </cell>
          <cell r="X326">
            <v>967</v>
          </cell>
        </row>
        <row r="327">
          <cell r="A327" t="str">
            <v>Subtotal Merchant</v>
          </cell>
          <cell r="C327">
            <v>265329</v>
          </cell>
          <cell r="D327">
            <v>520084</v>
          </cell>
          <cell r="E327">
            <v>0</v>
          </cell>
          <cell r="G327">
            <v>223525</v>
          </cell>
          <cell r="H327">
            <v>0.429786342206259</v>
          </cell>
          <cell r="J327">
            <v>275298</v>
          </cell>
          <cell r="K327">
            <v>524039</v>
          </cell>
          <cell r="L327">
            <v>59.044547894671254</v>
          </cell>
          <cell r="M327">
            <v>149689</v>
          </cell>
          <cell r="N327">
            <v>0.28564477071363009</v>
          </cell>
          <cell r="O327">
            <v>88652</v>
          </cell>
          <cell r="P327">
            <v>0.16917061516413856</v>
          </cell>
          <cell r="Q327">
            <v>31098</v>
          </cell>
          <cell r="R327">
            <v>5.934291150086158E-2</v>
          </cell>
          <cell r="S327">
            <v>12198</v>
          </cell>
          <cell r="T327">
            <v>2.3276893513650702E-2</v>
          </cell>
          <cell r="U327">
            <v>17741</v>
          </cell>
          <cell r="V327">
            <v>3.3854350534979268E-2</v>
          </cell>
          <cell r="W327">
            <v>15945</v>
          </cell>
          <cell r="X327">
            <v>34748.472999999998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Level"/>
      <sheetName val="Summary"/>
      <sheetName val="August98Recal - Detail"/>
      <sheetName val="Additional Margin 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"/>
      <sheetName val="P98vs97"/>
      <sheetName val="Data"/>
      <sheetName val="Overhead Summary Trend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Dev"/>
      <sheetName val="Dt"/>
      <sheetName val="DOWNLOAD"/>
      <sheetName val="Module1"/>
      <sheetName val="Headcount"/>
      <sheetName val="UPLOAD"/>
      <sheetName val="Hide_NA"/>
      <sheetName val="HIDEROW"/>
      <sheetName val="Module3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Data"/>
      <sheetName val="Ul3-Won"/>
      <sheetName val="Inputs"/>
    </sheetNames>
    <sheetDataSet>
      <sheetData sheetId="0" refreshError="1">
        <row r="1">
          <cell r="A1" t="str">
            <v>Macro1</v>
          </cell>
        </row>
        <row r="2">
          <cell r="A2" t="b">
            <v>1</v>
          </cell>
        </row>
        <row r="3">
          <cell r="A3">
            <v>0</v>
          </cell>
        </row>
        <row r="4">
          <cell r="A4" t="b">
            <v>1</v>
          </cell>
        </row>
        <row r="5">
          <cell r="A5">
            <v>0</v>
          </cell>
        </row>
        <row r="6">
          <cell r="A6" t="b">
            <v>1</v>
          </cell>
        </row>
        <row r="7">
          <cell r="A7" t="b">
            <v>1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G(Revised) "/>
    </sheetNames>
    <definedNames>
      <definedName name="Macro6"/>
    </defined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ilestones"/>
      <sheetName val="CEC Review Schedule"/>
      <sheetName val="Gases Schedule"/>
      <sheetName val="Chemicals Schedule"/>
      <sheetName val="Metrics"/>
      <sheetName val="T Members"/>
      <sheetName val="FX Rates"/>
      <sheetName val="Nat Gas"/>
      <sheetName val="Int Rates"/>
      <sheetName val="Non-Pers Infl"/>
      <sheetName val=" Corp Costs"/>
      <sheetName val="Corp Staff Rates"/>
      <sheetName val="P&amp;L's and BS's"/>
      <sheetName val="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Procedure"/>
      <sheetName val="Data Sources &amp; Schedule"/>
      <sheetName val="FY03"/>
      <sheetName val="FY02"/>
      <sheetName val="NF3&amp;WF6 Pricing Analysis"/>
      <sheetName val="Major Factors"/>
      <sheetName val="Major Factors &amp; Vol Graph"/>
      <sheetName val="Maj Factor Graph Data"/>
      <sheetName val="Stacked Bar Graph"/>
      <sheetName val="Stacked Bar Graph (2)"/>
      <sheetName val="Stacked Bar Graph Data"/>
      <sheetName val="Nat Spend Retr FY03"/>
      <sheetName val="Nat Spend Retr FY02"/>
      <sheetName val="Nat Spend Retr-All Prods"/>
      <sheetName val="Asia H116 Activity"/>
      <sheetName val="Asia ESG Activity-FY03"/>
      <sheetName val="Asia ESG Activity-FY02"/>
      <sheetName val="Asia ESG Activity Input-FY03"/>
      <sheetName val="Asia ESG Activity Input-FY02"/>
      <sheetName val="Asia San Fu Activity-FY03"/>
      <sheetName val="Asia San Fu Activity-FY02"/>
      <sheetName val="Asia San Fu DSS Activity-FY03"/>
      <sheetName val="Asia San Fu DSS Activity-FY02"/>
      <sheetName val="Europe ESG Activity-FY03"/>
      <sheetName val="Europe ESG Activity-FY02"/>
      <sheetName val="WWCONS-NA FY03"/>
      <sheetName val="WWCONS-NA FY02"/>
      <sheetName val="Distrib-MERP FY03"/>
      <sheetName val="Distrib-MERP FY02"/>
      <sheetName val="Adj FY03"/>
      <sheetName val="Adj FY02"/>
      <sheetName val="NF3 Sales FY03"/>
      <sheetName val="NF3 Sales FY02"/>
      <sheetName val="WF6 Sales FY03"/>
      <sheetName val="WF6 Sales FY02"/>
      <sheetName val="CF4 Sales FY03"/>
      <sheetName val="CF4 Sales FY02"/>
      <sheetName val="HT LiqFill Sales FY03"/>
      <sheetName val="HT LiqFill Sales FY02"/>
      <sheetName val="HT LiqFill Sales (Purch) FY03"/>
      <sheetName val="HT LiqFill Sales (Purch) FY02"/>
      <sheetName val="Mville&amp;Cat Dop Sales FY03"/>
      <sheetName val="Mville&amp;Cat Dop Sales FY02"/>
      <sheetName val="Mville Solk LiqFill Sales FY03"/>
      <sheetName val="Mville Solk LiqFill Sales FY02"/>
      <sheetName val="Crude F2 Fixed % FY03"/>
      <sheetName val="Crude F2 Fixed % FY02"/>
      <sheetName val="Nat Spending Drilldown"/>
      <sheetName val="Unit Cost Graph"/>
      <sheetName val="CMFG Structure"/>
      <sheetName val="Non-Pers Infl"/>
      <sheetName val="Contents"/>
      <sheetName val="Back 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NF3 PRICING COMPARISON</v>
          </cell>
        </row>
        <row r="4">
          <cell r="H4" t="str">
            <v>Change From</v>
          </cell>
          <cell r="O4" t="str">
            <v>Change From</v>
          </cell>
          <cell r="R4" t="str">
            <v>Year-To-Date</v>
          </cell>
          <cell r="U4" t="str">
            <v>Change From</v>
          </cell>
        </row>
        <row r="5">
          <cell r="D5">
            <v>37257</v>
          </cell>
          <cell r="E5">
            <v>37591</v>
          </cell>
          <cell r="F5">
            <v>37622</v>
          </cell>
          <cell r="H5" t="str">
            <v>Prior Year</v>
          </cell>
          <cell r="I5" t="str">
            <v>Prior Month</v>
          </cell>
          <cell r="K5" t="str">
            <v>Q2 FY02</v>
          </cell>
          <cell r="L5" t="str">
            <v>Q1 FY03</v>
          </cell>
          <cell r="M5" t="str">
            <v>Q2 FY03</v>
          </cell>
          <cell r="O5" t="str">
            <v>Prior Year</v>
          </cell>
          <cell r="P5" t="str">
            <v>Prior QTR</v>
          </cell>
          <cell r="R5">
            <v>37257</v>
          </cell>
          <cell r="S5">
            <v>37622</v>
          </cell>
          <cell r="U5" t="str">
            <v>Prior Year</v>
          </cell>
        </row>
        <row r="8">
          <cell r="C8" t="str">
            <v>N.A.</v>
          </cell>
        </row>
        <row r="9">
          <cell r="C9" t="str">
            <v>Volume</v>
          </cell>
          <cell r="D9">
            <v>48233</v>
          </cell>
          <cell r="E9">
            <v>44987</v>
          </cell>
          <cell r="F9">
            <v>64013</v>
          </cell>
          <cell r="H9">
            <v>15780</v>
          </cell>
          <cell r="I9">
            <v>19026</v>
          </cell>
          <cell r="K9">
            <v>0</v>
          </cell>
          <cell r="L9">
            <v>0</v>
          </cell>
          <cell r="M9">
            <v>0</v>
          </cell>
          <cell r="O9">
            <v>0</v>
          </cell>
          <cell r="P9">
            <v>0</v>
          </cell>
          <cell r="R9">
            <v>164938</v>
          </cell>
          <cell r="S9">
            <v>205831</v>
          </cell>
          <cell r="U9">
            <v>40893</v>
          </cell>
        </row>
        <row r="10">
          <cell r="C10" t="str">
            <v>Revenue</v>
          </cell>
          <cell r="D10">
            <v>4809989</v>
          </cell>
          <cell r="E10">
            <v>3768339</v>
          </cell>
          <cell r="F10">
            <v>4931985</v>
          </cell>
          <cell r="H10">
            <v>121996</v>
          </cell>
          <cell r="I10">
            <v>1163646</v>
          </cell>
          <cell r="K10">
            <v>0</v>
          </cell>
          <cell r="L10">
            <v>0</v>
          </cell>
          <cell r="M10">
            <v>0</v>
          </cell>
          <cell r="O10">
            <v>0</v>
          </cell>
          <cell r="P10">
            <v>0</v>
          </cell>
          <cell r="R10">
            <v>17433655</v>
          </cell>
          <cell r="S10">
            <v>16899024</v>
          </cell>
          <cell r="U10">
            <v>-534631</v>
          </cell>
        </row>
        <row r="11">
          <cell r="C11" t="str">
            <v>ASP</v>
          </cell>
          <cell r="D11">
            <v>99.72402711836294</v>
          </cell>
          <cell r="E11">
            <v>83.76506546335608</v>
          </cell>
          <cell r="F11">
            <v>77.046615531220226</v>
          </cell>
          <cell r="H11">
            <v>-22.677411587142714</v>
          </cell>
          <cell r="I11">
            <v>-6.7184499321358544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R11">
            <v>105.69823206295699</v>
          </cell>
          <cell r="S11">
            <v>82.101452162210748</v>
          </cell>
          <cell r="U11">
            <v>-23.596779900746242</v>
          </cell>
        </row>
        <row r="12">
          <cell r="C12" t="str">
            <v xml:space="preserve">         Price Variance</v>
          </cell>
          <cell r="H12">
            <v>-1451649.1479277667</v>
          </cell>
          <cell r="I12">
            <v>-430068.13550581248</v>
          </cell>
          <cell r="O12">
            <v>0</v>
          </cell>
          <cell r="P12">
            <v>0</v>
          </cell>
          <cell r="U12">
            <v>-4856948.8037505001</v>
          </cell>
        </row>
        <row r="13">
          <cell r="C13" t="str">
            <v>Europe</v>
          </cell>
        </row>
        <row r="14">
          <cell r="C14" t="str">
            <v>Volume</v>
          </cell>
          <cell r="D14">
            <v>12689.34</v>
          </cell>
          <cell r="E14">
            <v>14021.1</v>
          </cell>
          <cell r="F14">
            <v>18854.22</v>
          </cell>
          <cell r="H14">
            <v>6164.880000000001</v>
          </cell>
          <cell r="I14">
            <v>4833.1200000000008</v>
          </cell>
          <cell r="K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  <cell r="R14">
            <v>48800.960000000006</v>
          </cell>
          <cell r="S14">
            <v>59993.74</v>
          </cell>
          <cell r="U14">
            <v>11192.779999999992</v>
          </cell>
        </row>
        <row r="15">
          <cell r="C15" t="str">
            <v>Revenue</v>
          </cell>
          <cell r="D15">
            <v>1290360.2372999999</v>
          </cell>
          <cell r="E15">
            <v>1382628.2826</v>
          </cell>
          <cell r="F15">
            <v>1740787.9323423575</v>
          </cell>
          <cell r="H15">
            <v>450427.69504235755</v>
          </cell>
          <cell r="I15">
            <v>358159.64974235743</v>
          </cell>
          <cell r="K15">
            <v>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R15">
            <v>5142452.8639000002</v>
          </cell>
          <cell r="S15">
            <v>5775777.2381251566</v>
          </cell>
          <cell r="U15">
            <v>633324.37422515638</v>
          </cell>
        </row>
        <row r="16">
          <cell r="C16" t="str">
            <v>ASP</v>
          </cell>
          <cell r="D16">
            <v>101.68852259455574</v>
          </cell>
          <cell r="E16">
            <v>98.610542867535358</v>
          </cell>
          <cell r="F16">
            <v>92.328822531102176</v>
          </cell>
          <cell r="H16">
            <v>-9.359700063453559</v>
          </cell>
          <cell r="I16">
            <v>-6.2817203364331817</v>
          </cell>
          <cell r="K16">
            <v>0</v>
          </cell>
          <cell r="L16">
            <v>0</v>
          </cell>
          <cell r="M16">
            <v>0</v>
          </cell>
          <cell r="O16">
            <v>0</v>
          </cell>
          <cell r="P16">
            <v>0</v>
          </cell>
          <cell r="R16">
            <v>105.37605948530519</v>
          </cell>
          <cell r="S16">
            <v>96.272998451591064</v>
          </cell>
          <cell r="U16">
            <v>-9.1030610337141269</v>
          </cell>
        </row>
        <row r="17">
          <cell r="H17">
            <v>-176469.84413036736</v>
          </cell>
          <cell r="I17">
            <v>-118436.93720158523</v>
          </cell>
          <cell r="O17">
            <v>0</v>
          </cell>
          <cell r="P17">
            <v>0</v>
          </cell>
          <cell r="U17">
            <v>-546126.6768607765</v>
          </cell>
        </row>
        <row r="18">
          <cell r="C18" t="str">
            <v>Asia Incl San Fu</v>
          </cell>
        </row>
        <row r="19">
          <cell r="C19" t="str">
            <v>Volume</v>
          </cell>
          <cell r="D19">
            <v>55367.53</v>
          </cell>
          <cell r="E19">
            <v>53085.175499999998</v>
          </cell>
          <cell r="F19">
            <v>58296.592000000004</v>
          </cell>
          <cell r="H19">
            <v>2929.0620000000054</v>
          </cell>
          <cell r="I19">
            <v>5211.4165000000066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R19">
            <v>237774.67</v>
          </cell>
          <cell r="S19">
            <v>217299.2965</v>
          </cell>
          <cell r="U19">
            <v>-20475.373500000016</v>
          </cell>
        </row>
        <row r="20">
          <cell r="C20" t="str">
            <v>Revenue</v>
          </cell>
          <cell r="D20">
            <v>4608164.127869999</v>
          </cell>
          <cell r="E20">
            <v>5248642.4226129297</v>
          </cell>
          <cell r="F20">
            <v>5545232.0904365005</v>
          </cell>
          <cell r="H20">
            <v>937067.96256650146</v>
          </cell>
          <cell r="I20">
            <v>296589.66782357078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R20">
            <v>19824316.758438393</v>
          </cell>
          <cell r="S20">
            <v>21593309.909683872</v>
          </cell>
          <cell r="U20">
            <v>1768993.1512454785</v>
          </cell>
        </row>
        <row r="21">
          <cell r="C21" t="str">
            <v>ASP</v>
          </cell>
          <cell r="D21">
            <v>83.22863829883687</v>
          </cell>
          <cell r="E21">
            <v>98.872093257239584</v>
          </cell>
          <cell r="F21">
            <v>95.12103366928379</v>
          </cell>
          <cell r="H21">
            <v>11.89239537044692</v>
          </cell>
          <cell r="I21">
            <v>-3.751059587955794</v>
          </cell>
          <cell r="K21">
            <v>0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R21">
            <v>83.374384489476498</v>
          </cell>
          <cell r="S21">
            <v>99.371283098856566</v>
          </cell>
          <cell r="U21">
            <v>15.996898609380068</v>
          </cell>
        </row>
        <row r="22">
          <cell r="C22" t="str">
            <v xml:space="preserve">         Price Variance</v>
          </cell>
          <cell r="H22">
            <v>693286.12081363297</v>
          </cell>
          <cell r="I22">
            <v>-218673.99036674705</v>
          </cell>
          <cell r="O22">
            <v>0</v>
          </cell>
          <cell r="P22">
            <v>0</v>
          </cell>
          <cell r="U22">
            <v>3476114.8140001171</v>
          </cell>
        </row>
        <row r="24">
          <cell r="C24" t="str">
            <v>WW Total Incl San Fu</v>
          </cell>
        </row>
        <row r="25">
          <cell r="C25" t="str">
            <v>Volume</v>
          </cell>
          <cell r="D25">
            <v>116289.87</v>
          </cell>
          <cell r="E25">
            <v>112093.27549999999</v>
          </cell>
          <cell r="F25">
            <v>141163.81200000001</v>
          </cell>
          <cell r="H25">
            <v>24873.94200000001</v>
          </cell>
          <cell r="I25">
            <v>29070.536500000017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R25">
            <v>451513.63</v>
          </cell>
          <cell r="S25">
            <v>483124.03649999999</v>
          </cell>
          <cell r="U25">
            <v>31610.406499999983</v>
          </cell>
        </row>
        <row r="26">
          <cell r="C26" t="str">
            <v>Revenue</v>
          </cell>
          <cell r="D26">
            <v>10708513.365169998</v>
          </cell>
          <cell r="E26">
            <v>10399609.70521293</v>
          </cell>
          <cell r="F26">
            <v>12218005.022778857</v>
          </cell>
          <cell r="H26">
            <v>1509491.6576088592</v>
          </cell>
          <cell r="I26">
            <v>1818395.3175659273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R26">
            <v>42400424.622338392</v>
          </cell>
          <cell r="S26">
            <v>44268111.147809029</v>
          </cell>
          <cell r="U26">
            <v>1867686.5254706368</v>
          </cell>
        </row>
        <row r="27">
          <cell r="C27" t="str">
            <v>ASP</v>
          </cell>
          <cell r="D27">
            <v>92.084661932892331</v>
          </cell>
          <cell r="E27">
            <v>92.776392328841624</v>
          </cell>
          <cell r="F27">
            <v>86.551962926439373</v>
          </cell>
          <cell r="H27">
            <v>-5.5326990064529582</v>
          </cell>
          <cell r="I27">
            <v>-6.2244294024022508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R27">
            <v>93.907297155876321</v>
          </cell>
          <cell r="S27">
            <v>91.628873339670875</v>
          </cell>
          <cell r="U27">
            <v>-2.2784238162054464</v>
          </cell>
        </row>
        <row r="28">
          <cell r="C28" t="str">
            <v xml:space="preserve">         Price Variance</v>
          </cell>
          <cell r="H28">
            <v>-781016.88239951222</v>
          </cell>
          <cell r="I28">
            <v>-878664.18196798372</v>
          </cell>
          <cell r="O28">
            <v>0</v>
          </cell>
          <cell r="P28">
            <v>0</v>
          </cell>
          <cell r="U28">
            <v>-1100761.3109429094</v>
          </cell>
        </row>
        <row r="30">
          <cell r="C30" t="str">
            <v>San Fu</v>
          </cell>
        </row>
        <row r="31">
          <cell r="C31" t="str">
            <v>Volume</v>
          </cell>
          <cell r="D31">
            <v>25217</v>
          </cell>
          <cell r="E31">
            <v>23386</v>
          </cell>
          <cell r="F31">
            <v>23771</v>
          </cell>
          <cell r="H31">
            <v>-1446</v>
          </cell>
          <cell r="I31">
            <v>385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R31">
            <v>115816</v>
          </cell>
          <cell r="S31">
            <v>95975</v>
          </cell>
          <cell r="U31">
            <v>-19841</v>
          </cell>
        </row>
        <row r="32">
          <cell r="C32" t="str">
            <v>Revenue</v>
          </cell>
          <cell r="D32">
            <v>2052641</v>
          </cell>
          <cell r="E32">
            <v>2804268.9359999998</v>
          </cell>
          <cell r="F32">
            <v>2747179.2031800002</v>
          </cell>
          <cell r="H32">
            <v>694538.20318000019</v>
          </cell>
          <cell r="I32">
            <v>-57089.732819999568</v>
          </cell>
          <cell r="K32">
            <v>0</v>
          </cell>
          <cell r="L32">
            <v>0</v>
          </cell>
          <cell r="M32">
            <v>0</v>
          </cell>
          <cell r="O32">
            <v>0</v>
          </cell>
          <cell r="P32">
            <v>0</v>
          </cell>
          <cell r="R32">
            <v>9801944</v>
          </cell>
          <cell r="S32">
            <v>11630737.639179999</v>
          </cell>
          <cell r="U32">
            <v>1828793.639179999</v>
          </cell>
        </row>
        <row r="33">
          <cell r="C33" t="str">
            <v>ASP</v>
          </cell>
          <cell r="D33">
            <v>81.399095848039025</v>
          </cell>
          <cell r="E33">
            <v>119.91229521936201</v>
          </cell>
          <cell r="F33">
            <v>115.56851639308402</v>
          </cell>
          <cell r="H33">
            <v>34.169420545045</v>
          </cell>
          <cell r="I33">
            <v>-4.3437788262779833</v>
          </cell>
          <cell r="K33">
            <v>0</v>
          </cell>
          <cell r="L33">
            <v>0</v>
          </cell>
          <cell r="M33">
            <v>0</v>
          </cell>
          <cell r="O33">
            <v>0</v>
          </cell>
          <cell r="P33">
            <v>0</v>
          </cell>
          <cell r="R33">
            <v>84.63376390136078</v>
          </cell>
          <cell r="S33">
            <v>121.18507568825214</v>
          </cell>
          <cell r="U33">
            <v>36.551311786891361</v>
          </cell>
        </row>
        <row r="34">
          <cell r="C34" t="str">
            <v xml:space="preserve">         Price Variance</v>
          </cell>
          <cell r="H34">
            <v>812241.29577626474</v>
          </cell>
          <cell r="I34">
            <v>-103255.96647945394</v>
          </cell>
          <cell r="O34">
            <v>0</v>
          </cell>
          <cell r="P34">
            <v>0</v>
          </cell>
          <cell r="U34">
            <v>3508012.1487468984</v>
          </cell>
        </row>
        <row r="36">
          <cell r="C36" t="str">
            <v>WW Total Excl San Fu</v>
          </cell>
        </row>
        <row r="37">
          <cell r="C37" t="str">
            <v>Volume</v>
          </cell>
          <cell r="D37">
            <v>91072.87</v>
          </cell>
          <cell r="E37">
            <v>88707.275499999989</v>
          </cell>
          <cell r="F37">
            <v>117392.81200000001</v>
          </cell>
          <cell r="H37">
            <v>26319.94200000001</v>
          </cell>
          <cell r="I37">
            <v>28685.536500000017</v>
          </cell>
          <cell r="K37">
            <v>0</v>
          </cell>
          <cell r="L37">
            <v>0</v>
          </cell>
          <cell r="M37">
            <v>0</v>
          </cell>
          <cell r="O37">
            <v>0</v>
          </cell>
          <cell r="P37">
            <v>0</v>
          </cell>
          <cell r="R37">
            <v>335697.63</v>
          </cell>
          <cell r="S37">
            <v>387149.03649999999</v>
          </cell>
          <cell r="U37">
            <v>51451.406499999983</v>
          </cell>
        </row>
        <row r="38">
          <cell r="C38" t="str">
            <v>Revenue</v>
          </cell>
          <cell r="D38">
            <v>8655872.3651699983</v>
          </cell>
          <cell r="E38">
            <v>7595340.7692129305</v>
          </cell>
          <cell r="F38">
            <v>9470825.8195988573</v>
          </cell>
          <cell r="H38">
            <v>814953.45442885906</v>
          </cell>
          <cell r="I38">
            <v>1875485.0503859269</v>
          </cell>
          <cell r="K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R38">
            <v>32598480.622338392</v>
          </cell>
          <cell r="S38">
            <v>32637373.508629031</v>
          </cell>
          <cell r="U38">
            <v>38892.886290639639</v>
          </cell>
        </row>
        <row r="39">
          <cell r="C39" t="str">
            <v>ASP</v>
          </cell>
          <cell r="D39">
            <v>95.043368735057967</v>
          </cell>
          <cell r="E39">
            <v>85.622523365774342</v>
          </cell>
          <cell r="F39">
            <v>80.676369006297051</v>
          </cell>
          <cell r="H39">
            <v>-14.366999728760916</v>
          </cell>
          <cell r="I39">
            <v>-4.9461543594772905</v>
          </cell>
          <cell r="K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R39">
            <v>97.106674903657776</v>
          </cell>
          <cell r="S39">
            <v>84.301833225998564</v>
          </cell>
          <cell r="U39">
            <v>-12.804841677659212</v>
          </cell>
        </row>
        <row r="40">
          <cell r="C40" t="str">
            <v xml:space="preserve">         Price Variance</v>
          </cell>
          <cell r="H40">
            <v>-1686582.4981624812</v>
          </cell>
          <cell r="I40">
            <v>-580642.96884509805</v>
          </cell>
          <cell r="O40">
            <v>0</v>
          </cell>
          <cell r="P40">
            <v>0</v>
          </cell>
          <cell r="U40">
            <v>-4957382.1180408075</v>
          </cell>
        </row>
        <row r="42">
          <cell r="C42" t="str">
            <v>Asia Total Excl San Fu</v>
          </cell>
        </row>
        <row r="43">
          <cell r="C43" t="str">
            <v>Volume</v>
          </cell>
          <cell r="D43">
            <v>30150.53</v>
          </cell>
          <cell r="E43">
            <v>29699.175499999998</v>
          </cell>
          <cell r="F43">
            <v>34525.592000000004</v>
          </cell>
          <cell r="H43">
            <v>4375.0620000000054</v>
          </cell>
          <cell r="I43">
            <v>4826.4165000000066</v>
          </cell>
          <cell r="K43">
            <v>0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R43">
            <v>121958.67000000001</v>
          </cell>
          <cell r="S43">
            <v>121324.2965</v>
          </cell>
          <cell r="U43">
            <v>-634.37350000001607</v>
          </cell>
        </row>
        <row r="44">
          <cell r="C44" t="str">
            <v>Revenue</v>
          </cell>
          <cell r="D44">
            <v>2555523.127869999</v>
          </cell>
          <cell r="E44">
            <v>2444373.48661293</v>
          </cell>
          <cell r="F44">
            <v>2798052.8872565003</v>
          </cell>
          <cell r="H44">
            <v>242529.75938650128</v>
          </cell>
          <cell r="I44">
            <v>353679.40064357035</v>
          </cell>
          <cell r="K44">
            <v>0</v>
          </cell>
          <cell r="L44">
            <v>0</v>
          </cell>
          <cell r="M44">
            <v>0</v>
          </cell>
          <cell r="O44">
            <v>0</v>
          </cell>
          <cell r="P44">
            <v>0</v>
          </cell>
          <cell r="R44">
            <v>10022372.758438393</v>
          </cell>
          <cell r="S44">
            <v>9962572.270503873</v>
          </cell>
          <cell r="U44">
            <v>-59800.487934520468</v>
          </cell>
        </row>
        <row r="45">
          <cell r="C45" t="str">
            <v>ASP</v>
          </cell>
          <cell r="D45">
            <v>84.758812792677247</v>
          </cell>
          <cell r="E45">
            <v>82.304422444755417</v>
          </cell>
          <cell r="F45">
            <v>81.042864877059898</v>
          </cell>
          <cell r="H45">
            <v>-3.7159479156173489</v>
          </cell>
          <cell r="I45">
            <v>-1.2615575676955189</v>
          </cell>
          <cell r="K45">
            <v>0</v>
          </cell>
          <cell r="L45">
            <v>0</v>
          </cell>
          <cell r="M45">
            <v>0</v>
          </cell>
          <cell r="O45">
            <v>0</v>
          </cell>
          <cell r="P45">
            <v>0</v>
          </cell>
          <cell r="R45">
            <v>82.178436009825234</v>
          </cell>
          <cell r="S45">
            <v>82.115228012089673</v>
          </cell>
          <cell r="U45">
            <v>-6.3207997735560184E-2</v>
          </cell>
        </row>
        <row r="46">
          <cell r="C46" t="str">
            <v xml:space="preserve">         Price Variance</v>
          </cell>
          <cell r="H46">
            <v>-128295.30162785503</v>
          </cell>
          <cell r="I46">
            <v>-43556.021866767871</v>
          </cell>
          <cell r="O46">
            <v>0</v>
          </cell>
          <cell r="P46">
            <v>0</v>
          </cell>
          <cell r="U46">
            <v>-7668.6658584404322</v>
          </cell>
        </row>
        <row r="55">
          <cell r="C55" t="str">
            <v>WF6 PRICING COMPARISON</v>
          </cell>
        </row>
        <row r="56">
          <cell r="H56" t="str">
            <v>Change From</v>
          </cell>
          <cell r="O56" t="str">
            <v>Change From</v>
          </cell>
          <cell r="R56" t="str">
            <v>Year-To-Date</v>
          </cell>
          <cell r="U56" t="str">
            <v>Change From</v>
          </cell>
        </row>
        <row r="57">
          <cell r="D57">
            <v>37257</v>
          </cell>
          <cell r="E57">
            <v>37591</v>
          </cell>
          <cell r="F57">
            <v>37622</v>
          </cell>
          <cell r="H57" t="str">
            <v>Prior Year</v>
          </cell>
          <cell r="I57" t="str">
            <v>Prior Month</v>
          </cell>
          <cell r="K57" t="str">
            <v>Q2 FY02</v>
          </cell>
          <cell r="L57" t="str">
            <v>Q1 FY03</v>
          </cell>
          <cell r="M57" t="str">
            <v>Q2 FY03</v>
          </cell>
          <cell r="O57" t="str">
            <v>Prior Year</v>
          </cell>
          <cell r="P57" t="str">
            <v>Prior QTR</v>
          </cell>
          <cell r="R57">
            <v>37257</v>
          </cell>
          <cell r="S57">
            <v>37622</v>
          </cell>
          <cell r="U57" t="str">
            <v>Prior Year</v>
          </cell>
        </row>
        <row r="60">
          <cell r="C60" t="str">
            <v>N.A.</v>
          </cell>
        </row>
        <row r="61">
          <cell r="C61" t="str">
            <v>Volume</v>
          </cell>
          <cell r="D61">
            <v>8208</v>
          </cell>
          <cell r="E61">
            <v>6981</v>
          </cell>
          <cell r="F61">
            <v>8602</v>
          </cell>
          <cell r="H61">
            <v>394</v>
          </cell>
          <cell r="I61">
            <v>1621</v>
          </cell>
          <cell r="K61">
            <v>0</v>
          </cell>
          <cell r="L61">
            <v>0</v>
          </cell>
          <cell r="M61">
            <v>0</v>
          </cell>
          <cell r="O61">
            <v>0</v>
          </cell>
          <cell r="P61">
            <v>0</v>
          </cell>
          <cell r="R61">
            <v>30973</v>
          </cell>
          <cell r="S61">
            <v>28065</v>
          </cell>
          <cell r="U61">
            <v>-2908</v>
          </cell>
        </row>
        <row r="62">
          <cell r="C62" t="str">
            <v>Revenue</v>
          </cell>
          <cell r="D62">
            <v>888106</v>
          </cell>
          <cell r="E62">
            <v>728312</v>
          </cell>
          <cell r="F62">
            <v>807190</v>
          </cell>
          <cell r="H62">
            <v>-80916</v>
          </cell>
          <cell r="I62">
            <v>78878</v>
          </cell>
          <cell r="K62">
            <v>0</v>
          </cell>
          <cell r="L62">
            <v>0</v>
          </cell>
          <cell r="M62">
            <v>0</v>
          </cell>
          <cell r="O62">
            <v>0</v>
          </cell>
          <cell r="P62">
            <v>0</v>
          </cell>
          <cell r="R62">
            <v>3447647</v>
          </cell>
          <cell r="S62">
            <v>2877737</v>
          </cell>
          <cell r="U62">
            <v>-569910</v>
          </cell>
        </row>
        <row r="63">
          <cell r="C63" t="str">
            <v>ASP</v>
          </cell>
          <cell r="D63">
            <v>108.20004873294347</v>
          </cell>
          <cell r="E63">
            <v>104.32774674115456</v>
          </cell>
          <cell r="F63">
            <v>93.837479655893972</v>
          </cell>
          <cell r="H63">
            <v>-14.3625690770495</v>
          </cell>
          <cell r="I63">
            <v>-10.490267085260584</v>
          </cell>
          <cell r="K63">
            <v>0</v>
          </cell>
          <cell r="L63">
            <v>0</v>
          </cell>
          <cell r="M63">
            <v>0</v>
          </cell>
          <cell r="O63">
            <v>0</v>
          </cell>
          <cell r="P63">
            <v>0</v>
          </cell>
          <cell r="R63">
            <v>111.31136796564751</v>
          </cell>
          <cell r="S63">
            <v>102.53828612150365</v>
          </cell>
          <cell r="U63">
            <v>-8.7730818441438601</v>
          </cell>
        </row>
        <row r="64">
          <cell r="C64" t="str">
            <v xml:space="preserve">         Price Variance</v>
          </cell>
          <cell r="H64">
            <v>-123546.81920077979</v>
          </cell>
          <cell r="I64">
            <v>-90237.277467411535</v>
          </cell>
          <cell r="O64">
            <v>0</v>
          </cell>
          <cell r="P64">
            <v>0</v>
          </cell>
          <cell r="U64">
            <v>-246216.54195589744</v>
          </cell>
        </row>
        <row r="65">
          <cell r="C65" t="str">
            <v>Europe</v>
          </cell>
        </row>
        <row r="66">
          <cell r="C66" t="str">
            <v>Volume</v>
          </cell>
          <cell r="D66">
            <v>2640.96</v>
          </cell>
          <cell r="E66">
            <v>3388.12</v>
          </cell>
          <cell r="F66">
            <v>3091.36</v>
          </cell>
          <cell r="H66">
            <v>450.40000000000009</v>
          </cell>
          <cell r="I66">
            <v>-296.75999999999976</v>
          </cell>
          <cell r="K66">
            <v>0</v>
          </cell>
          <cell r="L66">
            <v>0</v>
          </cell>
          <cell r="M66">
            <v>0</v>
          </cell>
          <cell r="O66">
            <v>0</v>
          </cell>
          <cell r="P66">
            <v>0</v>
          </cell>
          <cell r="R66">
            <v>10653.240000000002</v>
          </cell>
          <cell r="S66">
            <v>12384.920000000002</v>
          </cell>
          <cell r="U66">
            <v>1731.6800000000003</v>
          </cell>
        </row>
        <row r="67">
          <cell r="C67" t="str">
            <v>Revenue</v>
          </cell>
          <cell r="D67">
            <v>261578.71839999995</v>
          </cell>
          <cell r="E67">
            <v>430061.98880000005</v>
          </cell>
          <cell r="F67">
            <v>333230.47928209783</v>
          </cell>
          <cell r="H67">
            <v>71651.760882097878</v>
          </cell>
          <cell r="I67">
            <v>-96831.509517902217</v>
          </cell>
          <cell r="K67">
            <v>0</v>
          </cell>
          <cell r="L67">
            <v>0</v>
          </cell>
          <cell r="M67">
            <v>0</v>
          </cell>
          <cell r="O67">
            <v>0</v>
          </cell>
          <cell r="P67">
            <v>0</v>
          </cell>
          <cell r="R67">
            <v>1059469.9923999999</v>
          </cell>
          <cell r="S67">
            <v>1283635.0097132979</v>
          </cell>
          <cell r="U67">
            <v>224165.01731329807</v>
          </cell>
        </row>
        <row r="68">
          <cell r="C68" t="str">
            <v>ASP</v>
          </cell>
          <cell r="D68">
            <v>99.046830849388087</v>
          </cell>
          <cell r="E68">
            <v>126.93233675312564</v>
          </cell>
          <cell r="F68">
            <v>107.79413568206157</v>
          </cell>
          <cell r="H68">
            <v>8.7473048326734784</v>
          </cell>
          <cell r="I68">
            <v>-19.138201071064074</v>
          </cell>
          <cell r="K68">
            <v>0</v>
          </cell>
          <cell r="L68">
            <v>0</v>
          </cell>
          <cell r="M68">
            <v>0</v>
          </cell>
          <cell r="O68">
            <v>0</v>
          </cell>
          <cell r="P68">
            <v>0</v>
          </cell>
          <cell r="R68">
            <v>99.45049509820484</v>
          </cell>
          <cell r="S68">
            <v>103.64499808745617</v>
          </cell>
          <cell r="U68">
            <v>4.1945029892513332</v>
          </cell>
        </row>
        <row r="69">
          <cell r="H69">
            <v>27041.068267533487</v>
          </cell>
          <cell r="I69">
            <v>-59163.069263044636</v>
          </cell>
          <cell r="O69">
            <v>0</v>
          </cell>
          <cell r="P69">
            <v>0</v>
          </cell>
          <cell r="U69">
            <v>51948.583961638629</v>
          </cell>
        </row>
        <row r="70">
          <cell r="C70" t="str">
            <v>Asia Incl San Fu</v>
          </cell>
        </row>
        <row r="71">
          <cell r="C71" t="str">
            <v>Volume</v>
          </cell>
          <cell r="D71">
            <v>3266.24</v>
          </cell>
          <cell r="E71">
            <v>8589.4830000000002</v>
          </cell>
          <cell r="F71">
            <v>7214.2550000000001</v>
          </cell>
          <cell r="H71">
            <v>3948.0150000000003</v>
          </cell>
          <cell r="I71">
            <v>-1375.2280000000001</v>
          </cell>
          <cell r="K71">
            <v>0</v>
          </cell>
          <cell r="L71">
            <v>0</v>
          </cell>
          <cell r="M71">
            <v>0</v>
          </cell>
          <cell r="O71">
            <v>0</v>
          </cell>
          <cell r="P71">
            <v>0</v>
          </cell>
          <cell r="R71">
            <v>13357.168</v>
          </cell>
          <cell r="S71">
            <v>29578.687999999998</v>
          </cell>
          <cell r="U71">
            <v>16221.519999999999</v>
          </cell>
        </row>
        <row r="72">
          <cell r="C72" t="str">
            <v>Revenue</v>
          </cell>
          <cell r="D72">
            <v>404600.85403199994</v>
          </cell>
          <cell r="E72">
            <v>1081217.8339642915</v>
          </cell>
          <cell r="F72">
            <v>872650.53287954011</v>
          </cell>
          <cell r="H72">
            <v>468049.67884754017</v>
          </cell>
          <cell r="I72">
            <v>-208567.30108475138</v>
          </cell>
          <cell r="K72">
            <v>0</v>
          </cell>
          <cell r="L72">
            <v>0</v>
          </cell>
          <cell r="M72">
            <v>0</v>
          </cell>
          <cell r="O72">
            <v>0</v>
          </cell>
          <cell r="P72">
            <v>0</v>
          </cell>
          <cell r="R72">
            <v>1638758.154596</v>
          </cell>
          <cell r="S72">
            <v>3788819.455147448</v>
          </cell>
          <cell r="U72">
            <v>2150061.300551448</v>
          </cell>
        </row>
        <row r="73">
          <cell r="C73" t="str">
            <v>ASP</v>
          </cell>
          <cell r="D73">
            <v>123.87358370236112</v>
          </cell>
          <cell r="E73">
            <v>125.87693973715199</v>
          </cell>
          <cell r="F73">
            <v>120.96197498973076</v>
          </cell>
          <cell r="H73">
            <v>-2.911608712630354</v>
          </cell>
          <cell r="I73">
            <v>-4.914964747421223</v>
          </cell>
          <cell r="K73">
            <v>0</v>
          </cell>
          <cell r="L73">
            <v>0</v>
          </cell>
          <cell r="M73">
            <v>0</v>
          </cell>
          <cell r="O73">
            <v>0</v>
          </cell>
          <cell r="P73">
            <v>0</v>
          </cell>
          <cell r="R73">
            <v>122.68754533865263</v>
          </cell>
          <cell r="S73">
            <v>128.09288414507932</v>
          </cell>
          <cell r="U73">
            <v>5.4053388064266983</v>
          </cell>
        </row>
        <row r="74">
          <cell r="C74" t="str">
            <v xml:space="preserve">         Price Variance</v>
          </cell>
          <cell r="H74">
            <v>-21005.087713137094</v>
          </cell>
          <cell r="I74">
            <v>-35457.809003907292</v>
          </cell>
          <cell r="O74">
            <v>0</v>
          </cell>
          <cell r="P74">
            <v>0</v>
          </cell>
          <cell r="U74">
            <v>159882.83008958769</v>
          </cell>
        </row>
        <row r="76">
          <cell r="C76" t="str">
            <v>WW Total Incl San Fu</v>
          </cell>
        </row>
        <row r="77">
          <cell r="C77" t="str">
            <v>Volume</v>
          </cell>
          <cell r="D77">
            <v>14115.199999999999</v>
          </cell>
          <cell r="E77">
            <v>18958.602999999999</v>
          </cell>
          <cell r="F77">
            <v>18907.615000000002</v>
          </cell>
          <cell r="H77">
            <v>4792.4150000000027</v>
          </cell>
          <cell r="I77">
            <v>-50.987999999997555</v>
          </cell>
          <cell r="K77">
            <v>0</v>
          </cell>
          <cell r="L77">
            <v>0</v>
          </cell>
          <cell r="M77">
            <v>0</v>
          </cell>
          <cell r="O77">
            <v>0</v>
          </cell>
          <cell r="P77">
            <v>0</v>
          </cell>
          <cell r="R77">
            <v>54983.408000000003</v>
          </cell>
          <cell r="S77">
            <v>70028.607999999993</v>
          </cell>
          <cell r="U77">
            <v>15045.19999999999</v>
          </cell>
        </row>
        <row r="78">
          <cell r="C78" t="str">
            <v>Revenue</v>
          </cell>
          <cell r="D78">
            <v>1554285.5724319997</v>
          </cell>
          <cell r="E78">
            <v>2239591.8227642914</v>
          </cell>
          <cell r="F78">
            <v>2013071.0121616381</v>
          </cell>
          <cell r="H78">
            <v>458785.4397296384</v>
          </cell>
          <cell r="I78">
            <v>-226520.81060265331</v>
          </cell>
          <cell r="K78">
            <v>0</v>
          </cell>
          <cell r="L78">
            <v>0</v>
          </cell>
          <cell r="M78">
            <v>0</v>
          </cell>
          <cell r="O78">
            <v>0</v>
          </cell>
          <cell r="P78">
            <v>0</v>
          </cell>
          <cell r="R78">
            <v>6145875.1469959999</v>
          </cell>
          <cell r="S78">
            <v>7950191.4648607457</v>
          </cell>
          <cell r="U78">
            <v>1804316.3178647459</v>
          </cell>
        </row>
        <row r="79">
          <cell r="C79" t="str">
            <v>ASP</v>
          </cell>
          <cell r="D79">
            <v>110.11431452845159</v>
          </cell>
          <cell r="E79">
            <v>118.13063561509735</v>
          </cell>
          <cell r="F79">
            <v>106.46879641676848</v>
          </cell>
          <cell r="H79">
            <v>-3.6455181116831028</v>
          </cell>
          <cell r="I79">
            <v>-11.661839198328863</v>
          </cell>
          <cell r="K79">
            <v>0</v>
          </cell>
          <cell r="L79">
            <v>0</v>
          </cell>
          <cell r="M79">
            <v>0</v>
          </cell>
          <cell r="O79">
            <v>0</v>
          </cell>
          <cell r="P79">
            <v>0</v>
          </cell>
          <cell r="R79">
            <v>111.77690453447337</v>
          </cell>
          <cell r="S79">
            <v>113.52776660733777</v>
          </cell>
          <cell r="U79">
            <v>1.7508620728643933</v>
          </cell>
        </row>
        <row r="80">
          <cell r="C80" t="str">
            <v xml:space="preserve">         Price Variance</v>
          </cell>
          <cell r="H80">
            <v>-68928.052931231112</v>
          </cell>
          <cell r="I80">
            <v>-220497.56575391081</v>
          </cell>
          <cell r="O80">
            <v>0</v>
          </cell>
          <cell r="P80">
            <v>0</v>
          </cell>
          <cell r="U80">
            <v>122610.43376268803</v>
          </cell>
        </row>
        <row r="82">
          <cell r="C82" t="str">
            <v>San Fu</v>
          </cell>
        </row>
        <row r="83">
          <cell r="C83" t="str">
            <v>Volume</v>
          </cell>
          <cell r="D83">
            <v>0</v>
          </cell>
          <cell r="E83">
            <v>4060</v>
          </cell>
          <cell r="F83">
            <v>3245</v>
          </cell>
          <cell r="H83">
            <v>3245</v>
          </cell>
          <cell r="I83">
            <v>-815</v>
          </cell>
          <cell r="K83">
            <v>0</v>
          </cell>
          <cell r="L83">
            <v>0</v>
          </cell>
          <cell r="M83">
            <v>0</v>
          </cell>
          <cell r="O83">
            <v>0</v>
          </cell>
          <cell r="P83">
            <v>0</v>
          </cell>
          <cell r="R83">
            <v>324</v>
          </cell>
          <cell r="S83">
            <v>13415</v>
          </cell>
          <cell r="U83">
            <v>13091</v>
          </cell>
        </row>
        <row r="84">
          <cell r="C84" t="str">
            <v>Revenue</v>
          </cell>
          <cell r="D84">
            <v>0</v>
          </cell>
          <cell r="E84">
            <v>557722.34000000008</v>
          </cell>
          <cell r="F84">
            <v>413089.36050000007</v>
          </cell>
          <cell r="H84">
            <v>413089.36050000007</v>
          </cell>
          <cell r="I84">
            <v>-144632.97950000002</v>
          </cell>
          <cell r="K84">
            <v>0</v>
          </cell>
          <cell r="L84">
            <v>0</v>
          </cell>
          <cell r="M84">
            <v>0</v>
          </cell>
          <cell r="O84">
            <v>0</v>
          </cell>
          <cell r="P84">
            <v>0</v>
          </cell>
          <cell r="R84">
            <v>13200</v>
          </cell>
          <cell r="S84">
            <v>1868751.1705000002</v>
          </cell>
          <cell r="U84">
            <v>1855551.1705000002</v>
          </cell>
        </row>
        <row r="85">
          <cell r="C85" t="str">
            <v>ASP</v>
          </cell>
          <cell r="D85">
            <v>0</v>
          </cell>
          <cell r="E85">
            <v>137.37003448275865</v>
          </cell>
          <cell r="F85">
            <v>127.30026517719571</v>
          </cell>
          <cell r="H85">
            <v>127.30026517719571</v>
          </cell>
          <cell r="I85">
            <v>-10.069769305562943</v>
          </cell>
          <cell r="K85">
            <v>0</v>
          </cell>
          <cell r="L85">
            <v>0</v>
          </cell>
          <cell r="M85">
            <v>0</v>
          </cell>
          <cell r="O85">
            <v>0</v>
          </cell>
          <cell r="P85">
            <v>0</v>
          </cell>
          <cell r="R85">
            <v>40.74074074074074</v>
          </cell>
          <cell r="S85">
            <v>139.30310626164743</v>
          </cell>
          <cell r="U85">
            <v>98.562365520906695</v>
          </cell>
        </row>
        <row r="86">
          <cell r="C86" t="str">
            <v xml:space="preserve">         Price Variance</v>
          </cell>
          <cell r="H86">
            <v>413089.36050000007</v>
          </cell>
          <cell r="I86">
            <v>-32676.401396551752</v>
          </cell>
          <cell r="O86">
            <v>0</v>
          </cell>
          <cell r="P86">
            <v>0</v>
          </cell>
          <cell r="U86">
            <v>1322214.1334629634</v>
          </cell>
        </row>
        <row r="88">
          <cell r="C88" t="str">
            <v>WW Total Excl San Fu</v>
          </cell>
        </row>
        <row r="89">
          <cell r="C89" t="str">
            <v>Volume</v>
          </cell>
          <cell r="D89">
            <v>14115.199999999999</v>
          </cell>
          <cell r="E89">
            <v>14898.602999999999</v>
          </cell>
          <cell r="F89">
            <v>15662.615000000002</v>
          </cell>
          <cell r="H89">
            <v>1547.4150000000027</v>
          </cell>
          <cell r="I89">
            <v>764.01200000000244</v>
          </cell>
          <cell r="K89">
            <v>0</v>
          </cell>
          <cell r="L89">
            <v>0</v>
          </cell>
          <cell r="M89">
            <v>0</v>
          </cell>
          <cell r="O89">
            <v>0</v>
          </cell>
          <cell r="P89">
            <v>0</v>
          </cell>
          <cell r="R89">
            <v>54659.408000000003</v>
          </cell>
          <cell r="S89">
            <v>56613.607999999993</v>
          </cell>
          <cell r="U89">
            <v>1954.1999999999898</v>
          </cell>
        </row>
        <row r="90">
          <cell r="C90" t="str">
            <v>Revenue</v>
          </cell>
          <cell r="D90">
            <v>1554285.5724319997</v>
          </cell>
          <cell r="E90">
            <v>1681869.4827642913</v>
          </cell>
          <cell r="F90">
            <v>1599981.6516616382</v>
          </cell>
          <cell r="H90">
            <v>45696.079229638446</v>
          </cell>
          <cell r="I90">
            <v>-81887.831102653174</v>
          </cell>
          <cell r="K90">
            <v>0</v>
          </cell>
          <cell r="L90">
            <v>0</v>
          </cell>
          <cell r="M90">
            <v>0</v>
          </cell>
          <cell r="O90">
            <v>0</v>
          </cell>
          <cell r="P90">
            <v>0</v>
          </cell>
          <cell r="R90">
            <v>6132675.1469959999</v>
          </cell>
          <cell r="S90">
            <v>6081440.2943607457</v>
          </cell>
          <cell r="U90">
            <v>-51234.852635254152</v>
          </cell>
        </row>
        <row r="91">
          <cell r="C91" t="str">
            <v>ASP</v>
          </cell>
          <cell r="D91">
            <v>110.11431452845159</v>
          </cell>
          <cell r="E91">
            <v>112.88773066604242</v>
          </cell>
          <cell r="F91">
            <v>102.15290688442754</v>
          </cell>
          <cell r="H91">
            <v>-7.9614076440240495</v>
          </cell>
          <cell r="I91">
            <v>-10.734823781614878</v>
          </cell>
          <cell r="K91">
            <v>0</v>
          </cell>
          <cell r="L91">
            <v>0</v>
          </cell>
          <cell r="M91">
            <v>0</v>
          </cell>
          <cell r="O91">
            <v>0</v>
          </cell>
          <cell r="P91">
            <v>0</v>
          </cell>
          <cell r="R91">
            <v>112.19797965971384</v>
          </cell>
          <cell r="S91">
            <v>107.42011521966144</v>
          </cell>
          <cell r="U91">
            <v>-4.7778644400523973</v>
          </cell>
        </row>
        <row r="92">
          <cell r="C92" t="str">
            <v xml:space="preserve">         Price Variance</v>
          </cell>
          <cell r="H92">
            <v>-124696.46278640575</v>
          </cell>
          <cell r="I92">
            <v>-168135.41198427792</v>
          </cell>
          <cell r="O92">
            <v>0</v>
          </cell>
          <cell r="P92">
            <v>0</v>
          </cell>
          <cell r="U92">
            <v>-270492.1444862659</v>
          </cell>
        </row>
        <row r="94">
          <cell r="C94" t="str">
            <v>Asia Total Excl San Fu</v>
          </cell>
        </row>
        <row r="95">
          <cell r="C95" t="str">
            <v>Volume</v>
          </cell>
          <cell r="D95">
            <v>3266.24</v>
          </cell>
          <cell r="E95">
            <v>4529.4830000000002</v>
          </cell>
          <cell r="F95">
            <v>3969.2550000000001</v>
          </cell>
          <cell r="H95">
            <v>703.01500000000033</v>
          </cell>
          <cell r="I95">
            <v>-560.22800000000007</v>
          </cell>
          <cell r="K95">
            <v>0</v>
          </cell>
          <cell r="L95">
            <v>0</v>
          </cell>
          <cell r="M95">
            <v>0</v>
          </cell>
          <cell r="O95">
            <v>0</v>
          </cell>
          <cell r="P95">
            <v>0</v>
          </cell>
          <cell r="R95">
            <v>13033.168</v>
          </cell>
          <cell r="S95">
            <v>16163.687999999998</v>
          </cell>
          <cell r="U95">
            <v>3130.5199999999986</v>
          </cell>
        </row>
        <row r="96">
          <cell r="C96" t="str">
            <v>Revenue</v>
          </cell>
          <cell r="D96">
            <v>404600.85403199994</v>
          </cell>
          <cell r="E96">
            <v>523495.49396429141</v>
          </cell>
          <cell r="F96">
            <v>459561.17237954005</v>
          </cell>
          <cell r="H96">
            <v>54960.318347540102</v>
          </cell>
          <cell r="I96">
            <v>-63934.321584751364</v>
          </cell>
          <cell r="K96">
            <v>0</v>
          </cell>
          <cell r="L96">
            <v>0</v>
          </cell>
          <cell r="M96">
            <v>0</v>
          </cell>
          <cell r="O96">
            <v>0</v>
          </cell>
          <cell r="P96">
            <v>0</v>
          </cell>
          <cell r="R96">
            <v>1625558.154596</v>
          </cell>
          <cell r="S96">
            <v>1920068.2846474478</v>
          </cell>
          <cell r="U96">
            <v>294510.13005144778</v>
          </cell>
        </row>
        <row r="97">
          <cell r="C97" t="str">
            <v>ASP</v>
          </cell>
          <cell r="D97">
            <v>123.87358370236112</v>
          </cell>
          <cell r="E97">
            <v>115.57510955760102</v>
          </cell>
          <cell r="F97">
            <v>115.78020872419133</v>
          </cell>
          <cell r="H97">
            <v>-8.0933749781697912</v>
          </cell>
          <cell r="I97">
            <v>0.20509916659030125</v>
          </cell>
          <cell r="K97">
            <v>0</v>
          </cell>
          <cell r="L97">
            <v>0</v>
          </cell>
          <cell r="M97">
            <v>0</v>
          </cell>
          <cell r="O97">
            <v>0</v>
          </cell>
          <cell r="P97">
            <v>0</v>
          </cell>
          <cell r="R97">
            <v>124.72471425182273</v>
          </cell>
          <cell r="S97">
            <v>118.78899695709593</v>
          </cell>
          <cell r="U97">
            <v>-5.9357172947267998</v>
          </cell>
        </row>
        <row r="98">
          <cell r="C98" t="str">
            <v xml:space="preserve">         Price Variance</v>
          </cell>
          <cell r="H98">
            <v>-32124.669098975337</v>
          </cell>
          <cell r="I98">
            <v>814.09089248438625</v>
          </cell>
          <cell r="O98">
            <v>0</v>
          </cell>
          <cell r="P98">
            <v>0</v>
          </cell>
          <cell r="U98">
            <v>-95943.082408168033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3">
          <cell r="C43" t="str">
            <v>NF3 Pricing Trend - FY03</v>
          </cell>
        </row>
        <row r="45">
          <cell r="D45">
            <v>37530</v>
          </cell>
          <cell r="E45">
            <v>37561</v>
          </cell>
          <cell r="F45">
            <v>37591</v>
          </cell>
          <cell r="G45">
            <v>37622</v>
          </cell>
          <cell r="H45">
            <v>37653</v>
          </cell>
          <cell r="I45">
            <v>37681</v>
          </cell>
          <cell r="J45">
            <v>37712</v>
          </cell>
          <cell r="K45">
            <v>37742</v>
          </cell>
          <cell r="L45">
            <v>37773</v>
          </cell>
          <cell r="M45">
            <v>37803</v>
          </cell>
          <cell r="N45">
            <v>37834</v>
          </cell>
          <cell r="O45">
            <v>37865</v>
          </cell>
          <cell r="P45" t="str">
            <v>Total</v>
          </cell>
          <cell r="R45" t="str">
            <v>Q1</v>
          </cell>
          <cell r="S45" t="str">
            <v>Q2</v>
          </cell>
          <cell r="T45" t="str">
            <v>Q3</v>
          </cell>
          <cell r="U45" t="str">
            <v>Q4</v>
          </cell>
        </row>
        <row r="46">
          <cell r="C46" t="str">
            <v>N.A.</v>
          </cell>
        </row>
        <row r="47">
          <cell r="C47" t="str">
            <v>Volume</v>
          </cell>
          <cell r="D47">
            <v>52121</v>
          </cell>
          <cell r="E47">
            <v>44710</v>
          </cell>
          <cell r="F47">
            <v>44987</v>
          </cell>
          <cell r="G47">
            <v>64013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205831</v>
          </cell>
          <cell r="R47">
            <v>141818</v>
          </cell>
          <cell r="S47">
            <v>64013</v>
          </cell>
          <cell r="T47">
            <v>0</v>
          </cell>
          <cell r="U47">
            <v>0</v>
          </cell>
        </row>
        <row r="48">
          <cell r="C48" t="str">
            <v>Revenue</v>
          </cell>
          <cell r="D48">
            <v>4461790</v>
          </cell>
          <cell r="E48">
            <v>3736910</v>
          </cell>
          <cell r="F48">
            <v>3768339</v>
          </cell>
          <cell r="G48">
            <v>4931985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16899024</v>
          </cell>
          <cell r="R48">
            <v>11967039</v>
          </cell>
          <cell r="S48">
            <v>4931985</v>
          </cell>
          <cell r="T48">
            <v>0</v>
          </cell>
          <cell r="U48">
            <v>0</v>
          </cell>
        </row>
        <row r="49">
          <cell r="C49" t="str">
            <v>ASP</v>
          </cell>
          <cell r="D49">
            <v>85.604458855355801</v>
          </cell>
          <cell r="E49">
            <v>83.581078058599871</v>
          </cell>
          <cell r="F49">
            <v>83.76506546335608</v>
          </cell>
          <cell r="G49">
            <v>77.046615531220226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82.101452162210748</v>
          </cell>
          <cell r="R49">
            <v>84.383075491122426</v>
          </cell>
          <cell r="S49">
            <v>77.046615531220226</v>
          </cell>
          <cell r="T49">
            <v>0</v>
          </cell>
          <cell r="U49">
            <v>0</v>
          </cell>
        </row>
        <row r="51">
          <cell r="C51" t="str">
            <v>Europe</v>
          </cell>
        </row>
        <row r="52">
          <cell r="C52" t="str">
            <v>Volume</v>
          </cell>
          <cell r="D52">
            <v>11099.9</v>
          </cell>
          <cell r="E52">
            <v>16018.52</v>
          </cell>
          <cell r="F52">
            <v>14021.1</v>
          </cell>
          <cell r="G52">
            <v>18854.22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59993.74</v>
          </cell>
          <cell r="R52">
            <v>41139.519999999997</v>
          </cell>
          <cell r="S52">
            <v>18854.22</v>
          </cell>
          <cell r="T52">
            <v>0</v>
          </cell>
          <cell r="U52">
            <v>0</v>
          </cell>
        </row>
        <row r="53">
          <cell r="C53" t="str">
            <v>Revenue</v>
          </cell>
          <cell r="D53">
            <v>1093302.29461</v>
          </cell>
          <cell r="E53">
            <v>1559058.7285728001</v>
          </cell>
          <cell r="F53">
            <v>1382628.2826</v>
          </cell>
          <cell r="G53">
            <v>1740787.9323423575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5775777.2381251575</v>
          </cell>
          <cell r="R53">
            <v>4034989.3057828001</v>
          </cell>
          <cell r="S53">
            <v>1740787.9323423575</v>
          </cell>
          <cell r="T53">
            <v>0</v>
          </cell>
          <cell r="U53">
            <v>0</v>
          </cell>
        </row>
        <row r="54">
          <cell r="C54" t="str">
            <v>ASP</v>
          </cell>
          <cell r="D54">
            <v>98.496589573779943</v>
          </cell>
          <cell r="E54">
            <v>97.328512782254535</v>
          </cell>
          <cell r="F54">
            <v>98.610542867535358</v>
          </cell>
          <cell r="G54">
            <v>92.328822531102176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96.272998451591079</v>
          </cell>
          <cell r="R54">
            <v>98.080612165207583</v>
          </cell>
          <cell r="S54">
            <v>92.328822531102176</v>
          </cell>
          <cell r="T54">
            <v>0</v>
          </cell>
          <cell r="U54">
            <v>0</v>
          </cell>
        </row>
        <row r="56">
          <cell r="C56" t="str">
            <v>Asia Incl San Fu</v>
          </cell>
        </row>
        <row r="57">
          <cell r="C57" t="str">
            <v>Volume</v>
          </cell>
          <cell r="D57">
            <v>54269.96</v>
          </cell>
          <cell r="E57">
            <v>51647.569000000003</v>
          </cell>
          <cell r="F57">
            <v>53085.175499999998</v>
          </cell>
          <cell r="G57">
            <v>58296.592000000004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217299.2965</v>
          </cell>
          <cell r="R57">
            <v>159002.70449999999</v>
          </cell>
          <cell r="S57">
            <v>58296.592000000004</v>
          </cell>
          <cell r="T57">
            <v>0</v>
          </cell>
          <cell r="U57">
            <v>0</v>
          </cell>
        </row>
        <row r="58">
          <cell r="C58" t="str">
            <v>Revenue</v>
          </cell>
          <cell r="D58">
            <v>5588763.1519730492</v>
          </cell>
          <cell r="E58">
            <v>5210672.2446613908</v>
          </cell>
          <cell r="F58">
            <v>5248642.4226129297</v>
          </cell>
          <cell r="G58">
            <v>5545232.0904365005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21593309.909683872</v>
          </cell>
          <cell r="R58">
            <v>16048077.819247371</v>
          </cell>
          <cell r="S58">
            <v>5545232.0904365005</v>
          </cell>
          <cell r="T58">
            <v>0</v>
          </cell>
          <cell r="U58">
            <v>0</v>
          </cell>
        </row>
        <row r="59">
          <cell r="C59" t="str">
            <v>ASP</v>
          </cell>
          <cell r="D59">
            <v>102.98078627611019</v>
          </cell>
          <cell r="E59">
            <v>100.88901269799146</v>
          </cell>
          <cell r="F59">
            <v>98.872093257239584</v>
          </cell>
          <cell r="G59">
            <v>95.12103366928379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99.371283098856566</v>
          </cell>
          <cell r="R59">
            <v>100.92959028409086</v>
          </cell>
          <cell r="S59">
            <v>95.12103366928379</v>
          </cell>
          <cell r="T59">
            <v>0</v>
          </cell>
          <cell r="U59">
            <v>0</v>
          </cell>
        </row>
        <row r="61">
          <cell r="C61" t="str">
            <v>WW Total Including San Fu</v>
          </cell>
        </row>
        <row r="62">
          <cell r="C62" t="str">
            <v>Volume</v>
          </cell>
          <cell r="D62">
            <v>117490.86</v>
          </cell>
          <cell r="E62">
            <v>112376.08900000001</v>
          </cell>
          <cell r="F62">
            <v>112093.27549999999</v>
          </cell>
          <cell r="G62">
            <v>141163.81200000001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483124.03650000005</v>
          </cell>
          <cell r="R62">
            <v>341960.22450000001</v>
          </cell>
          <cell r="S62">
            <v>141163.81200000001</v>
          </cell>
          <cell r="T62">
            <v>0</v>
          </cell>
          <cell r="U62">
            <v>0</v>
          </cell>
        </row>
        <row r="63">
          <cell r="C63" t="str">
            <v>Revenue</v>
          </cell>
          <cell r="D63">
            <v>11143855.446583049</v>
          </cell>
          <cell r="E63">
            <v>10506640.973234192</v>
          </cell>
          <cell r="F63">
            <v>10399609.70521293</v>
          </cell>
          <cell r="G63">
            <v>12218005.022778857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44268111.147809029</v>
          </cell>
          <cell r="R63">
            <v>32050106.125030167</v>
          </cell>
          <cell r="S63">
            <v>12218005.022778857</v>
          </cell>
          <cell r="T63">
            <v>0</v>
          </cell>
          <cell r="U63">
            <v>0</v>
          </cell>
        </row>
        <row r="64">
          <cell r="C64" t="str">
            <v>ASP</v>
          </cell>
          <cell r="D64">
            <v>94.848700967743781</v>
          </cell>
          <cell r="E64">
            <v>93.4953428859247</v>
          </cell>
          <cell r="F64">
            <v>92.776392328841624</v>
          </cell>
          <cell r="G64">
            <v>86.551962926439373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91.628873339670861</v>
          </cell>
          <cell r="R64">
            <v>93.724661024224375</v>
          </cell>
          <cell r="S64">
            <v>86.551962926439373</v>
          </cell>
          <cell r="T64">
            <v>0</v>
          </cell>
          <cell r="U64">
            <v>0</v>
          </cell>
        </row>
        <row r="66">
          <cell r="C66" t="str">
            <v>San Fu</v>
          </cell>
        </row>
        <row r="67">
          <cell r="C67" t="str">
            <v>Volume</v>
          </cell>
          <cell r="D67">
            <v>25234</v>
          </cell>
          <cell r="E67">
            <v>23584</v>
          </cell>
          <cell r="F67">
            <v>23386</v>
          </cell>
          <cell r="G67">
            <v>23771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95975</v>
          </cell>
          <cell r="R67">
            <v>72204</v>
          </cell>
          <cell r="S67">
            <v>23771</v>
          </cell>
          <cell r="T67">
            <v>0</v>
          </cell>
          <cell r="U67">
            <v>0</v>
          </cell>
        </row>
        <row r="68">
          <cell r="C68" t="str">
            <v>Revenue</v>
          </cell>
          <cell r="D68">
            <v>3147749.28</v>
          </cell>
          <cell r="E68">
            <v>2931540.2199999997</v>
          </cell>
          <cell r="F68">
            <v>2804268.9359999998</v>
          </cell>
          <cell r="G68">
            <v>2747179.2031800002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11630737.639180001</v>
          </cell>
          <cell r="R68">
            <v>8883558.4360000007</v>
          </cell>
          <cell r="S68">
            <v>2747179.2031800002</v>
          </cell>
          <cell r="T68">
            <v>0</v>
          </cell>
          <cell r="U68">
            <v>0</v>
          </cell>
        </row>
        <row r="69">
          <cell r="C69" t="str">
            <v>ASP</v>
          </cell>
          <cell r="D69">
            <v>124.74238249980185</v>
          </cell>
          <cell r="E69">
            <v>124.30207852781545</v>
          </cell>
          <cell r="F69">
            <v>119.91229521936201</v>
          </cell>
          <cell r="G69">
            <v>115.56851639308402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121.18507568825216</v>
          </cell>
          <cell r="R69">
            <v>123.03415927095453</v>
          </cell>
          <cell r="S69">
            <v>115.56851639308402</v>
          </cell>
          <cell r="T69">
            <v>0</v>
          </cell>
          <cell r="U69">
            <v>0</v>
          </cell>
        </row>
        <row r="71">
          <cell r="C71" t="str">
            <v>WW Total Excluding San Fu</v>
          </cell>
        </row>
        <row r="72">
          <cell r="C72" t="str">
            <v>Volume</v>
          </cell>
          <cell r="D72">
            <v>92256.86</v>
          </cell>
          <cell r="E72">
            <v>88792.089000000007</v>
          </cell>
          <cell r="F72">
            <v>88707.275499999989</v>
          </cell>
          <cell r="G72">
            <v>117392.81200000001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387149.03650000005</v>
          </cell>
          <cell r="R72">
            <v>269756.22450000001</v>
          </cell>
          <cell r="S72">
            <v>117392.81200000001</v>
          </cell>
          <cell r="T72">
            <v>0</v>
          </cell>
          <cell r="U72">
            <v>0</v>
          </cell>
        </row>
        <row r="73">
          <cell r="C73" t="str">
            <v>Revenue</v>
          </cell>
          <cell r="D73">
            <v>7996106.16658305</v>
          </cell>
          <cell r="E73">
            <v>7575100.7532341918</v>
          </cell>
          <cell r="F73">
            <v>7595340.7692129305</v>
          </cell>
          <cell r="G73">
            <v>9470825.8195988573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32637373.508629031</v>
          </cell>
          <cell r="R73">
            <v>23166547.689030174</v>
          </cell>
          <cell r="S73">
            <v>9470825.8195988573</v>
          </cell>
          <cell r="T73">
            <v>0</v>
          </cell>
          <cell r="U73">
            <v>0</v>
          </cell>
        </row>
        <row r="74">
          <cell r="C74" t="str">
            <v>ASP</v>
          </cell>
          <cell r="D74">
            <v>86.672212414155979</v>
          </cell>
          <cell r="E74">
            <v>85.312788994458629</v>
          </cell>
          <cell r="F74">
            <v>85.622523365774342</v>
          </cell>
          <cell r="G74">
            <v>80.676369006297051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84.30183322599855</v>
          </cell>
          <cell r="R74">
            <v>85.879566753167438</v>
          </cell>
          <cell r="S74">
            <v>80.676369006297051</v>
          </cell>
          <cell r="T74">
            <v>0</v>
          </cell>
          <cell r="U74">
            <v>0</v>
          </cell>
        </row>
        <row r="76">
          <cell r="C76" t="str">
            <v>Asia Total Excluding San Fu</v>
          </cell>
        </row>
        <row r="77">
          <cell r="C77" t="str">
            <v>Volume</v>
          </cell>
          <cell r="D77">
            <v>29035.96</v>
          </cell>
          <cell r="E77">
            <v>28063.569000000003</v>
          </cell>
          <cell r="F77">
            <v>29699.175499999998</v>
          </cell>
          <cell r="G77">
            <v>34525.592000000004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121324.2965</v>
          </cell>
          <cell r="R77">
            <v>86798.704499999993</v>
          </cell>
          <cell r="S77">
            <v>34525.592000000004</v>
          </cell>
          <cell r="T77">
            <v>0</v>
          </cell>
          <cell r="U77">
            <v>0</v>
          </cell>
        </row>
        <row r="78">
          <cell r="C78" t="str">
            <v>Revenue</v>
          </cell>
          <cell r="D78">
            <v>2441013.8719730494</v>
          </cell>
          <cell r="E78">
            <v>2279132.024661391</v>
          </cell>
          <cell r="F78">
            <v>2444373.48661293</v>
          </cell>
          <cell r="G78">
            <v>2798052.8872565003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9962572.2705038711</v>
          </cell>
          <cell r="R78">
            <v>7164519.3832473708</v>
          </cell>
          <cell r="S78">
            <v>2798052.8872565003</v>
          </cell>
          <cell r="T78">
            <v>0</v>
          </cell>
          <cell r="U78">
            <v>0</v>
          </cell>
        </row>
        <row r="79">
          <cell r="C79" t="str">
            <v>ASP</v>
          </cell>
          <cell r="D79">
            <v>84.068647014703473</v>
          </cell>
          <cell r="E79">
            <v>81.213192258667846</v>
          </cell>
          <cell r="F79">
            <v>82.304422444755417</v>
          </cell>
          <cell r="G79">
            <v>81.042864877059898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82.115228012089659</v>
          </cell>
          <cell r="R79">
            <v>82.541777835490294</v>
          </cell>
          <cell r="S79">
            <v>81.042864877059898</v>
          </cell>
          <cell r="T79">
            <v>0</v>
          </cell>
          <cell r="U79">
            <v>0</v>
          </cell>
        </row>
        <row r="82">
          <cell r="D82" t="str">
            <v>Note: Consolidation of San Fu results began in August of FY02;  FY03 results for Asia Include San Fu on the basis of San Fu sales to third party customers</v>
          </cell>
        </row>
      </sheetData>
      <sheetData sheetId="32" refreshError="1">
        <row r="43">
          <cell r="C43" t="str">
            <v>NF3 Pricing Trend - FY02</v>
          </cell>
        </row>
        <row r="45">
          <cell r="D45">
            <v>37165</v>
          </cell>
          <cell r="E45">
            <v>37196</v>
          </cell>
          <cell r="F45">
            <v>37226</v>
          </cell>
          <cell r="G45">
            <v>37257</v>
          </cell>
          <cell r="H45">
            <v>37288</v>
          </cell>
          <cell r="I45">
            <v>37316</v>
          </cell>
          <cell r="J45">
            <v>37347</v>
          </cell>
          <cell r="K45">
            <v>37377</v>
          </cell>
          <cell r="L45">
            <v>37408</v>
          </cell>
          <cell r="M45">
            <v>37438</v>
          </cell>
          <cell r="N45">
            <v>37469</v>
          </cell>
          <cell r="O45">
            <v>37500</v>
          </cell>
          <cell r="P45" t="str">
            <v>Total</v>
          </cell>
          <cell r="R45" t="str">
            <v>Q1</v>
          </cell>
          <cell r="S45" t="str">
            <v>Q2</v>
          </cell>
          <cell r="T45" t="str">
            <v>Q3</v>
          </cell>
          <cell r="U45" t="str">
            <v>Q4</v>
          </cell>
        </row>
        <row r="46">
          <cell r="C46" t="str">
            <v>N.A.</v>
          </cell>
        </row>
        <row r="47">
          <cell r="C47" t="str">
            <v>Volume</v>
          </cell>
          <cell r="D47">
            <v>38374</v>
          </cell>
          <cell r="E47">
            <v>41457</v>
          </cell>
          <cell r="F47">
            <v>36874</v>
          </cell>
          <cell r="G47">
            <v>48233</v>
          </cell>
          <cell r="H47">
            <v>44382</v>
          </cell>
          <cell r="I47">
            <v>25325</v>
          </cell>
          <cell r="J47">
            <v>59527</v>
          </cell>
          <cell r="K47">
            <v>39623</v>
          </cell>
          <cell r="L47">
            <v>41947</v>
          </cell>
          <cell r="M47">
            <v>46453</v>
          </cell>
          <cell r="N47">
            <v>45213</v>
          </cell>
          <cell r="O47">
            <v>40609</v>
          </cell>
          <cell r="P47">
            <v>508017</v>
          </cell>
          <cell r="R47">
            <v>116705</v>
          </cell>
          <cell r="S47">
            <v>117940</v>
          </cell>
          <cell r="T47">
            <v>141097</v>
          </cell>
          <cell r="U47">
            <v>132275</v>
          </cell>
        </row>
        <row r="48">
          <cell r="C48" t="str">
            <v>Revenue</v>
          </cell>
          <cell r="D48">
            <v>4273767</v>
          </cell>
          <cell r="E48">
            <v>4617033</v>
          </cell>
          <cell r="F48">
            <v>3732866</v>
          </cell>
          <cell r="G48">
            <v>4809989</v>
          </cell>
          <cell r="H48">
            <v>4314121</v>
          </cell>
          <cell r="I48">
            <v>2717923</v>
          </cell>
          <cell r="J48">
            <v>5617405</v>
          </cell>
          <cell r="K48">
            <v>3721470</v>
          </cell>
          <cell r="L48">
            <v>4104630</v>
          </cell>
          <cell r="M48">
            <v>4428635</v>
          </cell>
          <cell r="N48">
            <v>4386451</v>
          </cell>
          <cell r="O48">
            <v>4026457</v>
          </cell>
          <cell r="P48">
            <v>50750747</v>
          </cell>
          <cell r="R48">
            <v>12623666</v>
          </cell>
          <cell r="S48">
            <v>11842033</v>
          </cell>
          <cell r="T48">
            <v>13443505</v>
          </cell>
          <cell r="U48">
            <v>12841543</v>
          </cell>
        </row>
        <row r="49">
          <cell r="C49" t="str">
            <v>ASP</v>
          </cell>
          <cell r="D49">
            <v>111.37142335956638</v>
          </cell>
          <cell r="E49">
            <v>111.36920182357623</v>
          </cell>
          <cell r="F49">
            <v>101.23300970873787</v>
          </cell>
          <cell r="G49">
            <v>99.72402711836294</v>
          </cell>
          <cell r="H49">
            <v>97.204294533820018</v>
          </cell>
          <cell r="I49">
            <v>107.3217374136229</v>
          </cell>
          <cell r="J49">
            <v>94.367345910259203</v>
          </cell>
          <cell r="K49">
            <v>93.921964515559139</v>
          </cell>
          <cell r="L49">
            <v>97.852766586406659</v>
          </cell>
          <cell r="M49">
            <v>95.335823305276307</v>
          </cell>
          <cell r="N49">
            <v>97.01747285072878</v>
          </cell>
          <cell r="O49">
            <v>99.151838262454135</v>
          </cell>
          <cell r="P49">
            <v>99.899702175320911</v>
          </cell>
          <cell r="R49">
            <v>108.16731074075661</v>
          </cell>
          <cell r="S49">
            <v>100.40726640664745</v>
          </cell>
          <cell r="T49">
            <v>95.27846091695784</v>
          </cell>
          <cell r="U49">
            <v>97.082162162162163</v>
          </cell>
        </row>
        <row r="51">
          <cell r="C51" t="str">
            <v>Europe</v>
          </cell>
        </row>
        <row r="52">
          <cell r="C52" t="str">
            <v>Volume</v>
          </cell>
          <cell r="D52">
            <v>7202.7</v>
          </cell>
          <cell r="E52">
            <v>12539.7</v>
          </cell>
          <cell r="F52">
            <v>16369.22</v>
          </cell>
          <cell r="G52">
            <v>12689.34</v>
          </cell>
          <cell r="H52">
            <v>18273.5</v>
          </cell>
          <cell r="I52">
            <v>11394.08</v>
          </cell>
          <cell r="J52">
            <v>13998.08</v>
          </cell>
          <cell r="K52">
            <v>14133.48</v>
          </cell>
          <cell r="L52">
            <v>11910.76</v>
          </cell>
          <cell r="M52">
            <v>19837.62</v>
          </cell>
          <cell r="N52">
            <v>11002.06</v>
          </cell>
          <cell r="O52">
            <v>6125.02</v>
          </cell>
          <cell r="P52">
            <v>155475.56</v>
          </cell>
          <cell r="R52">
            <v>36111.620000000003</v>
          </cell>
          <cell r="S52">
            <v>42356.92</v>
          </cell>
          <cell r="T52">
            <v>40042.32</v>
          </cell>
          <cell r="U52">
            <v>36964.699999999997</v>
          </cell>
        </row>
        <row r="53">
          <cell r="C53" t="str">
            <v>Revenue</v>
          </cell>
          <cell r="D53">
            <v>834618.0699</v>
          </cell>
          <cell r="E53">
            <v>1428378.8543999998</v>
          </cell>
          <cell r="F53">
            <v>1589095.7022999998</v>
          </cell>
          <cell r="G53">
            <v>1290360.2372999999</v>
          </cell>
          <cell r="H53">
            <v>1935325.7825</v>
          </cell>
          <cell r="I53">
            <v>1144122.6651999999</v>
          </cell>
          <cell r="J53">
            <v>1503320.1384999999</v>
          </cell>
          <cell r="K53">
            <v>1664925.4840000002</v>
          </cell>
          <cell r="L53">
            <v>1517579.7763</v>
          </cell>
          <cell r="M53">
            <v>2031801.9041999998</v>
          </cell>
          <cell r="N53">
            <v>1007794.2329000001</v>
          </cell>
          <cell r="O53">
            <v>621365.57919999992</v>
          </cell>
          <cell r="P53">
            <v>16568688.426699998</v>
          </cell>
          <cell r="R53">
            <v>3852092.6266000001</v>
          </cell>
          <cell r="S53">
            <v>4369808.6849999996</v>
          </cell>
          <cell r="T53">
            <v>4685825.3988000005</v>
          </cell>
          <cell r="U53">
            <v>3660961.7163</v>
          </cell>
        </row>
        <row r="54">
          <cell r="C54" t="str">
            <v>ASP</v>
          </cell>
          <cell r="D54">
            <v>115.87572297888292</v>
          </cell>
          <cell r="E54">
            <v>113.9085348453312</v>
          </cell>
          <cell r="F54">
            <v>97.078278763435264</v>
          </cell>
          <cell r="G54">
            <v>101.68852259455574</v>
          </cell>
          <cell r="H54">
            <v>105.90887254767833</v>
          </cell>
          <cell r="I54">
            <v>100.41378199907319</v>
          </cell>
          <cell r="J54">
            <v>107.39473831411165</v>
          </cell>
          <cell r="K54">
            <v>117.80010896113343</v>
          </cell>
          <cell r="L54">
            <v>127.41250569233198</v>
          </cell>
          <cell r="M54">
            <v>102.42165664026228</v>
          </cell>
          <cell r="N54">
            <v>91.600503260298538</v>
          </cell>
          <cell r="O54">
            <v>101.44711024617061</v>
          </cell>
          <cell r="P54">
            <v>106.56780028127892</v>
          </cell>
          <cell r="R54">
            <v>106.67183102281204</v>
          </cell>
          <cell r="S54">
            <v>103.16634649072689</v>
          </cell>
          <cell r="T54">
            <v>117.02182587822085</v>
          </cell>
          <cell r="U54">
            <v>99.039400192616199</v>
          </cell>
        </row>
        <row r="56">
          <cell r="C56" t="str">
            <v>Asia Incl San Fu</v>
          </cell>
        </row>
        <row r="57">
          <cell r="C57" t="str">
            <v>Volume</v>
          </cell>
          <cell r="D57">
            <v>51878.48</v>
          </cell>
          <cell r="E57">
            <v>67196.960000000006</v>
          </cell>
          <cell r="F57">
            <v>63331.7</v>
          </cell>
          <cell r="G57">
            <v>55367.53</v>
          </cell>
          <cell r="H57">
            <v>52405.04</v>
          </cell>
          <cell r="I57">
            <v>57782.69</v>
          </cell>
          <cell r="J57">
            <v>60893.72</v>
          </cell>
          <cell r="K57">
            <v>63692.94</v>
          </cell>
          <cell r="L57">
            <v>91396.78</v>
          </cell>
          <cell r="M57">
            <v>44294.400000000001</v>
          </cell>
          <cell r="N57">
            <v>75110.7</v>
          </cell>
          <cell r="O57">
            <v>62212</v>
          </cell>
          <cell r="P57">
            <v>745562.94</v>
          </cell>
          <cell r="R57">
            <v>182407.14</v>
          </cell>
          <cell r="S57">
            <v>165555.26</v>
          </cell>
          <cell r="T57">
            <v>215983.44</v>
          </cell>
          <cell r="U57">
            <v>181617.1</v>
          </cell>
        </row>
        <row r="58">
          <cell r="C58" t="str">
            <v>Revenue</v>
          </cell>
          <cell r="D58">
            <v>4775602.7769913999</v>
          </cell>
          <cell r="E58">
            <v>5428516.151452194</v>
          </cell>
          <cell r="F58">
            <v>5012033.7021248005</v>
          </cell>
          <cell r="G58">
            <v>4608164.127869999</v>
          </cell>
          <cell r="H58">
            <v>4332830.4203743991</v>
          </cell>
          <cell r="I58">
            <v>5215372.0510413898</v>
          </cell>
          <cell r="J58">
            <v>5205434.8402983127</v>
          </cell>
          <cell r="K58">
            <v>5462961.0823211102</v>
          </cell>
          <cell r="L58">
            <v>7339856.2171718515</v>
          </cell>
          <cell r="M58">
            <v>3506652.23394066</v>
          </cell>
          <cell r="N58">
            <v>7312110.4356831824</v>
          </cell>
          <cell r="O58">
            <v>6283009.6601784397</v>
          </cell>
          <cell r="P58">
            <v>64482543.699447744</v>
          </cell>
          <cell r="R58">
            <v>15216152.630568394</v>
          </cell>
          <cell r="S58">
            <v>14156366.599285789</v>
          </cell>
          <cell r="T58">
            <v>18008252.139791273</v>
          </cell>
          <cell r="U58">
            <v>17101772.329802282</v>
          </cell>
        </row>
        <row r="59">
          <cell r="C59" t="str">
            <v>ASP</v>
          </cell>
          <cell r="D59">
            <v>92.053637211255989</v>
          </cell>
          <cell r="E59">
            <v>80.785144915070461</v>
          </cell>
          <cell r="F59">
            <v>79.139415207941695</v>
          </cell>
          <cell r="G59">
            <v>83.22863829883687</v>
          </cell>
          <cell r="H59">
            <v>82.679651048341896</v>
          </cell>
          <cell r="I59">
            <v>90.258381031436741</v>
          </cell>
          <cell r="J59">
            <v>85.483935622561944</v>
          </cell>
          <cell r="K59">
            <v>85.770276616546667</v>
          </cell>
          <cell r="L59">
            <v>80.307601834242433</v>
          </cell>
          <cell r="M59">
            <v>79.166942862769559</v>
          </cell>
          <cell r="N59">
            <v>97.351115562538794</v>
          </cell>
          <cell r="O59">
            <v>100.99353276182151</v>
          </cell>
          <cell r="P59">
            <v>86.488397209560532</v>
          </cell>
          <cell r="R59">
            <v>83.418624021890778</v>
          </cell>
          <cell r="S59">
            <v>85.508407279151314</v>
          </cell>
          <cell r="T59">
            <v>83.377929992184917</v>
          </cell>
          <cell r="U59">
            <v>94.1638883662512</v>
          </cell>
        </row>
        <row r="61">
          <cell r="C61" t="str">
            <v>WW Total Including San Fu</v>
          </cell>
        </row>
        <row r="62">
          <cell r="C62" t="str">
            <v>Volume</v>
          </cell>
          <cell r="D62">
            <v>97455.18</v>
          </cell>
          <cell r="E62">
            <v>121193.66</v>
          </cell>
          <cell r="F62">
            <v>116574.92</v>
          </cell>
          <cell r="G62">
            <v>116289.87</v>
          </cell>
          <cell r="H62">
            <v>115060.54000000001</v>
          </cell>
          <cell r="I62">
            <v>94501.77</v>
          </cell>
          <cell r="J62">
            <v>134418.79999999999</v>
          </cell>
          <cell r="K62">
            <v>117449.42</v>
          </cell>
          <cell r="L62">
            <v>145254.54</v>
          </cell>
          <cell r="M62">
            <v>110585.01999999999</v>
          </cell>
          <cell r="N62">
            <v>131325.76000000001</v>
          </cell>
          <cell r="O62">
            <v>108946.02</v>
          </cell>
          <cell r="P62">
            <v>1409055.5</v>
          </cell>
          <cell r="R62">
            <v>335223.76</v>
          </cell>
          <cell r="S62">
            <v>325852.18</v>
          </cell>
          <cell r="T62">
            <v>397122.76</v>
          </cell>
          <cell r="U62">
            <v>350856.8</v>
          </cell>
        </row>
        <row r="63">
          <cell r="C63" t="str">
            <v>Revenue</v>
          </cell>
          <cell r="D63">
            <v>9883987.8468913995</v>
          </cell>
          <cell r="E63">
            <v>11473928.005852193</v>
          </cell>
          <cell r="F63">
            <v>10333995.404424801</v>
          </cell>
          <cell r="G63">
            <v>10708513.365169998</v>
          </cell>
          <cell r="H63">
            <v>10582277.2028744</v>
          </cell>
          <cell r="I63">
            <v>9077417.7162413895</v>
          </cell>
          <cell r="J63">
            <v>12326159.978798311</v>
          </cell>
          <cell r="K63">
            <v>10849356.56632111</v>
          </cell>
          <cell r="L63">
            <v>12962065.993471852</v>
          </cell>
          <cell r="M63">
            <v>9967089.1381406598</v>
          </cell>
          <cell r="N63">
            <v>12706355.668583183</v>
          </cell>
          <cell r="O63">
            <v>10930832.239378439</v>
          </cell>
          <cell r="P63">
            <v>131801979.12614773</v>
          </cell>
          <cell r="R63">
            <v>31691911.257168394</v>
          </cell>
          <cell r="S63">
            <v>30368208.284285787</v>
          </cell>
          <cell r="T63">
            <v>36137582.538591273</v>
          </cell>
          <cell r="U63">
            <v>33604277.046102278</v>
          </cell>
        </row>
        <row r="64">
          <cell r="C64" t="str">
            <v>ASP</v>
          </cell>
          <cell r="D64">
            <v>101.42085671476262</v>
          </cell>
          <cell r="E64">
            <v>94.674325421413897</v>
          </cell>
          <cell r="F64">
            <v>88.646815322067567</v>
          </cell>
          <cell r="G64">
            <v>92.084661932892331</v>
          </cell>
          <cell r="H64">
            <v>91.971384828146981</v>
          </cell>
          <cell r="I64">
            <v>96.055531195250509</v>
          </cell>
          <cell r="J64">
            <v>91.699672804684411</v>
          </cell>
          <cell r="K64">
            <v>92.374713866795688</v>
          </cell>
          <cell r="L64">
            <v>89.236907799727646</v>
          </cell>
          <cell r="M64">
            <v>90.13055419387419</v>
          </cell>
          <cell r="N64">
            <v>96.754480374476273</v>
          </cell>
          <cell r="O64">
            <v>100.33255220684921</v>
          </cell>
          <cell r="P64">
            <v>93.539238962658132</v>
          </cell>
          <cell r="R64">
            <v>94.539573379787853</v>
          </cell>
          <cell r="S64">
            <v>93.196271647732374</v>
          </cell>
          <cell r="T64">
            <v>90.998517784755705</v>
          </cell>
          <cell r="U64">
            <v>95.777756184580937</v>
          </cell>
        </row>
        <row r="66">
          <cell r="C66" t="str">
            <v>San Fu</v>
          </cell>
        </row>
        <row r="67">
          <cell r="C67" t="str">
            <v>Volume</v>
          </cell>
          <cell r="D67">
            <v>16100</v>
          </cell>
          <cell r="E67">
            <v>33159</v>
          </cell>
          <cell r="F67">
            <v>41340</v>
          </cell>
          <cell r="G67">
            <v>25217</v>
          </cell>
          <cell r="H67">
            <v>32416</v>
          </cell>
          <cell r="I67">
            <v>33060</v>
          </cell>
          <cell r="J67">
            <v>16362</v>
          </cell>
          <cell r="K67">
            <v>25077</v>
          </cell>
          <cell r="L67">
            <v>45526</v>
          </cell>
          <cell r="M67">
            <v>0</v>
          </cell>
          <cell r="N67">
            <v>29491</v>
          </cell>
          <cell r="O67">
            <v>26268</v>
          </cell>
          <cell r="P67">
            <v>324016</v>
          </cell>
          <cell r="R67">
            <v>90599</v>
          </cell>
          <cell r="S67">
            <v>90693</v>
          </cell>
          <cell r="T67">
            <v>86965</v>
          </cell>
          <cell r="U67">
            <v>55759</v>
          </cell>
        </row>
        <row r="68">
          <cell r="C68" t="str">
            <v>Revenue</v>
          </cell>
          <cell r="D68">
            <v>1384915</v>
          </cell>
          <cell r="E68">
            <v>2827303</v>
          </cell>
          <cell r="F68">
            <v>3537085</v>
          </cell>
          <cell r="G68">
            <v>2052641</v>
          </cell>
          <cell r="H68">
            <v>2743646</v>
          </cell>
          <cell r="I68">
            <v>2820765</v>
          </cell>
          <cell r="J68">
            <v>1424355</v>
          </cell>
          <cell r="K68">
            <v>1934066</v>
          </cell>
          <cell r="L68">
            <v>3582328</v>
          </cell>
          <cell r="M68">
            <v>0</v>
          </cell>
          <cell r="N68">
            <v>3859068.2149999999</v>
          </cell>
          <cell r="O68">
            <v>3379678.54</v>
          </cell>
          <cell r="P68">
            <v>29545850.754999999</v>
          </cell>
          <cell r="R68">
            <v>7749303</v>
          </cell>
          <cell r="S68">
            <v>7617052</v>
          </cell>
          <cell r="T68">
            <v>6940749</v>
          </cell>
          <cell r="U68">
            <v>7238746.7549999999</v>
          </cell>
        </row>
        <row r="69">
          <cell r="C69" t="str">
            <v>ASP</v>
          </cell>
          <cell r="D69">
            <v>86.019565217391303</v>
          </cell>
          <cell r="E69">
            <v>85.265026086432044</v>
          </cell>
          <cell r="F69">
            <v>85.560836961780353</v>
          </cell>
          <cell r="G69">
            <v>81.399095848039025</v>
          </cell>
          <cell r="H69">
            <v>84.63863524185588</v>
          </cell>
          <cell r="I69">
            <v>85.322595281306718</v>
          </cell>
          <cell r="J69">
            <v>87.052621928859551</v>
          </cell>
          <cell r="K69">
            <v>77.125094708298434</v>
          </cell>
          <cell r="L69">
            <v>78.687519219786495</v>
          </cell>
          <cell r="M69">
            <v>0</v>
          </cell>
          <cell r="N69">
            <v>130.85579380149875</v>
          </cell>
          <cell r="O69">
            <v>128.66143368356936</v>
          </cell>
          <cell r="P69">
            <v>91.186394360155049</v>
          </cell>
          <cell r="R69">
            <v>85.534089780240393</v>
          </cell>
          <cell r="S69">
            <v>83.987209597212569</v>
          </cell>
          <cell r="T69">
            <v>79.810831943885475</v>
          </cell>
          <cell r="U69">
            <v>129.82203330404059</v>
          </cell>
        </row>
        <row r="71">
          <cell r="C71" t="str">
            <v>WW Total Excluding San Fu</v>
          </cell>
        </row>
        <row r="72">
          <cell r="C72" t="str">
            <v>Volume</v>
          </cell>
          <cell r="D72">
            <v>81355.179999999993</v>
          </cell>
          <cell r="E72">
            <v>88034.66</v>
          </cell>
          <cell r="F72">
            <v>75234.92</v>
          </cell>
          <cell r="G72">
            <v>91072.87</v>
          </cell>
          <cell r="H72">
            <v>82644.540000000008</v>
          </cell>
          <cell r="I72">
            <v>61441.770000000004</v>
          </cell>
          <cell r="J72">
            <v>118056.79999999999</v>
          </cell>
          <cell r="K72">
            <v>92372.42</v>
          </cell>
          <cell r="L72">
            <v>99728.540000000008</v>
          </cell>
          <cell r="M72">
            <v>110585.01999999999</v>
          </cell>
          <cell r="N72">
            <v>101834.76000000001</v>
          </cell>
          <cell r="O72">
            <v>82678.02</v>
          </cell>
          <cell r="P72">
            <v>1085039.5</v>
          </cell>
          <cell r="R72">
            <v>244624.76</v>
          </cell>
          <cell r="S72">
            <v>235159.18</v>
          </cell>
          <cell r="T72">
            <v>310157.76</v>
          </cell>
          <cell r="U72">
            <v>295097.8</v>
          </cell>
        </row>
        <row r="73">
          <cell r="C73" t="str">
            <v>Revenue</v>
          </cell>
          <cell r="D73">
            <v>8499072.8468913995</v>
          </cell>
          <cell r="E73">
            <v>8646625.0058521926</v>
          </cell>
          <cell r="F73">
            <v>6796910.4044248015</v>
          </cell>
          <cell r="G73">
            <v>8655872.3651699983</v>
          </cell>
          <cell r="H73">
            <v>7838631.2028743997</v>
          </cell>
          <cell r="I73">
            <v>6256652.7162413895</v>
          </cell>
          <cell r="J73">
            <v>10901804.978798311</v>
          </cell>
          <cell r="K73">
            <v>8915290.5663211104</v>
          </cell>
          <cell r="L73">
            <v>9379737.9934718516</v>
          </cell>
          <cell r="M73">
            <v>9967089.1381406598</v>
          </cell>
          <cell r="N73">
            <v>8847287.4535831828</v>
          </cell>
          <cell r="O73">
            <v>7551153.6993784392</v>
          </cell>
          <cell r="P73">
            <v>102256128.37114775</v>
          </cell>
          <cell r="R73">
            <v>23942608.257168394</v>
          </cell>
          <cell r="S73">
            <v>22751156.284285787</v>
          </cell>
          <cell r="T73">
            <v>29196833.538591273</v>
          </cell>
          <cell r="U73">
            <v>26365530.291102283</v>
          </cell>
        </row>
        <row r="74">
          <cell r="C74" t="str">
            <v>ASP</v>
          </cell>
          <cell r="D74">
            <v>104.46873631023126</v>
          </cell>
          <cell r="E74">
            <v>98.218417676085679</v>
          </cell>
          <cell r="F74">
            <v>90.342495272471893</v>
          </cell>
          <cell r="G74">
            <v>95.043368735057967</v>
          </cell>
          <cell r="H74">
            <v>94.84753866225644</v>
          </cell>
          <cell r="I74">
            <v>101.83060670682809</v>
          </cell>
          <cell r="J74">
            <v>92.343727585351388</v>
          </cell>
          <cell r="K74">
            <v>96.514636796579651</v>
          </cell>
          <cell r="L74">
            <v>94.05269538160141</v>
          </cell>
          <cell r="M74">
            <v>90.13055419387419</v>
          </cell>
          <cell r="N74">
            <v>86.878856036810831</v>
          </cell>
          <cell r="O74">
            <v>91.332057775191501</v>
          </cell>
          <cell r="P74">
            <v>94.241848680299427</v>
          </cell>
          <cell r="R74">
            <v>97.874835961692483</v>
          </cell>
          <cell r="S74">
            <v>96.747897676313499</v>
          </cell>
          <cell r="T74">
            <v>94.135428172396118</v>
          </cell>
          <cell r="U74">
            <v>89.3450587944142</v>
          </cell>
        </row>
        <row r="76">
          <cell r="C76" t="str">
            <v>Asia Total Excluding San Fu</v>
          </cell>
        </row>
        <row r="77">
          <cell r="C77" t="str">
            <v>Volume</v>
          </cell>
          <cell r="D77">
            <v>35778.480000000003</v>
          </cell>
          <cell r="E77">
            <v>34037.960000000006</v>
          </cell>
          <cell r="F77">
            <v>21991.699999999997</v>
          </cell>
          <cell r="G77">
            <v>30150.53</v>
          </cell>
          <cell r="H77">
            <v>19989.04</v>
          </cell>
          <cell r="I77">
            <v>24722.690000000002</v>
          </cell>
          <cell r="J77">
            <v>44531.72</v>
          </cell>
          <cell r="K77">
            <v>38615.94</v>
          </cell>
          <cell r="L77">
            <v>45870.78</v>
          </cell>
          <cell r="M77">
            <v>44294.400000000001</v>
          </cell>
          <cell r="N77">
            <v>45619.7</v>
          </cell>
          <cell r="O77">
            <v>35944</v>
          </cell>
          <cell r="P77">
            <v>421546.93999999994</v>
          </cell>
          <cell r="R77">
            <v>91808.14</v>
          </cell>
          <cell r="S77">
            <v>74862.260000000009</v>
          </cell>
          <cell r="T77">
            <v>129018.44</v>
          </cell>
          <cell r="U77">
            <v>125858.1</v>
          </cell>
        </row>
        <row r="78">
          <cell r="C78" t="str">
            <v>Revenue</v>
          </cell>
          <cell r="D78">
            <v>3390687.7769913999</v>
          </cell>
          <cell r="E78">
            <v>2601213.151452194</v>
          </cell>
          <cell r="F78">
            <v>1474948.7021248005</v>
          </cell>
          <cell r="G78">
            <v>2555523.127869999</v>
          </cell>
          <cell r="H78">
            <v>1589184.4203743991</v>
          </cell>
          <cell r="I78">
            <v>2394607.0510413898</v>
          </cell>
          <cell r="J78">
            <v>3781079.8402983127</v>
          </cell>
          <cell r="K78">
            <v>3528895.0823211102</v>
          </cell>
          <cell r="L78">
            <v>3757528.2171718515</v>
          </cell>
          <cell r="M78">
            <v>3506652.23394066</v>
          </cell>
          <cell r="N78">
            <v>3453042.2206831826</v>
          </cell>
          <cell r="O78">
            <v>2903331.1201784397</v>
          </cell>
          <cell r="P78">
            <v>34936692.944447741</v>
          </cell>
          <cell r="R78">
            <v>7466849.6305683944</v>
          </cell>
          <cell r="S78">
            <v>6539314.5992857879</v>
          </cell>
          <cell r="T78">
            <v>11067503.139791274</v>
          </cell>
          <cell r="U78">
            <v>9863025.5748022832</v>
          </cell>
        </row>
        <row r="79">
          <cell r="C79" t="str">
            <v>ASP</v>
          </cell>
          <cell r="D79">
            <v>94.768916314818284</v>
          </cell>
          <cell r="E79">
            <v>76.420947420238861</v>
          </cell>
          <cell r="F79">
            <v>67.068425911812213</v>
          </cell>
          <cell r="G79">
            <v>84.758812792677247</v>
          </cell>
          <cell r="H79">
            <v>79.502788546843618</v>
          </cell>
          <cell r="I79">
            <v>96.85867723299485</v>
          </cell>
          <cell r="J79">
            <v>84.907563424415514</v>
          </cell>
          <cell r="K79">
            <v>91.384414889838496</v>
          </cell>
          <cell r="L79">
            <v>81.915507370309626</v>
          </cell>
          <cell r="M79">
            <v>79.166942862769559</v>
          </cell>
          <cell r="N79">
            <v>75.69190986970942</v>
          </cell>
          <cell r="O79">
            <v>80.77373470338415</v>
          </cell>
          <cell r="P79">
            <v>82.877349185473264</v>
          </cell>
          <cell r="R79">
            <v>81.331019565023254</v>
          </cell>
          <cell r="S79">
            <v>87.351284870184088</v>
          </cell>
          <cell r="T79">
            <v>85.782335763719317</v>
          </cell>
          <cell r="U79">
            <v>78.36623606110598</v>
          </cell>
        </row>
        <row r="82">
          <cell r="D82" t="str">
            <v>Note: Consolidation of San Fu results began in August of FY02;  Previously, results in this report reflect sales to San Fu as a third party customer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 FIN SUMM"/>
      <sheetName val="Q2 SALES SUMM"/>
      <sheetName val="Q2 DIR PR SUMM"/>
      <sheetName val="KEY DATA"/>
      <sheetName val="YTD FIN SUMM"/>
      <sheetName val="YTD SALES SUMM"/>
      <sheetName val="YTD DIR PR SUMM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-TOTAL, $US"/>
      <sheetName val="APPE-TOTAL"/>
      <sheetName val="COL-VAE, $US"/>
      <sheetName val="COL-VAE"/>
    </sheetNames>
    <sheetDataSet>
      <sheetData sheetId="0"/>
      <sheetData sheetId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E-O_S"/>
      <sheetName val="Sales(EAP)-D"/>
      <sheetName val="COL-VA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Summary"/>
      <sheetName val="COL-VAE"/>
      <sheetName val="Inputs"/>
      <sheetName val="Contents"/>
      <sheetName val="SOE-O_S"/>
    </sheetNames>
    <definedNames>
      <definedName name="Print_Al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ed debt"/>
    </sheetNames>
    <definedNames>
      <definedName name="Print_allocdebt"/>
    </defined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IA VACB"/>
      <sheetName val="MFO VACB"/>
      <sheetName val="Sheet4"/>
      <sheetName val="Data 03"/>
      <sheetName val="hyt"/>
      <sheetName val="API"/>
      <sheetName val="PP vs COS"/>
      <sheetName val="data 0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a 02"/>
      <sheetName val="Book Ba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 Basis"/>
    </sheetNames>
    <sheetDataSet>
      <sheetData sheetId="0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Treasury"/>
      <sheetName val="Europe Treasury"/>
      <sheetName val="US Discount Curve"/>
      <sheetName val="Europe Disc. Curve &amp; Fwd Rates "/>
      <sheetName val="Alternative Discount Curves"/>
    </sheetNames>
    <sheetDataSet>
      <sheetData sheetId="0" refreshError="1">
        <row r="8">
          <cell r="A8" t="str">
            <v>AA6276</v>
          </cell>
          <cell r="B8">
            <v>36612</v>
          </cell>
          <cell r="C8" t="str">
            <v>APCI</v>
          </cell>
          <cell r="D8" t="str">
            <v>Forward</v>
          </cell>
          <cell r="E8" t="str">
            <v>C-CF-2</v>
          </cell>
          <cell r="F8" t="str">
            <v>GBP</v>
          </cell>
          <cell r="G8">
            <v>355850</v>
          </cell>
          <cell r="H8" t="str">
            <v>USD</v>
          </cell>
          <cell r="I8">
            <v>-565908.26</v>
          </cell>
          <cell r="J8">
            <v>1.5903</v>
          </cell>
          <cell r="K8">
            <v>36978</v>
          </cell>
          <cell r="L8">
            <v>1.47315</v>
          </cell>
          <cell r="M8">
            <v>0</v>
          </cell>
          <cell r="N8">
            <v>-524220.42749999999</v>
          </cell>
          <cell r="O8">
            <v>0</v>
          </cell>
          <cell r="P8">
            <v>-40321.119956240735</v>
          </cell>
          <cell r="S8" t="str">
            <v>FXFC04</v>
          </cell>
          <cell r="T8">
            <v>565908.26</v>
          </cell>
          <cell r="U8">
            <v>524220.42749999999</v>
          </cell>
          <cell r="V8">
            <v>40321.119956240735</v>
          </cell>
          <cell r="Y8">
            <v>0</v>
          </cell>
        </row>
        <row r="9">
          <cell r="A9" t="str">
            <v>AA6468</v>
          </cell>
          <cell r="B9">
            <v>36686</v>
          </cell>
          <cell r="C9" t="str">
            <v>APCI</v>
          </cell>
          <cell r="D9" t="str">
            <v>Forward</v>
          </cell>
          <cell r="E9" t="str">
            <v>C-CF-2</v>
          </cell>
          <cell r="F9" t="str">
            <v>GBP</v>
          </cell>
          <cell r="G9">
            <v>286660</v>
          </cell>
          <cell r="H9" t="str">
            <v>USD</v>
          </cell>
          <cell r="I9">
            <v>-432942.6</v>
          </cell>
          <cell r="J9">
            <v>1.5103</v>
          </cell>
          <cell r="K9">
            <v>36852</v>
          </cell>
          <cell r="L9">
            <v>1.4702519999999999</v>
          </cell>
          <cell r="M9">
            <v>0</v>
          </cell>
          <cell r="N9">
            <v>-421462.43831999996</v>
          </cell>
          <cell r="O9">
            <v>0</v>
          </cell>
          <cell r="P9">
            <v>-11368.023551486322</v>
          </cell>
          <cell r="S9" t="str">
            <v>FXFC04</v>
          </cell>
          <cell r="T9">
            <v>432942.6</v>
          </cell>
          <cell r="U9">
            <v>421462.43831999996</v>
          </cell>
          <cell r="V9">
            <v>11368.023551486322</v>
          </cell>
          <cell r="Y9">
            <v>0</v>
          </cell>
        </row>
        <row r="10">
          <cell r="A10" t="str">
            <v>AA6614</v>
          </cell>
          <cell r="B10">
            <v>36756</v>
          </cell>
          <cell r="C10" t="str">
            <v>APCI</v>
          </cell>
          <cell r="D10" t="str">
            <v>Forward</v>
          </cell>
          <cell r="E10" t="str">
            <v>C-CF-2</v>
          </cell>
          <cell r="F10" t="str">
            <v>GBP</v>
          </cell>
          <cell r="G10">
            <v>1483450</v>
          </cell>
          <cell r="H10" t="str">
            <v>USD</v>
          </cell>
          <cell r="I10">
            <v>-2225620.04</v>
          </cell>
          <cell r="J10">
            <v>1.5003</v>
          </cell>
          <cell r="K10">
            <v>36998</v>
          </cell>
          <cell r="L10">
            <v>1.4734860000000001</v>
          </cell>
          <cell r="M10">
            <v>0</v>
          </cell>
          <cell r="N10">
            <v>-2185842.8067000001</v>
          </cell>
          <cell r="O10">
            <v>0</v>
          </cell>
          <cell r="P10">
            <v>-38330.926653616756</v>
          </cell>
          <cell r="S10" t="str">
            <v>FXFC03</v>
          </cell>
          <cell r="T10">
            <v>2225620.04</v>
          </cell>
          <cell r="U10">
            <v>2185842.8067000001</v>
          </cell>
          <cell r="V10">
            <v>38330.926653616756</v>
          </cell>
          <cell r="Y10">
            <v>0</v>
          </cell>
        </row>
        <row r="11">
          <cell r="A11" t="str">
            <v>AA6212</v>
          </cell>
          <cell r="B11">
            <v>36592</v>
          </cell>
          <cell r="C11" t="str">
            <v>APCI</v>
          </cell>
          <cell r="D11" t="str">
            <v>Forward</v>
          </cell>
          <cell r="E11" t="str">
            <v>C-CF-2</v>
          </cell>
          <cell r="F11" t="str">
            <v>KRW</v>
          </cell>
          <cell r="G11">
            <v>-157675000</v>
          </cell>
          <cell r="H11" t="str">
            <v>USD</v>
          </cell>
          <cell r="I11">
            <v>140000</v>
          </cell>
          <cell r="J11">
            <v>1126.25</v>
          </cell>
          <cell r="K11">
            <v>36950</v>
          </cell>
          <cell r="L11">
            <v>1117.1500000000001</v>
          </cell>
          <cell r="M11">
            <v>0</v>
          </cell>
          <cell r="N11">
            <v>141140.40191558877</v>
          </cell>
          <cell r="O11">
            <v>0</v>
          </cell>
          <cell r="P11">
            <v>-1108.7056691472962</v>
          </cell>
          <cell r="S11" t="str">
            <v>FXFC01</v>
          </cell>
          <cell r="T11">
            <v>-140000</v>
          </cell>
          <cell r="U11">
            <v>-141140.40191558877</v>
          </cell>
          <cell r="V11">
            <v>1108.7056691472962</v>
          </cell>
          <cell r="Y11">
            <v>0</v>
          </cell>
        </row>
        <row r="12">
          <cell r="A12" t="str">
            <v>AA6672</v>
          </cell>
          <cell r="B12">
            <v>36788</v>
          </cell>
          <cell r="C12" t="str">
            <v>APCI</v>
          </cell>
          <cell r="D12" t="str">
            <v>Forward</v>
          </cell>
          <cell r="E12" t="str">
            <v>C-CF-2</v>
          </cell>
          <cell r="F12" t="str">
            <v>KRW</v>
          </cell>
          <cell r="G12">
            <v>-314991000</v>
          </cell>
          <cell r="H12" t="str">
            <v>USD</v>
          </cell>
          <cell r="I12">
            <v>279000</v>
          </cell>
          <cell r="J12">
            <v>1129</v>
          </cell>
          <cell r="K12">
            <v>36819</v>
          </cell>
          <cell r="L12">
            <v>1116</v>
          </cell>
          <cell r="M12">
            <v>0</v>
          </cell>
          <cell r="N12">
            <v>282250</v>
          </cell>
          <cell r="O12">
            <v>0</v>
          </cell>
          <cell r="P12">
            <v>-3237.6553793716548</v>
          </cell>
          <cell r="S12" t="str">
            <v>FXFC02</v>
          </cell>
          <cell r="T12">
            <v>-279000</v>
          </cell>
          <cell r="U12">
            <v>-282250</v>
          </cell>
          <cell r="V12">
            <v>3237.6553793716548</v>
          </cell>
          <cell r="Y12">
            <v>0</v>
          </cell>
        </row>
        <row r="13">
          <cell r="A13" t="str">
            <v>AA6673</v>
          </cell>
          <cell r="B13">
            <v>36788</v>
          </cell>
          <cell r="C13" t="str">
            <v>APCI</v>
          </cell>
          <cell r="D13" t="str">
            <v>Forward</v>
          </cell>
          <cell r="E13" t="str">
            <v>C-CF-2</v>
          </cell>
          <cell r="F13" t="str">
            <v>KRW</v>
          </cell>
          <cell r="G13">
            <v>-1261638000</v>
          </cell>
          <cell r="H13" t="str">
            <v>USD</v>
          </cell>
          <cell r="I13">
            <v>1116000</v>
          </cell>
          <cell r="J13">
            <v>1130.5</v>
          </cell>
          <cell r="K13">
            <v>36965</v>
          </cell>
          <cell r="L13">
            <v>1117.25</v>
          </cell>
          <cell r="M13">
            <v>0</v>
          </cell>
          <cell r="N13">
            <v>1129235.1756545089</v>
          </cell>
          <cell r="O13">
            <v>0</v>
          </cell>
          <cell r="P13">
            <v>-12831.8688876752</v>
          </cell>
          <cell r="S13" t="str">
            <v>FXFC02</v>
          </cell>
          <cell r="T13">
            <v>-1116000</v>
          </cell>
          <cell r="U13">
            <v>-1129235.1756545089</v>
          </cell>
          <cell r="V13">
            <v>12831.8688876752</v>
          </cell>
          <cell r="Y13">
            <v>0</v>
          </cell>
        </row>
        <row r="14">
          <cell r="A14" t="str">
            <v>AA6432</v>
          </cell>
          <cell r="B14">
            <v>36672</v>
          </cell>
          <cell r="C14" t="str">
            <v>APCI</v>
          </cell>
          <cell r="D14" t="str">
            <v>Forward</v>
          </cell>
          <cell r="E14" t="str">
            <v>C-FV-1</v>
          </cell>
          <cell r="F14" t="str">
            <v>DEM</v>
          </cell>
          <cell r="G14">
            <v>853750</v>
          </cell>
          <cell r="H14" t="str">
            <v>USD</v>
          </cell>
          <cell r="I14">
            <v>-411664.01</v>
          </cell>
          <cell r="J14">
            <v>2.0739000000000001</v>
          </cell>
          <cell r="K14">
            <v>36830</v>
          </cell>
          <cell r="L14">
            <v>2.2273109999999998</v>
          </cell>
          <cell r="M14">
            <v>0</v>
          </cell>
          <cell r="N14">
            <v>-383309.73986120487</v>
          </cell>
          <cell r="O14">
            <v>0</v>
          </cell>
          <cell r="P14">
            <v>-28190.222788671828</v>
          </cell>
          <cell r="S14" t="str">
            <v>FXFC06</v>
          </cell>
          <cell r="T14">
            <v>411664.01</v>
          </cell>
          <cell r="U14">
            <v>383309.73986120487</v>
          </cell>
          <cell r="V14">
            <v>28190.222788671828</v>
          </cell>
          <cell r="Y14">
            <v>0</v>
          </cell>
        </row>
        <row r="15">
          <cell r="A15" t="str">
            <v>AA6433</v>
          </cell>
          <cell r="B15">
            <v>36672</v>
          </cell>
          <cell r="C15" t="str">
            <v>APCI</v>
          </cell>
          <cell r="D15" t="str">
            <v>Forward</v>
          </cell>
          <cell r="E15" t="str">
            <v>C-FV-1</v>
          </cell>
          <cell r="F15" t="str">
            <v>DEM</v>
          </cell>
          <cell r="G15">
            <v>853750</v>
          </cell>
          <cell r="H15" t="str">
            <v>USD</v>
          </cell>
          <cell r="I15">
            <v>-414311.02</v>
          </cell>
          <cell r="J15">
            <v>2.0606499999999999</v>
          </cell>
          <cell r="K15">
            <v>36922</v>
          </cell>
          <cell r="L15">
            <v>2.2180629999999999</v>
          </cell>
          <cell r="M15">
            <v>0</v>
          </cell>
          <cell r="N15">
            <v>-384907.91289517027</v>
          </cell>
          <cell r="O15">
            <v>0</v>
          </cell>
          <cell r="P15">
            <v>-28733.784645087027</v>
          </cell>
          <cell r="S15" t="str">
            <v>FXFC06</v>
          </cell>
          <cell r="T15">
            <v>414311.02</v>
          </cell>
          <cell r="U15">
            <v>384907.91289517027</v>
          </cell>
          <cell r="V15">
            <v>28733.784645087027</v>
          </cell>
          <cell r="Y15">
            <v>0</v>
          </cell>
        </row>
        <row r="16">
          <cell r="A16" t="str">
            <v>AA6434</v>
          </cell>
          <cell r="B16">
            <v>36672</v>
          </cell>
          <cell r="C16" t="str">
            <v>APCI</v>
          </cell>
          <cell r="D16" t="str">
            <v>Forward</v>
          </cell>
          <cell r="E16" t="str">
            <v>C-FV-1</v>
          </cell>
          <cell r="F16" t="str">
            <v>DEM</v>
          </cell>
          <cell r="G16">
            <v>853750</v>
          </cell>
          <cell r="H16" t="str">
            <v>USD</v>
          </cell>
          <cell r="I16">
            <v>-417716.56</v>
          </cell>
          <cell r="J16">
            <v>2.0438499999999999</v>
          </cell>
          <cell r="K16">
            <v>37042</v>
          </cell>
          <cell r="L16">
            <v>2.2073719999999999</v>
          </cell>
          <cell r="M16">
            <v>0</v>
          </cell>
          <cell r="N16">
            <v>-386772.14352632908</v>
          </cell>
          <cell r="O16">
            <v>0</v>
          </cell>
          <cell r="P16">
            <v>-29575.257397811736</v>
          </cell>
          <cell r="S16" t="str">
            <v>FXFC06</v>
          </cell>
          <cell r="T16">
            <v>417716.56</v>
          </cell>
          <cell r="U16">
            <v>386772.14352632908</v>
          </cell>
          <cell r="V16">
            <v>29575.257397811736</v>
          </cell>
          <cell r="Y16">
            <v>0</v>
          </cell>
        </row>
        <row r="17">
          <cell r="A17" t="str">
            <v>AA6601</v>
          </cell>
          <cell r="B17">
            <v>36748</v>
          </cell>
          <cell r="C17" t="str">
            <v>APCI</v>
          </cell>
          <cell r="D17" t="str">
            <v>Forward</v>
          </cell>
          <cell r="E17" t="str">
            <v>C-FV-1</v>
          </cell>
          <cell r="F17" t="str">
            <v>DEM</v>
          </cell>
          <cell r="G17">
            <v>846575</v>
          </cell>
          <cell r="H17" t="str">
            <v>USD</v>
          </cell>
          <cell r="I17">
            <v>-394635.02</v>
          </cell>
          <cell r="J17">
            <v>2.1452100000000001</v>
          </cell>
          <cell r="K17">
            <v>36830</v>
          </cell>
          <cell r="L17">
            <v>2.2273109999999998</v>
          </cell>
          <cell r="M17">
            <v>0</v>
          </cell>
          <cell r="N17">
            <v>-380088.36664480175</v>
          </cell>
          <cell r="O17">
            <v>0</v>
          </cell>
          <cell r="P17">
            <v>-14462.491783611298</v>
          </cell>
          <cell r="S17" t="str">
            <v>FXFC06</v>
          </cell>
          <cell r="T17">
            <v>394635.02</v>
          </cell>
          <cell r="U17">
            <v>380088.36664480175</v>
          </cell>
          <cell r="V17">
            <v>14462.491783611298</v>
          </cell>
          <cell r="Y17">
            <v>0</v>
          </cell>
        </row>
        <row r="18">
          <cell r="A18" t="str">
            <v>AA6602</v>
          </cell>
          <cell r="B18">
            <v>36748</v>
          </cell>
          <cell r="C18" t="str">
            <v>APCI</v>
          </cell>
          <cell r="D18" t="str">
            <v>Forward</v>
          </cell>
          <cell r="E18" t="str">
            <v>C-FV-1</v>
          </cell>
          <cell r="F18" t="str">
            <v>DEM</v>
          </cell>
          <cell r="G18">
            <v>846575</v>
          </cell>
          <cell r="H18" t="str">
            <v>USD</v>
          </cell>
          <cell r="I18">
            <v>-396408.99</v>
          </cell>
          <cell r="J18">
            <v>2.1356099999999998</v>
          </cell>
          <cell r="K18">
            <v>36922</v>
          </cell>
          <cell r="L18">
            <v>2.2180629999999999</v>
          </cell>
          <cell r="M18">
            <v>0</v>
          </cell>
          <cell r="N18">
            <v>-381673.10847347439</v>
          </cell>
          <cell r="O18">
            <v>0</v>
          </cell>
          <cell r="P18">
            <v>-14400.438866175213</v>
          </cell>
          <cell r="S18" t="str">
            <v>FXFC06</v>
          </cell>
          <cell r="T18">
            <v>396408.99</v>
          </cell>
          <cell r="U18">
            <v>381673.10847347439</v>
          </cell>
          <cell r="V18">
            <v>14400.438866175213</v>
          </cell>
          <cell r="Y18">
            <v>0</v>
          </cell>
        </row>
        <row r="19">
          <cell r="A19" t="str">
            <v>AA6603</v>
          </cell>
          <cell r="B19">
            <v>36748</v>
          </cell>
          <cell r="C19" t="str">
            <v>APCI</v>
          </cell>
          <cell r="D19" t="str">
            <v>Forward</v>
          </cell>
          <cell r="E19" t="str">
            <v>C-FV-1</v>
          </cell>
          <cell r="F19" t="str">
            <v>DEM</v>
          </cell>
          <cell r="G19">
            <v>1526705</v>
          </cell>
          <cell r="H19" t="str">
            <v>USD</v>
          </cell>
          <cell r="I19">
            <v>-718547.47</v>
          </cell>
          <cell r="J19">
            <v>2.1247099999999999</v>
          </cell>
          <cell r="K19">
            <v>37042</v>
          </cell>
          <cell r="L19">
            <v>2.2073719999999999</v>
          </cell>
          <cell r="M19">
            <v>0</v>
          </cell>
          <cell r="N19">
            <v>-691639.19810525829</v>
          </cell>
          <cell r="O19">
            <v>0</v>
          </cell>
          <cell r="P19">
            <v>-25717.695083842085</v>
          </cell>
          <cell r="S19" t="str">
            <v>FXFC06</v>
          </cell>
          <cell r="T19">
            <v>718547.47</v>
          </cell>
          <cell r="U19">
            <v>691639.19810525829</v>
          </cell>
          <cell r="V19">
            <v>25717.695083842085</v>
          </cell>
          <cell r="Y19">
            <v>0</v>
          </cell>
        </row>
        <row r="20">
          <cell r="A20" t="str">
            <v>AA6291</v>
          </cell>
          <cell r="B20">
            <v>36614</v>
          </cell>
          <cell r="C20" t="str">
            <v>APCI</v>
          </cell>
          <cell r="D20" t="str">
            <v>Forward</v>
          </cell>
          <cell r="E20" t="str">
            <v>C-CF-5</v>
          </cell>
          <cell r="F20" t="str">
            <v>ITL</v>
          </cell>
          <cell r="G20">
            <v>5000000000</v>
          </cell>
          <cell r="H20" t="str">
            <v>USD</v>
          </cell>
          <cell r="I20">
            <v>-2522258.9351022779</v>
          </cell>
          <cell r="J20">
            <v>1982.35</v>
          </cell>
          <cell r="K20">
            <v>36980</v>
          </cell>
          <cell r="L20">
            <v>2207.9441999999999</v>
          </cell>
          <cell r="M20">
            <v>0</v>
          </cell>
          <cell r="N20">
            <v>-2328477.6331179491</v>
          </cell>
          <cell r="O20">
            <v>0</v>
          </cell>
          <cell r="P20">
            <v>-187358.88290968412</v>
          </cell>
          <cell r="S20" t="str">
            <v>FXFC10</v>
          </cell>
          <cell r="T20">
            <v>2522258.9351022779</v>
          </cell>
          <cell r="U20">
            <v>2328477.6331179491</v>
          </cell>
          <cell r="V20">
            <v>187358.88290968412</v>
          </cell>
          <cell r="Y20">
            <v>0</v>
          </cell>
        </row>
        <row r="21">
          <cell r="A21" t="str">
            <v>AA6322</v>
          </cell>
          <cell r="B21">
            <v>36629</v>
          </cell>
          <cell r="C21" t="str">
            <v>APCI</v>
          </cell>
          <cell r="D21" t="str">
            <v>Forward</v>
          </cell>
          <cell r="E21" t="str">
            <v>C-FV-2</v>
          </cell>
          <cell r="F21" t="str">
            <v>TWD</v>
          </cell>
          <cell r="G21">
            <v>-80776726.25</v>
          </cell>
          <cell r="H21" t="str">
            <v>USD</v>
          </cell>
          <cell r="I21">
            <v>2670305</v>
          </cell>
          <cell r="J21">
            <v>30.25</v>
          </cell>
          <cell r="K21">
            <v>36860</v>
          </cell>
          <cell r="L21">
            <v>30.105</v>
          </cell>
          <cell r="M21">
            <v>0</v>
          </cell>
          <cell r="N21">
            <v>2683166.4590599569</v>
          </cell>
          <cell r="O21">
            <v>0</v>
          </cell>
          <cell r="P21">
            <v>-12716.977377525385</v>
          </cell>
          <cell r="S21" t="str">
            <v>FXFC05</v>
          </cell>
          <cell r="T21">
            <v>-2670305</v>
          </cell>
          <cell r="U21">
            <v>-2683166.4590599569</v>
          </cell>
          <cell r="V21">
            <v>12716.977377525385</v>
          </cell>
          <cell r="Y21">
            <v>0</v>
          </cell>
        </row>
        <row r="22">
          <cell r="A22" t="str">
            <v>AA6323</v>
          </cell>
          <cell r="B22">
            <v>36629</v>
          </cell>
          <cell r="C22" t="str">
            <v>APCI</v>
          </cell>
          <cell r="D22" t="str">
            <v>Forward</v>
          </cell>
          <cell r="E22" t="str">
            <v>C-FV-2</v>
          </cell>
          <cell r="F22" t="str">
            <v>TWD</v>
          </cell>
          <cell r="G22">
            <v>-14516749</v>
          </cell>
          <cell r="H22" t="str">
            <v>USD</v>
          </cell>
          <cell r="I22">
            <v>485510</v>
          </cell>
          <cell r="J22">
            <v>29.9</v>
          </cell>
          <cell r="K22">
            <v>37042</v>
          </cell>
          <cell r="L22">
            <v>29.05</v>
          </cell>
          <cell r="M22">
            <v>0</v>
          </cell>
          <cell r="N22">
            <v>499715.97246127366</v>
          </cell>
          <cell r="O22">
            <v>0</v>
          </cell>
          <cell r="P22">
            <v>-13577.418481485169</v>
          </cell>
          <cell r="S22" t="str">
            <v>FXFC05</v>
          </cell>
          <cell r="T22">
            <v>-485510</v>
          </cell>
          <cell r="U22">
            <v>-499715.97246127366</v>
          </cell>
          <cell r="V22">
            <v>13577.418481485169</v>
          </cell>
          <cell r="Y22">
            <v>0</v>
          </cell>
        </row>
        <row r="23">
          <cell r="A23" t="str">
            <v>AA6324</v>
          </cell>
          <cell r="B23">
            <v>36629</v>
          </cell>
          <cell r="C23" t="str">
            <v>APCI</v>
          </cell>
          <cell r="D23" t="str">
            <v>Forward</v>
          </cell>
          <cell r="E23" t="str">
            <v>C-FV-2</v>
          </cell>
          <cell r="F23" t="str">
            <v>TWD</v>
          </cell>
          <cell r="G23">
            <v>-6545120</v>
          </cell>
          <cell r="H23" t="str">
            <v>USD</v>
          </cell>
          <cell r="I23">
            <v>188800</v>
          </cell>
          <cell r="J23">
            <v>29.9</v>
          </cell>
          <cell r="K23">
            <v>37042</v>
          </cell>
          <cell r="L23">
            <v>29.05</v>
          </cell>
          <cell r="M23">
            <v>0</v>
          </cell>
          <cell r="N23">
            <v>225305.33562822719</v>
          </cell>
          <cell r="O23">
            <v>0</v>
          </cell>
          <cell r="P23">
            <v>-34890.129484811951</v>
          </cell>
          <cell r="S23" t="str">
            <v>FXFC05</v>
          </cell>
          <cell r="T23">
            <v>-188800</v>
          </cell>
          <cell r="U23">
            <v>-225305.33562822719</v>
          </cell>
          <cell r="V23">
            <v>34890.129484811951</v>
          </cell>
          <cell r="Y23">
            <v>0</v>
          </cell>
        </row>
        <row r="24">
          <cell r="A24" t="str">
            <v>AA6679</v>
          </cell>
          <cell r="B24">
            <v>36794</v>
          </cell>
          <cell r="C24" t="str">
            <v>APCI</v>
          </cell>
          <cell r="D24" t="str">
            <v>Forward</v>
          </cell>
          <cell r="E24" t="str">
            <v>DNQ</v>
          </cell>
          <cell r="F24" t="str">
            <v>EUR</v>
          </cell>
          <cell r="G24">
            <v>-12300000</v>
          </cell>
          <cell r="H24" t="str">
            <v>USD</v>
          </cell>
          <cell r="I24">
            <v>10788330</v>
          </cell>
          <cell r="J24">
            <v>0.87709999999999999</v>
          </cell>
          <cell r="K24">
            <v>36838</v>
          </cell>
          <cell r="L24">
            <v>0.879</v>
          </cell>
          <cell r="M24">
            <v>0</v>
          </cell>
          <cell r="N24">
            <v>10811700</v>
          </cell>
          <cell r="O24">
            <v>0</v>
          </cell>
          <cell r="P24">
            <v>-23200.957129267928</v>
          </cell>
          <cell r="S24" t="str">
            <v>Chem Group EUR Receivables</v>
          </cell>
          <cell r="T24">
            <v>-10788330</v>
          </cell>
          <cell r="U24">
            <v>-10811700</v>
          </cell>
          <cell r="V24">
            <v>23200.957129267928</v>
          </cell>
          <cell r="Y24">
            <v>0</v>
          </cell>
        </row>
        <row r="25">
          <cell r="A25" t="str">
            <v>AA6681</v>
          </cell>
          <cell r="B25">
            <v>36794</v>
          </cell>
          <cell r="C25" t="str">
            <v>APCI</v>
          </cell>
          <cell r="D25" t="str">
            <v>Forward</v>
          </cell>
          <cell r="E25" t="str">
            <v>DNQ</v>
          </cell>
          <cell r="F25" t="str">
            <v>GBP</v>
          </cell>
          <cell r="G25">
            <v>-1000000</v>
          </cell>
          <cell r="H25" t="str">
            <v>USD</v>
          </cell>
          <cell r="I25">
            <v>1454500</v>
          </cell>
          <cell r="J25">
            <v>1.4544999999999999</v>
          </cell>
          <cell r="K25">
            <v>36838</v>
          </cell>
          <cell r="L25">
            <v>1.4698249999999999</v>
          </cell>
          <cell r="M25">
            <v>0</v>
          </cell>
          <cell r="N25">
            <v>1469825</v>
          </cell>
          <cell r="O25">
            <v>0</v>
          </cell>
          <cell r="P25">
            <v>-15214.149251434788</v>
          </cell>
          <cell r="S25" t="str">
            <v>Chem Group GBP Receivables</v>
          </cell>
          <cell r="T25">
            <v>-1454500</v>
          </cell>
          <cell r="U25">
            <v>-1469825</v>
          </cell>
          <cell r="V25">
            <v>15214.149251434788</v>
          </cell>
          <cell r="Y25">
            <v>0</v>
          </cell>
        </row>
        <row r="26">
          <cell r="A26" t="str">
            <v>AA6683</v>
          </cell>
          <cell r="B26">
            <v>36794</v>
          </cell>
          <cell r="C26" t="str">
            <v>APCI</v>
          </cell>
          <cell r="D26" t="str">
            <v>Forward</v>
          </cell>
          <cell r="E26" t="str">
            <v>DNQ</v>
          </cell>
          <cell r="F26" t="str">
            <v>JPY</v>
          </cell>
          <cell r="G26">
            <v>-240000000</v>
          </cell>
          <cell r="H26" t="str">
            <v>USD</v>
          </cell>
          <cell r="I26">
            <v>2242990.65</v>
          </cell>
          <cell r="J26">
            <v>107</v>
          </cell>
          <cell r="K26">
            <v>36838</v>
          </cell>
          <cell r="L26">
            <v>107.43590500000001</v>
          </cell>
          <cell r="M26">
            <v>0</v>
          </cell>
          <cell r="N26">
            <v>2233890.0575184803</v>
          </cell>
          <cell r="O26">
            <v>0</v>
          </cell>
          <cell r="P26">
            <v>9034.7649129085748</v>
          </cell>
          <cell r="S26" t="str">
            <v>Chem Group JPY Receivables</v>
          </cell>
          <cell r="T26">
            <v>-2242990.65</v>
          </cell>
          <cell r="U26">
            <v>-2233890.0575184803</v>
          </cell>
          <cell r="V26">
            <v>-9034.7649129085748</v>
          </cell>
          <cell r="Y26">
            <v>0</v>
          </cell>
        </row>
        <row r="27">
          <cell r="A27" t="str">
            <v>AA6338</v>
          </cell>
          <cell r="B27">
            <v>36636</v>
          </cell>
          <cell r="C27" t="str">
            <v>APCI</v>
          </cell>
          <cell r="D27" t="str">
            <v>Forward</v>
          </cell>
          <cell r="E27" t="str">
            <v>DNQ</v>
          </cell>
          <cell r="F27" t="str">
            <v>AUD</v>
          </cell>
          <cell r="G27">
            <v>1644356.05</v>
          </cell>
          <cell r="H27" t="str">
            <v>USD</v>
          </cell>
          <cell r="I27">
            <v>-980003.32</v>
          </cell>
          <cell r="J27">
            <v>0.59597999999999995</v>
          </cell>
          <cell r="K27">
            <v>36823</v>
          </cell>
          <cell r="L27">
            <v>0.54057299999999997</v>
          </cell>
          <cell r="M27">
            <v>0</v>
          </cell>
          <cell r="N27">
            <v>-888894.48301664996</v>
          </cell>
          <cell r="O27">
            <v>0</v>
          </cell>
          <cell r="P27">
            <v>-90696.939160339738</v>
          </cell>
          <cell r="S27" t="str">
            <v>Intercompany Loan</v>
          </cell>
          <cell r="T27">
            <v>980003.32</v>
          </cell>
          <cell r="U27">
            <v>888894.48301664996</v>
          </cell>
          <cell r="V27">
            <v>90696.939160339738</v>
          </cell>
          <cell r="Y27">
            <v>0</v>
          </cell>
        </row>
        <row r="28">
          <cell r="A28" t="str">
            <v>AA6526</v>
          </cell>
          <cell r="B28">
            <v>36718</v>
          </cell>
          <cell r="C28" t="str">
            <v>APCI</v>
          </cell>
          <cell r="D28" t="str">
            <v>Forward</v>
          </cell>
          <cell r="E28" t="str">
            <v>DNQ</v>
          </cell>
          <cell r="F28" t="str">
            <v>AUD</v>
          </cell>
          <cell r="G28">
            <v>-1644356.05</v>
          </cell>
          <cell r="H28" t="str">
            <v>USD</v>
          </cell>
          <cell r="I28">
            <v>970005.63</v>
          </cell>
          <cell r="J28">
            <v>0.58989999999999998</v>
          </cell>
          <cell r="K28">
            <v>36823</v>
          </cell>
          <cell r="L28">
            <v>0.54057299999999997</v>
          </cell>
          <cell r="M28">
            <v>0</v>
          </cell>
          <cell r="N28">
            <v>888894.48301664996</v>
          </cell>
          <cell r="O28">
            <v>0</v>
          </cell>
          <cell r="P28">
            <v>80744.448143034344</v>
          </cell>
          <cell r="S28" t="str">
            <v>Intercompany Loan</v>
          </cell>
          <cell r="T28">
            <v>-970005.63</v>
          </cell>
          <cell r="U28">
            <v>-888894.48301664996</v>
          </cell>
          <cell r="V28">
            <v>-80744.448143034344</v>
          </cell>
          <cell r="Y28">
            <v>0</v>
          </cell>
        </row>
        <row r="29">
          <cell r="A29" t="str">
            <v>AA6655</v>
          </cell>
          <cell r="B29">
            <v>36776</v>
          </cell>
          <cell r="C29" t="str">
            <v>APCI</v>
          </cell>
          <cell r="D29" t="str">
            <v>Forward</v>
          </cell>
          <cell r="E29" t="str">
            <v>DNQ</v>
          </cell>
          <cell r="F29" t="str">
            <v>EUR</v>
          </cell>
          <cell r="G29">
            <v>938350.82</v>
          </cell>
          <cell r="H29" t="str">
            <v>USD</v>
          </cell>
          <cell r="I29">
            <v>-819367.94</v>
          </cell>
          <cell r="J29">
            <v>0.87319999999999998</v>
          </cell>
          <cell r="K29">
            <v>36803</v>
          </cell>
          <cell r="L29">
            <v>0.87722</v>
          </cell>
          <cell r="M29">
            <v>0</v>
          </cell>
          <cell r="N29">
            <v>-823140.10632039991</v>
          </cell>
          <cell r="O29">
            <v>0</v>
          </cell>
          <cell r="P29">
            <v>3768.7529863320374</v>
          </cell>
          <cell r="S29" t="str">
            <v>Intercompany Loan</v>
          </cell>
          <cell r="T29">
            <v>819367.94</v>
          </cell>
          <cell r="U29">
            <v>823140.10632039991</v>
          </cell>
          <cell r="V29">
            <v>-3768.7529863320374</v>
          </cell>
          <cell r="Y29">
            <v>0</v>
          </cell>
        </row>
        <row r="30">
          <cell r="A30" t="str">
            <v>AA6675</v>
          </cell>
          <cell r="B30">
            <v>36789</v>
          </cell>
          <cell r="C30" t="str">
            <v>APCI</v>
          </cell>
          <cell r="D30" t="str">
            <v>Forward</v>
          </cell>
          <cell r="E30" t="str">
            <v>DNQ</v>
          </cell>
          <cell r="F30" t="str">
            <v>JPY</v>
          </cell>
          <cell r="G30">
            <v>1394564169</v>
          </cell>
          <cell r="H30" t="str">
            <v>USD</v>
          </cell>
          <cell r="I30">
            <v>-13175531.85</v>
          </cell>
          <cell r="J30">
            <v>105.845</v>
          </cell>
          <cell r="K30">
            <v>36824</v>
          </cell>
          <cell r="L30">
            <v>107.699004</v>
          </cell>
          <cell r="M30">
            <v>0</v>
          </cell>
          <cell r="N30">
            <v>-12948719.275064047</v>
          </cell>
          <cell r="O30">
            <v>0</v>
          </cell>
          <cell r="P30">
            <v>-225746.20491202673</v>
          </cell>
          <cell r="S30" t="str">
            <v>Intercompany Loan</v>
          </cell>
          <cell r="T30">
            <v>13175531.85</v>
          </cell>
          <cell r="U30">
            <v>12948719.275064047</v>
          </cell>
          <cell r="V30">
            <v>225746.20491202673</v>
          </cell>
          <cell r="Y30">
            <v>0</v>
          </cell>
        </row>
        <row r="31">
          <cell r="A31" t="str">
            <v>AA6656</v>
          </cell>
          <cell r="B31">
            <v>36776</v>
          </cell>
          <cell r="C31" t="str">
            <v>APCI</v>
          </cell>
          <cell r="D31" t="str">
            <v>Forward</v>
          </cell>
          <cell r="E31" t="str">
            <v>DNQ</v>
          </cell>
          <cell r="F31" t="str">
            <v>EUR</v>
          </cell>
          <cell r="G31">
            <v>12267334.9</v>
          </cell>
          <cell r="H31" t="str">
            <v>USD</v>
          </cell>
          <cell r="I31">
            <v>-10742505.17</v>
          </cell>
          <cell r="J31">
            <v>0.87570000000000003</v>
          </cell>
          <cell r="K31">
            <v>36860</v>
          </cell>
          <cell r="L31">
            <v>0.87994600000000001</v>
          </cell>
          <cell r="M31">
            <v>0</v>
          </cell>
          <cell r="N31">
            <v>-10794592.275915401</v>
          </cell>
          <cell r="O31">
            <v>0</v>
          </cell>
          <cell r="P31">
            <v>51501.975359018252</v>
          </cell>
          <cell r="S31" t="str">
            <v>Intercompany Loan</v>
          </cell>
          <cell r="T31">
            <v>10742505.17</v>
          </cell>
          <cell r="U31">
            <v>10794592.275915401</v>
          </cell>
          <cell r="V31">
            <v>-51501.975359018252</v>
          </cell>
          <cell r="Y31">
            <v>0</v>
          </cell>
        </row>
        <row r="32">
          <cell r="A32" t="str">
            <v>AA4909</v>
          </cell>
          <cell r="B32">
            <v>36031</v>
          </cell>
          <cell r="C32" t="str">
            <v>APCI</v>
          </cell>
          <cell r="D32" t="str">
            <v>Forward</v>
          </cell>
          <cell r="E32" t="str">
            <v>NI-1</v>
          </cell>
          <cell r="F32" t="str">
            <v>ESP</v>
          </cell>
          <cell r="G32">
            <v>-8201000000</v>
          </cell>
          <cell r="H32" t="str">
            <v>USD</v>
          </cell>
          <cell r="I32">
            <v>57169745.560000002</v>
          </cell>
          <cell r="J32">
            <v>143.44999999999999</v>
          </cell>
          <cell r="K32">
            <v>37491</v>
          </cell>
          <cell r="L32">
            <v>186.92912699999999</v>
          </cell>
          <cell r="M32">
            <v>0</v>
          </cell>
          <cell r="N32">
            <v>43872242.553189695</v>
          </cell>
          <cell r="O32">
            <v>0</v>
          </cell>
          <cell r="P32">
            <v>11705977.419623887</v>
          </cell>
          <cell r="S32" t="str">
            <v>FXFC09</v>
          </cell>
          <cell r="T32">
            <v>-57169745.560000002</v>
          </cell>
          <cell r="U32">
            <v>-43872242.553189695</v>
          </cell>
          <cell r="V32">
            <v>-11705977.419623887</v>
          </cell>
          <cell r="Y32">
            <v>0</v>
          </cell>
        </row>
        <row r="33">
          <cell r="A33" t="str">
            <v>AA4911</v>
          </cell>
          <cell r="B33">
            <v>36032</v>
          </cell>
          <cell r="C33" t="str">
            <v>APCI</v>
          </cell>
          <cell r="D33" t="str">
            <v>Forward</v>
          </cell>
          <cell r="E33" t="str">
            <v>NI-1</v>
          </cell>
          <cell r="F33" t="str">
            <v>ESP</v>
          </cell>
          <cell r="G33">
            <v>-4272000000</v>
          </cell>
          <cell r="H33" t="str">
            <v>USD</v>
          </cell>
          <cell r="I33">
            <v>30212164.07</v>
          </cell>
          <cell r="J33">
            <v>141.4</v>
          </cell>
          <cell r="K33">
            <v>37860</v>
          </cell>
          <cell r="L33">
            <v>175.81983</v>
          </cell>
          <cell r="M33">
            <v>0</v>
          </cell>
          <cell r="N33">
            <v>24297600.56075586</v>
          </cell>
          <cell r="O33">
            <v>0</v>
          </cell>
          <cell r="P33">
            <v>4865465.7653415501</v>
          </cell>
          <cell r="S33" t="str">
            <v>FXFC09</v>
          </cell>
          <cell r="T33">
            <v>-30212164.07</v>
          </cell>
          <cell r="U33">
            <v>-24297600.56075586</v>
          </cell>
          <cell r="V33">
            <v>-4865465.7653415501</v>
          </cell>
          <cell r="Y33">
            <v>0</v>
          </cell>
        </row>
        <row r="34">
          <cell r="A34" t="str">
            <v>AA4912</v>
          </cell>
          <cell r="B34">
            <v>36032</v>
          </cell>
          <cell r="C34" t="str">
            <v>APCI</v>
          </cell>
          <cell r="D34" t="str">
            <v>Forward</v>
          </cell>
          <cell r="E34" t="str">
            <v>NI-1</v>
          </cell>
          <cell r="F34" t="str">
            <v>ESP</v>
          </cell>
          <cell r="G34">
            <v>-4272000000</v>
          </cell>
          <cell r="H34" t="str">
            <v>USD</v>
          </cell>
          <cell r="I34">
            <v>30212164.07</v>
          </cell>
          <cell r="J34">
            <v>141.4</v>
          </cell>
          <cell r="K34">
            <v>37860</v>
          </cell>
          <cell r="L34">
            <v>175.81983</v>
          </cell>
          <cell r="M34">
            <v>0</v>
          </cell>
          <cell r="N34">
            <v>24297600.56075586</v>
          </cell>
          <cell r="O34">
            <v>0</v>
          </cell>
          <cell r="P34">
            <v>4865465.7653415501</v>
          </cell>
          <cell r="S34" t="str">
            <v>FXFC09</v>
          </cell>
          <cell r="T34">
            <v>-30212164.07</v>
          </cell>
          <cell r="U34">
            <v>-24297600.56075586</v>
          </cell>
          <cell r="V34">
            <v>-4865465.7653415501</v>
          </cell>
          <cell r="Y34">
            <v>0</v>
          </cell>
        </row>
        <row r="35">
          <cell r="A35" t="str">
            <v>AA6536</v>
          </cell>
          <cell r="B35">
            <v>36727</v>
          </cell>
          <cell r="C35" t="str">
            <v>APCI</v>
          </cell>
          <cell r="D35" t="str">
            <v>Forward</v>
          </cell>
          <cell r="E35" t="str">
            <v>NI-1</v>
          </cell>
          <cell r="F35" t="str">
            <v>EUR</v>
          </cell>
          <cell r="G35">
            <v>-125000000</v>
          </cell>
          <cell r="H35" t="str">
            <v>USD</v>
          </cell>
          <cell r="I35">
            <v>124132500</v>
          </cell>
          <cell r="J35">
            <v>0.99306000000000005</v>
          </cell>
          <cell r="K35">
            <v>38443</v>
          </cell>
          <cell r="L35">
            <v>0.985846</v>
          </cell>
          <cell r="M35">
            <v>0</v>
          </cell>
          <cell r="N35">
            <v>123230750</v>
          </cell>
          <cell r="O35">
            <v>0</v>
          </cell>
          <cell r="P35">
            <v>688697.54728215234</v>
          </cell>
          <cell r="S35" t="str">
            <v>FXFC09</v>
          </cell>
          <cell r="T35">
            <v>-124132500</v>
          </cell>
          <cell r="U35">
            <v>-123230750</v>
          </cell>
          <cell r="V35">
            <v>-688697.54728215234</v>
          </cell>
          <cell r="Y35">
            <v>0</v>
          </cell>
        </row>
        <row r="36">
          <cell r="A36" t="str">
            <v>AA6539</v>
          </cell>
          <cell r="B36">
            <v>36728</v>
          </cell>
          <cell r="C36" t="str">
            <v>APCI</v>
          </cell>
          <cell r="D36" t="str">
            <v>Forward</v>
          </cell>
          <cell r="E36" t="str">
            <v>NI-1</v>
          </cell>
          <cell r="F36" t="str">
            <v>EUR</v>
          </cell>
          <cell r="G36">
            <v>-50000000</v>
          </cell>
          <cell r="H36" t="str">
            <v>USD</v>
          </cell>
          <cell r="I36">
            <v>49985000</v>
          </cell>
          <cell r="J36">
            <v>0.99970000000000003</v>
          </cell>
          <cell r="K36">
            <v>38443</v>
          </cell>
          <cell r="L36">
            <v>0.985846</v>
          </cell>
          <cell r="M36">
            <v>0</v>
          </cell>
          <cell r="N36">
            <v>49292300</v>
          </cell>
          <cell r="O36">
            <v>0</v>
          </cell>
          <cell r="P36">
            <v>529038.85888810304</v>
          </cell>
          <cell r="S36" t="str">
            <v>FXFC09</v>
          </cell>
          <cell r="T36">
            <v>-49985000</v>
          </cell>
          <cell r="U36">
            <v>-49292300</v>
          </cell>
          <cell r="V36">
            <v>-529038.85888810304</v>
          </cell>
          <cell r="Y36">
            <v>0</v>
          </cell>
        </row>
        <row r="37">
          <cell r="A37" t="str">
            <v>AA6540</v>
          </cell>
          <cell r="B37">
            <v>36728</v>
          </cell>
          <cell r="C37" t="str">
            <v>APCI</v>
          </cell>
          <cell r="D37" t="str">
            <v>Forward</v>
          </cell>
          <cell r="E37" t="str">
            <v>NI-1</v>
          </cell>
          <cell r="F37" t="str">
            <v>EUR</v>
          </cell>
          <cell r="G37">
            <v>-50000000</v>
          </cell>
          <cell r="H37" t="str">
            <v>USD</v>
          </cell>
          <cell r="I37">
            <v>51655000</v>
          </cell>
          <cell r="J37">
            <v>1.0330999999999999</v>
          </cell>
          <cell r="K37">
            <v>39279</v>
          </cell>
          <cell r="L37">
            <v>1.040883</v>
          </cell>
          <cell r="M37">
            <v>0</v>
          </cell>
          <cell r="N37">
            <v>52044150</v>
          </cell>
          <cell r="O37">
            <v>0</v>
          </cell>
          <cell r="P37">
            <v>-297207.26423604059</v>
          </cell>
          <cell r="S37" t="str">
            <v>FXFC09</v>
          </cell>
          <cell r="T37">
            <v>-51655000</v>
          </cell>
          <cell r="U37">
            <v>-52044150</v>
          </cell>
          <cell r="V37">
            <v>297207.26423604059</v>
          </cell>
          <cell r="Y37">
            <v>0</v>
          </cell>
        </row>
        <row r="38">
          <cell r="A38" t="str">
            <v>AA6558</v>
          </cell>
          <cell r="B38">
            <v>36732</v>
          </cell>
          <cell r="C38" t="str">
            <v>APCI</v>
          </cell>
          <cell r="D38" t="str">
            <v>Forward</v>
          </cell>
          <cell r="E38" t="str">
            <v>NI-1</v>
          </cell>
          <cell r="F38" t="str">
            <v>EUR</v>
          </cell>
          <cell r="G38">
            <v>-17000000</v>
          </cell>
          <cell r="H38" t="str">
            <v>USD</v>
          </cell>
          <cell r="I38">
            <v>17085000</v>
          </cell>
          <cell r="J38">
            <v>1.0049999999999999</v>
          </cell>
          <cell r="K38">
            <v>38443</v>
          </cell>
          <cell r="L38">
            <v>0.985846</v>
          </cell>
          <cell r="M38">
            <v>0</v>
          </cell>
          <cell r="N38">
            <v>16759382</v>
          </cell>
          <cell r="O38">
            <v>0</v>
          </cell>
          <cell r="P38">
            <v>248685.68666583853</v>
          </cell>
          <cell r="S38" t="str">
            <v>FXFC09</v>
          </cell>
          <cell r="T38">
            <v>-17085000</v>
          </cell>
          <cell r="U38">
            <v>-16759382</v>
          </cell>
          <cell r="V38">
            <v>-248685.68666583853</v>
          </cell>
          <cell r="Y38">
            <v>0</v>
          </cell>
        </row>
        <row r="39">
          <cell r="A39" t="str">
            <v>AA6559</v>
          </cell>
          <cell r="B39">
            <v>36732</v>
          </cell>
          <cell r="C39" t="str">
            <v>APCI</v>
          </cell>
          <cell r="D39" t="str">
            <v>Forward</v>
          </cell>
          <cell r="E39" t="str">
            <v>NI-1</v>
          </cell>
          <cell r="F39" t="str">
            <v>EUR</v>
          </cell>
          <cell r="G39">
            <v>-35000000</v>
          </cell>
          <cell r="H39" t="str">
            <v>USD</v>
          </cell>
          <cell r="I39">
            <v>36489250</v>
          </cell>
          <cell r="J39">
            <v>1.0425500000000001</v>
          </cell>
          <cell r="K39">
            <v>39279</v>
          </cell>
          <cell r="L39">
            <v>1.040883</v>
          </cell>
          <cell r="M39">
            <v>0</v>
          </cell>
          <cell r="N39">
            <v>36430905</v>
          </cell>
          <cell r="O39">
            <v>0</v>
          </cell>
          <cell r="P39">
            <v>44560.086937817781</v>
          </cell>
          <cell r="S39" t="str">
            <v>FXFC09</v>
          </cell>
          <cell r="T39">
            <v>-36489250</v>
          </cell>
          <cell r="U39">
            <v>-36430905</v>
          </cell>
          <cell r="V39">
            <v>-44560.086937817781</v>
          </cell>
          <cell r="Y39">
            <v>0</v>
          </cell>
        </row>
        <row r="40">
          <cell r="A40" t="str">
            <v>AA6560</v>
          </cell>
          <cell r="B40">
            <v>36728</v>
          </cell>
          <cell r="C40" t="str">
            <v>APCI</v>
          </cell>
          <cell r="D40" t="str">
            <v>Forward</v>
          </cell>
          <cell r="E40" t="str">
            <v>NI-1</v>
          </cell>
          <cell r="F40" t="str">
            <v>EUR</v>
          </cell>
          <cell r="G40">
            <v>-30000000</v>
          </cell>
          <cell r="H40" t="str">
            <v>USD</v>
          </cell>
          <cell r="I40">
            <v>31330681.199999999</v>
          </cell>
          <cell r="J40">
            <v>1.0443560000000001</v>
          </cell>
          <cell r="K40">
            <v>39279</v>
          </cell>
          <cell r="L40">
            <v>1.040883</v>
          </cell>
          <cell r="M40">
            <v>0</v>
          </cell>
          <cell r="N40">
            <v>31226490</v>
          </cell>
          <cell r="O40">
            <v>0</v>
          </cell>
          <cell r="P40">
            <v>79574.409635024873</v>
          </cell>
          <cell r="S40" t="str">
            <v>FXFC09</v>
          </cell>
          <cell r="T40">
            <v>-31330681.199999999</v>
          </cell>
          <cell r="U40">
            <v>-31226490</v>
          </cell>
          <cell r="V40">
            <v>-79574.409635024873</v>
          </cell>
          <cell r="Y40">
            <v>0</v>
          </cell>
        </row>
        <row r="41">
          <cell r="A41" t="str">
            <v>AA6718</v>
          </cell>
          <cell r="B41">
            <v>36796</v>
          </cell>
          <cell r="C41" t="str">
            <v>APCL</v>
          </cell>
          <cell r="D41" t="str">
            <v>Forward</v>
          </cell>
          <cell r="E41" t="str">
            <v>C-CF-6</v>
          </cell>
          <cell r="F41" t="str">
            <v>EUR</v>
          </cell>
          <cell r="G41">
            <v>5556701.8799999999</v>
          </cell>
          <cell r="H41" t="str">
            <v>CAD</v>
          </cell>
          <cell r="I41">
            <v>-7342792.5700000003</v>
          </cell>
          <cell r="J41">
            <v>1.3214300000000001</v>
          </cell>
          <cell r="K41">
            <v>36882</v>
          </cell>
          <cell r="L41">
            <v>1.3190999999999999</v>
          </cell>
          <cell r="M41">
            <v>0</v>
          </cell>
          <cell r="N41">
            <v>-7348904.9373563994</v>
          </cell>
          <cell r="O41">
            <v>0</v>
          </cell>
          <cell r="P41">
            <v>6017.7848009628224</v>
          </cell>
          <cell r="S41" t="str">
            <v>FXFC10</v>
          </cell>
          <cell r="T41">
            <v>7342792.5700000003</v>
          </cell>
          <cell r="U41">
            <v>7348904.9373563994</v>
          </cell>
          <cell r="V41">
            <v>-6017.7848009628224</v>
          </cell>
          <cell r="Y41">
            <v>0</v>
          </cell>
        </row>
        <row r="42">
          <cell r="A42" t="str">
            <v>AA6720</v>
          </cell>
          <cell r="B42">
            <v>36796</v>
          </cell>
          <cell r="C42" t="str">
            <v>APCL</v>
          </cell>
          <cell r="D42" t="str">
            <v>Forward</v>
          </cell>
          <cell r="E42" t="str">
            <v>C-CF-6</v>
          </cell>
          <cell r="F42" t="str">
            <v>EUR</v>
          </cell>
          <cell r="G42">
            <v>104438492.62</v>
          </cell>
          <cell r="H42" t="str">
            <v>CAD</v>
          </cell>
          <cell r="I42">
            <v>-138005024.15000001</v>
          </cell>
          <cell r="J42">
            <v>1.3213999999999999</v>
          </cell>
          <cell r="K42">
            <v>36882</v>
          </cell>
          <cell r="L42">
            <v>1.3190999999999999</v>
          </cell>
          <cell r="M42">
            <v>0</v>
          </cell>
          <cell r="N42">
            <v>-138119906.48995</v>
          </cell>
          <cell r="O42">
            <v>0</v>
          </cell>
          <cell r="P42">
            <v>113104.65470082725</v>
          </cell>
          <cell r="S42" t="str">
            <v>FXFC10</v>
          </cell>
          <cell r="T42">
            <v>138005024.15000001</v>
          </cell>
          <cell r="U42">
            <v>138119906.48995</v>
          </cell>
          <cell r="V42">
            <v>-113104.65470082725</v>
          </cell>
          <cell r="Y42">
            <v>0</v>
          </cell>
        </row>
        <row r="43">
          <cell r="A43" t="str">
            <v>AA6366</v>
          </cell>
          <cell r="B43">
            <v>36643</v>
          </cell>
          <cell r="C43" t="str">
            <v>APMC</v>
          </cell>
          <cell r="D43" t="str">
            <v>Forward</v>
          </cell>
          <cell r="E43" t="str">
            <v>C-CF-6</v>
          </cell>
          <cell r="F43" t="str">
            <v>GBP</v>
          </cell>
          <cell r="G43">
            <v>-35000000</v>
          </cell>
          <cell r="H43" t="str">
            <v>USD</v>
          </cell>
          <cell r="I43">
            <v>55252750</v>
          </cell>
          <cell r="J43">
            <v>1.5786500000000001</v>
          </cell>
          <cell r="K43">
            <v>36830</v>
          </cell>
          <cell r="L43">
            <v>1.4689000000000001</v>
          </cell>
          <cell r="M43">
            <v>0</v>
          </cell>
          <cell r="N43">
            <v>51504250.000000007</v>
          </cell>
          <cell r="O43">
            <v>0</v>
          </cell>
          <cell r="P43">
            <v>3726812.5614262922</v>
          </cell>
          <cell r="S43" t="str">
            <v>FXFC10</v>
          </cell>
          <cell r="T43">
            <v>-55252750</v>
          </cell>
          <cell r="U43">
            <v>-51504250.000000007</v>
          </cell>
          <cell r="V43">
            <v>-3726812.5614262922</v>
          </cell>
          <cell r="Y43">
            <v>0</v>
          </cell>
        </row>
        <row r="44">
          <cell r="A44" t="str">
            <v>AA6371</v>
          </cell>
          <cell r="B44">
            <v>36644</v>
          </cell>
          <cell r="C44" t="str">
            <v>APMC</v>
          </cell>
          <cell r="D44" t="str">
            <v>Forward</v>
          </cell>
          <cell r="E44" t="str">
            <v>C-CF-6</v>
          </cell>
          <cell r="F44" t="str">
            <v>GBP</v>
          </cell>
          <cell r="G44">
            <v>-1200308.45</v>
          </cell>
          <cell r="H44" t="str">
            <v>USD</v>
          </cell>
          <cell r="I44">
            <v>1879563</v>
          </cell>
          <cell r="J44">
            <v>1.5659000000000001</v>
          </cell>
          <cell r="K44">
            <v>36830</v>
          </cell>
          <cell r="L44">
            <v>1.4689000000000001</v>
          </cell>
          <cell r="M44">
            <v>0</v>
          </cell>
          <cell r="N44">
            <v>1731204.8774350001</v>
          </cell>
          <cell r="O44">
            <v>0</v>
          </cell>
          <cell r="P44">
            <v>147499.77718150301</v>
          </cell>
          <cell r="S44" t="str">
            <v>FXFC10</v>
          </cell>
          <cell r="T44">
            <v>-1879563</v>
          </cell>
          <cell r="U44">
            <v>-1731204.8774350001</v>
          </cell>
          <cell r="V44">
            <v>-147499.77718150301</v>
          </cell>
          <cell r="Y44">
            <v>0</v>
          </cell>
        </row>
        <row r="45">
          <cell r="A45" t="str">
            <v>AA6716</v>
          </cell>
          <cell r="B45">
            <v>36796</v>
          </cell>
          <cell r="C45" t="str">
            <v>APMC</v>
          </cell>
          <cell r="D45" t="str">
            <v>Forward</v>
          </cell>
          <cell r="E45" t="str">
            <v>DNQ</v>
          </cell>
          <cell r="F45" t="str">
            <v>CAD</v>
          </cell>
          <cell r="G45">
            <v>-8445520.8300000001</v>
          </cell>
          <cell r="H45" t="str">
            <v>USD</v>
          </cell>
          <cell r="I45">
            <v>5649177.8099999996</v>
          </cell>
          <cell r="J45">
            <v>1.4950000000000001</v>
          </cell>
          <cell r="K45">
            <v>36824</v>
          </cell>
          <cell r="L45">
            <v>1.503557</v>
          </cell>
          <cell r="M45">
            <v>0</v>
          </cell>
          <cell r="N45">
            <v>5617027.3757496392</v>
          </cell>
          <cell r="O45">
            <v>0</v>
          </cell>
          <cell r="P45">
            <v>31999.277466613014</v>
          </cell>
          <cell r="S45" t="str">
            <v>Intercompany Loan</v>
          </cell>
          <cell r="T45">
            <v>-5649177.8099999996</v>
          </cell>
          <cell r="U45">
            <v>-5617027.3757496392</v>
          </cell>
          <cell r="V45">
            <v>-31999.277466613014</v>
          </cell>
          <cell r="Y45">
            <v>0</v>
          </cell>
        </row>
        <row r="46">
          <cell r="A46" t="str">
            <v>AA6635</v>
          </cell>
          <cell r="B46">
            <v>36767</v>
          </cell>
          <cell r="C46" t="str">
            <v>APMC</v>
          </cell>
          <cell r="D46" t="str">
            <v>Forward</v>
          </cell>
          <cell r="E46" t="str">
            <v>DNQ</v>
          </cell>
          <cell r="F46" t="str">
            <v>EUR</v>
          </cell>
          <cell r="G46">
            <v>-7539468.3300000001</v>
          </cell>
          <cell r="H46" t="str">
            <v>USD</v>
          </cell>
          <cell r="I46">
            <v>6770442.5599999996</v>
          </cell>
          <cell r="J46">
            <v>0.89800000000000002</v>
          </cell>
          <cell r="K46">
            <v>36803</v>
          </cell>
          <cell r="L46">
            <v>0.87722</v>
          </cell>
          <cell r="M46">
            <v>0</v>
          </cell>
          <cell r="N46">
            <v>6613772.4084425997</v>
          </cell>
          <cell r="O46">
            <v>0</v>
          </cell>
          <cell r="P46">
            <v>156528.38485881983</v>
          </cell>
          <cell r="S46" t="str">
            <v>Intercompany Loan</v>
          </cell>
          <cell r="T46">
            <v>-6770442.5599999996</v>
          </cell>
          <cell r="U46">
            <v>-6613772.4084425997</v>
          </cell>
          <cell r="V46">
            <v>-156528.38485881983</v>
          </cell>
          <cell r="Y46">
            <v>0</v>
          </cell>
        </row>
        <row r="47">
          <cell r="A47" t="str">
            <v>AA6690</v>
          </cell>
          <cell r="B47">
            <v>36795</v>
          </cell>
          <cell r="C47" t="str">
            <v>APMC</v>
          </cell>
          <cell r="D47" t="str">
            <v>Forward</v>
          </cell>
          <cell r="E47" t="str">
            <v>DNQ</v>
          </cell>
          <cell r="F47" t="str">
            <v>EUR</v>
          </cell>
          <cell r="G47">
            <v>-1702018.84</v>
          </cell>
          <cell r="H47" t="str">
            <v>USD</v>
          </cell>
          <cell r="I47">
            <v>1499478.6</v>
          </cell>
          <cell r="J47">
            <v>0.88100000000000001</v>
          </cell>
          <cell r="K47">
            <v>36805</v>
          </cell>
          <cell r="L47">
            <v>0.877328</v>
          </cell>
          <cell r="M47">
            <v>0</v>
          </cell>
          <cell r="N47">
            <v>1493228.7848595202</v>
          </cell>
          <cell r="O47">
            <v>0</v>
          </cell>
          <cell r="P47">
            <v>6241.8966695062009</v>
          </cell>
          <cell r="S47" t="str">
            <v>Intercompany Loan</v>
          </cell>
          <cell r="T47">
            <v>-1499478.6</v>
          </cell>
          <cell r="U47">
            <v>-1493228.7848595202</v>
          </cell>
          <cell r="V47">
            <v>-6241.8966695062009</v>
          </cell>
          <cell r="Y47">
            <v>0</v>
          </cell>
        </row>
        <row r="48">
          <cell r="A48" t="str">
            <v>AA6701</v>
          </cell>
          <cell r="B48">
            <v>36796</v>
          </cell>
          <cell r="C48" t="str">
            <v>APMC</v>
          </cell>
          <cell r="D48" t="str">
            <v>Forward</v>
          </cell>
          <cell r="E48" t="str">
            <v>DNQ</v>
          </cell>
          <cell r="F48" t="str">
            <v>EUR</v>
          </cell>
          <cell r="G48">
            <v>-26587625.600000001</v>
          </cell>
          <cell r="H48" t="str">
            <v>USD</v>
          </cell>
          <cell r="I48">
            <v>23530048.66</v>
          </cell>
          <cell r="J48">
            <v>0.88500000000000001</v>
          </cell>
          <cell r="K48">
            <v>36830</v>
          </cell>
          <cell r="L48">
            <v>0.87865599999999999</v>
          </cell>
          <cell r="M48">
            <v>0</v>
          </cell>
          <cell r="N48">
            <v>23361376.759193603</v>
          </cell>
          <cell r="O48">
            <v>0</v>
          </cell>
          <cell r="P48">
            <v>167696.02739360594</v>
          </cell>
          <cell r="S48" t="str">
            <v>Intercompany Loan</v>
          </cell>
          <cell r="T48">
            <v>-23530048.66</v>
          </cell>
          <cell r="U48">
            <v>-23361376.759193603</v>
          </cell>
          <cell r="V48">
            <v>-167696.02739360594</v>
          </cell>
          <cell r="Y48">
            <v>0</v>
          </cell>
        </row>
        <row r="49">
          <cell r="A49" t="str">
            <v>AA6688</v>
          </cell>
          <cell r="B49">
            <v>36795</v>
          </cell>
          <cell r="C49" t="str">
            <v>APMC</v>
          </cell>
          <cell r="D49" t="str">
            <v>Forward</v>
          </cell>
          <cell r="E49" t="str">
            <v>DNQ</v>
          </cell>
          <cell r="F49" t="str">
            <v>SGD</v>
          </cell>
          <cell r="G49">
            <v>-13825238.08</v>
          </cell>
          <cell r="H49" t="str">
            <v>USD</v>
          </cell>
          <cell r="I49">
            <v>8012308.3600000003</v>
          </cell>
          <cell r="J49">
            <v>1.2549999999999999</v>
          </cell>
          <cell r="K49">
            <v>36882</v>
          </cell>
          <cell r="L49">
            <v>1.722728</v>
          </cell>
          <cell r="M49">
            <v>0</v>
          </cell>
          <cell r="N49">
            <v>8025200.7745854249</v>
          </cell>
          <cell r="O49">
            <v>0</v>
          </cell>
          <cell r="P49">
            <v>-12692.917819910899</v>
          </cell>
          <cell r="S49" t="str">
            <v>Intercompany Loan</v>
          </cell>
          <cell r="T49">
            <v>-8012308.3600000003</v>
          </cell>
          <cell r="U49">
            <v>-8025200.7745854249</v>
          </cell>
          <cell r="V49">
            <v>12692.917819910899</v>
          </cell>
          <cell r="Y49">
            <v>0</v>
          </cell>
        </row>
        <row r="50">
          <cell r="A50" t="str">
            <v>AA6713</v>
          </cell>
          <cell r="B50">
            <v>36796</v>
          </cell>
          <cell r="C50" t="str">
            <v>APMC</v>
          </cell>
          <cell r="D50" t="str">
            <v>Forward</v>
          </cell>
          <cell r="E50" t="str">
            <v>DNQ</v>
          </cell>
          <cell r="F50" t="str">
            <v>SGD</v>
          </cell>
          <cell r="G50">
            <v>3527028.91</v>
          </cell>
          <cell r="H50" t="str">
            <v>USD</v>
          </cell>
          <cell r="I50">
            <v>-2042286.57</v>
          </cell>
          <cell r="J50">
            <v>1.7270000000000001</v>
          </cell>
          <cell r="K50">
            <v>36882</v>
          </cell>
          <cell r="L50">
            <v>1.722728</v>
          </cell>
          <cell r="M50">
            <v>0</v>
          </cell>
          <cell r="N50">
            <v>-2047351.0095615792</v>
          </cell>
          <cell r="O50">
            <v>0</v>
          </cell>
          <cell r="P50">
            <v>4986.0726036303331</v>
          </cell>
          <cell r="S50" t="str">
            <v>Intercompany Loan</v>
          </cell>
          <cell r="T50">
            <v>2042286.57</v>
          </cell>
          <cell r="U50">
            <v>2047351.0095615792</v>
          </cell>
          <cell r="V50">
            <v>-4986.0726036303331</v>
          </cell>
          <cell r="Y50">
            <v>0</v>
          </cell>
        </row>
        <row r="51">
          <cell r="A51" t="str">
            <v>AA6709</v>
          </cell>
          <cell r="B51">
            <v>36796</v>
          </cell>
          <cell r="C51" t="str">
            <v>APSING</v>
          </cell>
          <cell r="D51" t="str">
            <v>Forward</v>
          </cell>
          <cell r="E51" t="str">
            <v>DNQ</v>
          </cell>
          <cell r="F51" t="str">
            <v>AUD</v>
          </cell>
          <cell r="G51">
            <v>1627572.72</v>
          </cell>
          <cell r="H51" t="str">
            <v>SGD</v>
          </cell>
          <cell r="I51">
            <v>-1560191.21</v>
          </cell>
          <cell r="J51">
            <v>0.95860000000000001</v>
          </cell>
          <cell r="K51">
            <v>36803</v>
          </cell>
          <cell r="L51">
            <v>0.93958399999999997</v>
          </cell>
          <cell r="M51">
            <v>0</v>
          </cell>
          <cell r="N51">
            <v>-1529241.2865484799</v>
          </cell>
          <cell r="O51">
            <v>0</v>
          </cell>
          <cell r="P51">
            <v>-30921.917679996797</v>
          </cell>
          <cell r="S51" t="str">
            <v>Intercompany Loan</v>
          </cell>
          <cell r="T51">
            <v>1560191.21</v>
          </cell>
          <cell r="U51">
            <v>1529241.2865484799</v>
          </cell>
          <cell r="V51">
            <v>30921.917679996797</v>
          </cell>
          <cell r="Y51">
            <v>0</v>
          </cell>
        </row>
        <row r="52">
          <cell r="A52" t="str">
            <v>AA6711</v>
          </cell>
          <cell r="B52">
            <v>36796</v>
          </cell>
          <cell r="C52" t="str">
            <v>APSING</v>
          </cell>
          <cell r="D52" t="str">
            <v>Forward</v>
          </cell>
          <cell r="E52" t="str">
            <v>DNQ</v>
          </cell>
          <cell r="F52" t="str">
            <v>HKD</v>
          </cell>
          <cell r="G52">
            <v>12110615.23</v>
          </cell>
          <cell r="H52" t="str">
            <v>SGD</v>
          </cell>
          <cell r="I52">
            <v>-2699649.9</v>
          </cell>
          <cell r="J52">
            <v>0.222915</v>
          </cell>
          <cell r="K52">
            <v>36825</v>
          </cell>
          <cell r="L52">
            <v>0.22247500000000001</v>
          </cell>
          <cell r="M52">
            <v>0</v>
          </cell>
          <cell r="N52">
            <v>-2694309.1232942501</v>
          </cell>
          <cell r="O52">
            <v>0</v>
          </cell>
          <cell r="P52">
            <v>-5314.7023191836452</v>
          </cell>
          <cell r="S52" t="str">
            <v>Intercompany Loan</v>
          </cell>
          <cell r="T52">
            <v>2699649.9</v>
          </cell>
          <cell r="U52">
            <v>2694309.1232942501</v>
          </cell>
          <cell r="V52">
            <v>5314.7023191836452</v>
          </cell>
          <cell r="Y52">
            <v>0</v>
          </cell>
        </row>
        <row r="53">
          <cell r="A53" t="str">
            <v>AA6666</v>
          </cell>
          <cell r="B53">
            <v>36784</v>
          </cell>
          <cell r="C53" t="str">
            <v>APSING</v>
          </cell>
          <cell r="D53" t="str">
            <v>Forward</v>
          </cell>
          <cell r="E53" t="str">
            <v>DNQ</v>
          </cell>
          <cell r="F53" t="str">
            <v>USD</v>
          </cell>
          <cell r="G53">
            <v>1537072.77</v>
          </cell>
          <cell r="H53" t="str">
            <v>SGD</v>
          </cell>
          <cell r="I53">
            <v>-2653756.14</v>
          </cell>
          <cell r="J53">
            <v>1.7264999999999999</v>
          </cell>
          <cell r="K53">
            <v>36889</v>
          </cell>
          <cell r="L53">
            <v>1.7213560000000001</v>
          </cell>
          <cell r="M53">
            <v>0</v>
          </cell>
          <cell r="N53">
            <v>-2645849.4350761203</v>
          </cell>
          <cell r="O53">
            <v>0</v>
          </cell>
          <cell r="P53">
            <v>-7773.6035347271163</v>
          </cell>
          <cell r="S53" t="str">
            <v>Intercompany Loan</v>
          </cell>
          <cell r="T53">
            <v>2653756.14</v>
          </cell>
          <cell r="U53">
            <v>2645849.4350761203</v>
          </cell>
          <cell r="V53">
            <v>7773.6035347271163</v>
          </cell>
          <cell r="Y53">
            <v>0</v>
          </cell>
        </row>
        <row r="54">
          <cell r="A54" t="str">
            <v>AA6669</v>
          </cell>
          <cell r="B54">
            <v>36788</v>
          </cell>
          <cell r="C54" t="str">
            <v>KIG LTD</v>
          </cell>
          <cell r="D54" t="str">
            <v>Forward</v>
          </cell>
          <cell r="E54" t="str">
            <v>DNQ</v>
          </cell>
          <cell r="F54" t="str">
            <v>USD</v>
          </cell>
          <cell r="G54">
            <v>694658.65</v>
          </cell>
          <cell r="H54" t="str">
            <v>KRW</v>
          </cell>
          <cell r="I54">
            <v>-786492523.52999997</v>
          </cell>
          <cell r="J54">
            <v>1132.2</v>
          </cell>
          <cell r="K54">
            <v>36824</v>
          </cell>
          <cell r="L54">
            <v>1116.25</v>
          </cell>
          <cell r="M54">
            <v>0</v>
          </cell>
          <cell r="N54">
            <v>-775412718.0625</v>
          </cell>
          <cell r="O54">
            <v>0</v>
          </cell>
          <cell r="P54">
            <v>-11027713.239259083</v>
          </cell>
          <cell r="S54" t="str">
            <v>3rd Party Non-Functional Debt</v>
          </cell>
          <cell r="T54">
            <v>786492523.52999997</v>
          </cell>
          <cell r="U54">
            <v>775412718.0625</v>
          </cell>
          <cell r="V54">
            <v>11027713.239259083</v>
          </cell>
          <cell r="Y54">
            <v>0</v>
          </cell>
        </row>
        <row r="55">
          <cell r="A55" t="str">
            <v>AA6670</v>
          </cell>
          <cell r="B55">
            <v>36788</v>
          </cell>
          <cell r="C55" t="str">
            <v>KIG LTD</v>
          </cell>
          <cell r="D55" t="str">
            <v>Forward</v>
          </cell>
          <cell r="E55" t="str">
            <v>DNQ</v>
          </cell>
          <cell r="F55" t="str">
            <v>USD</v>
          </cell>
          <cell r="G55">
            <v>685858.78</v>
          </cell>
          <cell r="H55" t="str">
            <v>KRW</v>
          </cell>
          <cell r="I55">
            <v>-776872240.11000001</v>
          </cell>
          <cell r="J55">
            <v>1132.7</v>
          </cell>
          <cell r="K55">
            <v>36852</v>
          </cell>
          <cell r="L55">
            <v>1116.5</v>
          </cell>
          <cell r="M55">
            <v>0</v>
          </cell>
          <cell r="N55">
            <v>-765761327.87</v>
          </cell>
          <cell r="O55">
            <v>0</v>
          </cell>
          <cell r="P55">
            <v>-11002380.937096484</v>
          </cell>
          <cell r="S55" t="str">
            <v>3rd Party Non-Functional Debt</v>
          </cell>
          <cell r="T55">
            <v>776872240.11000001</v>
          </cell>
          <cell r="U55">
            <v>765761327.87</v>
          </cell>
          <cell r="V55">
            <v>11002380.937096484</v>
          </cell>
          <cell r="Y55">
            <v>0</v>
          </cell>
        </row>
        <row r="56">
          <cell r="A56" t="str">
            <v>AA6671</v>
          </cell>
          <cell r="B56">
            <v>36788</v>
          </cell>
          <cell r="C56" t="str">
            <v>KIG LTD</v>
          </cell>
          <cell r="D56" t="str">
            <v>Forward</v>
          </cell>
          <cell r="E56" t="str">
            <v>DNQ</v>
          </cell>
          <cell r="F56" t="str">
            <v>USD</v>
          </cell>
          <cell r="G56">
            <v>356109.15</v>
          </cell>
          <cell r="H56" t="str">
            <v>KRW</v>
          </cell>
          <cell r="I56">
            <v>-403749432.08999997</v>
          </cell>
          <cell r="J56">
            <v>1133.78</v>
          </cell>
          <cell r="K56">
            <v>36917</v>
          </cell>
          <cell r="L56">
            <v>1116.8499999999999</v>
          </cell>
          <cell r="M56">
            <v>0</v>
          </cell>
          <cell r="N56">
            <v>-397720504.17750001</v>
          </cell>
          <cell r="O56">
            <v>0</v>
          </cell>
          <cell r="P56">
            <v>-5897114.7293548631</v>
          </cell>
          <cell r="S56" t="str">
            <v>3rd Party Non-Functional Debt</v>
          </cell>
          <cell r="T56">
            <v>403749432.08999997</v>
          </cell>
          <cell r="U56">
            <v>397720504.17750001</v>
          </cell>
          <cell r="V56">
            <v>5897114.7293548631</v>
          </cell>
          <cell r="Y56">
            <v>0</v>
          </cell>
        </row>
        <row r="58">
          <cell r="V58" t="str">
            <v>AGGREGATE INEFFECTIVENESS (US$)</v>
          </cell>
          <cell r="Y58">
            <v>0</v>
          </cell>
        </row>
        <row r="59">
          <cell r="A59" t="str">
            <v>CONTRACTS OF NON-CONSOLIDATED EQUITY AFFILIATES</v>
          </cell>
        </row>
        <row r="60">
          <cell r="M60">
            <v>0</v>
          </cell>
          <cell r="N60">
            <v>0</v>
          </cell>
          <cell r="O60">
            <v>0</v>
          </cell>
          <cell r="P60">
            <v>0</v>
          </cell>
          <cell r="T60">
            <v>0</v>
          </cell>
          <cell r="U60">
            <v>0</v>
          </cell>
          <cell r="V60">
            <v>0</v>
          </cell>
          <cell r="Y60">
            <v>0</v>
          </cell>
        </row>
        <row r="61">
          <cell r="V61" t="str">
            <v>AGGREGATE INEFFECTIVENESS (NON-APCI CONTROLLED)</v>
          </cell>
          <cell r="Y61">
            <v>0</v>
          </cell>
        </row>
        <row r="64">
          <cell r="A64" t="str">
            <v>NOTE:</v>
          </cell>
        </row>
        <row r="65">
          <cell r="A65" t="str">
            <v>(1) DNQ = Does Not Qaulify for hedge accounting treatment.</v>
          </cell>
        </row>
      </sheetData>
      <sheetData sheetId="1" refreshError="1">
        <row r="5">
          <cell r="G5" t="str">
            <v>Buy/(Sold)</v>
          </cell>
          <cell r="I5" t="str">
            <v>Buy/(Sold)</v>
          </cell>
          <cell r="J5" t="str">
            <v>Contract /</v>
          </cell>
          <cell r="L5" t="str">
            <v>Current</v>
          </cell>
          <cell r="N5" t="str">
            <v>Current</v>
          </cell>
          <cell r="P5" t="str">
            <v>Gain /(Loss)</v>
          </cell>
          <cell r="U5" t="str">
            <v xml:space="preserve">Current </v>
          </cell>
          <cell r="V5" t="str">
            <v>Gain /(Loss)</v>
          </cell>
        </row>
        <row r="6">
          <cell r="A6" t="str">
            <v>APPLC</v>
          </cell>
          <cell r="B6" t="str">
            <v xml:space="preserve">Trade </v>
          </cell>
          <cell r="C6" t="str">
            <v xml:space="preserve">Legal </v>
          </cell>
          <cell r="D6" t="str">
            <v>Hedge</v>
          </cell>
          <cell r="E6" t="str">
            <v>Hedge</v>
          </cell>
          <cell r="F6" t="str">
            <v>Exposure</v>
          </cell>
          <cell r="G6" t="str">
            <v>FX</v>
          </cell>
          <cell r="H6" t="str">
            <v>Base</v>
          </cell>
          <cell r="I6" t="str">
            <v>Base</v>
          </cell>
          <cell r="J6" t="str">
            <v>Strike</v>
          </cell>
          <cell r="K6" t="str">
            <v>Maturity</v>
          </cell>
          <cell r="L6" t="str">
            <v>Market</v>
          </cell>
          <cell r="N6" t="str">
            <v>Market Value</v>
          </cell>
          <cell r="P6" t="str">
            <v>Mark-to-</v>
          </cell>
          <cell r="S6" t="str">
            <v>Hedged Item</v>
          </cell>
          <cell r="T6" t="str">
            <v>Original</v>
          </cell>
          <cell r="U6" t="str">
            <v>Market</v>
          </cell>
          <cell r="V6" t="str">
            <v>Mark-to-</v>
          </cell>
          <cell r="Y6" t="str">
            <v>Hedge</v>
          </cell>
        </row>
        <row r="7">
          <cell r="A7" t="str">
            <v>Reference</v>
          </cell>
          <cell r="B7" t="str">
            <v>Date</v>
          </cell>
          <cell r="C7" t="str">
            <v>Entity</v>
          </cell>
          <cell r="D7" t="str">
            <v>Instrument</v>
          </cell>
          <cell r="E7" t="str">
            <v>Type</v>
          </cell>
          <cell r="F7" t="str">
            <v>Currency</v>
          </cell>
          <cell r="G7" t="str">
            <v>Amount</v>
          </cell>
          <cell r="H7" t="str">
            <v>Currency</v>
          </cell>
          <cell r="I7" t="str">
            <v>Equivalent</v>
          </cell>
          <cell r="J7" t="str">
            <v>Rate</v>
          </cell>
          <cell r="K7" t="str">
            <v>Date</v>
          </cell>
          <cell r="L7" t="str">
            <v>Rate</v>
          </cell>
          <cell r="M7" t="str">
            <v>Premium</v>
          </cell>
          <cell r="N7" t="str">
            <v>Intrinsic</v>
          </cell>
          <cell r="O7" t="str">
            <v>Time</v>
          </cell>
          <cell r="P7" t="str">
            <v>Market</v>
          </cell>
          <cell r="S7" t="str">
            <v>(See FX Description Codes)</v>
          </cell>
          <cell r="T7" t="str">
            <v>Value</v>
          </cell>
          <cell r="U7" t="str">
            <v>Value</v>
          </cell>
          <cell r="V7" t="str">
            <v>Market</v>
          </cell>
          <cell r="Y7" t="str">
            <v>Ineffectiveness</v>
          </cell>
        </row>
        <row r="8">
          <cell r="A8" t="str">
            <v>for2976</v>
          </cell>
          <cell r="B8">
            <v>36671</v>
          </cell>
          <cell r="C8" t="str">
            <v>APPLC</v>
          </cell>
          <cell r="D8" t="str">
            <v>Forward</v>
          </cell>
          <cell r="E8" t="str">
            <v>DNQ</v>
          </cell>
          <cell r="F8" t="str">
            <v>CHF</v>
          </cell>
          <cell r="G8">
            <v>-1316000</v>
          </cell>
          <cell r="H8" t="str">
            <v>GBP</v>
          </cell>
          <cell r="I8">
            <v>522823.88462913671</v>
          </cell>
          <cell r="J8">
            <v>2.5171000000000001</v>
          </cell>
          <cell r="K8">
            <v>36860</v>
          </cell>
          <cell r="L8">
            <v>2.4763999999999999</v>
          </cell>
          <cell r="M8">
            <v>0</v>
          </cell>
          <cell r="N8">
            <v>531416.57244387013</v>
          </cell>
          <cell r="O8">
            <v>0</v>
          </cell>
          <cell r="P8">
            <v>-8503.3508691781208</v>
          </cell>
          <cell r="U8">
            <v>0</v>
          </cell>
          <cell r="V8">
            <v>0</v>
          </cell>
          <cell r="Y8">
            <v>-8503.3508691781208</v>
          </cell>
        </row>
        <row r="9">
          <cell r="A9" t="str">
            <v>for2977</v>
          </cell>
          <cell r="B9">
            <v>36671</v>
          </cell>
          <cell r="C9" t="str">
            <v>APPLC</v>
          </cell>
          <cell r="D9" t="str">
            <v>Forward</v>
          </cell>
          <cell r="E9" t="str">
            <v>DNQ</v>
          </cell>
          <cell r="F9" t="str">
            <v>CHF</v>
          </cell>
          <cell r="G9">
            <v>-1483000</v>
          </cell>
          <cell r="H9" t="str">
            <v>GBP</v>
          </cell>
          <cell r="I9">
            <v>598080.33553798997</v>
          </cell>
          <cell r="J9">
            <v>2.4796</v>
          </cell>
          <cell r="K9">
            <v>37103</v>
          </cell>
          <cell r="L9">
            <v>2.4409000000000001</v>
          </cell>
          <cell r="M9">
            <v>0</v>
          </cell>
          <cell r="N9">
            <v>607562.78421893565</v>
          </cell>
          <cell r="O9">
            <v>0</v>
          </cell>
          <cell r="P9">
            <v>-8992.7228009667269</v>
          </cell>
          <cell r="U9">
            <v>0</v>
          </cell>
          <cell r="V9">
            <v>0</v>
          </cell>
          <cell r="Y9">
            <v>-8992.7228009667269</v>
          </cell>
        </row>
        <row r="10">
          <cell r="A10" t="str">
            <v>for2603</v>
          </cell>
          <cell r="B10">
            <v>36287</v>
          </cell>
          <cell r="C10" t="str">
            <v>APPLC</v>
          </cell>
          <cell r="D10" t="str">
            <v>Swap</v>
          </cell>
          <cell r="E10" t="str">
            <v>C-CF-2</v>
          </cell>
          <cell r="F10" t="str">
            <v>EUR</v>
          </cell>
          <cell r="G10">
            <v>-174000</v>
          </cell>
          <cell r="H10" t="str">
            <v>GBP</v>
          </cell>
          <cell r="I10">
            <v>119416.2</v>
          </cell>
          <cell r="J10">
            <v>0.68630000000000002</v>
          </cell>
          <cell r="K10">
            <v>36830</v>
          </cell>
          <cell r="L10">
            <v>0.62021999999999999</v>
          </cell>
          <cell r="M10">
            <v>0</v>
          </cell>
          <cell r="N10">
            <v>107918.28</v>
          </cell>
          <cell r="O10">
            <v>0</v>
          </cell>
          <cell r="P10">
            <v>11436.548442356463</v>
          </cell>
          <cell r="S10" t="str">
            <v>FXFC05</v>
          </cell>
          <cell r="T10">
            <v>119416.2</v>
          </cell>
          <cell r="U10">
            <v>107918.28</v>
          </cell>
          <cell r="V10">
            <v>11436.548442356463</v>
          </cell>
          <cell r="Y10">
            <v>0</v>
          </cell>
        </row>
        <row r="11">
          <cell r="A11" t="str">
            <v>for2903</v>
          </cell>
          <cell r="B11">
            <v>36599</v>
          </cell>
          <cell r="C11" t="str">
            <v>APPLC</v>
          </cell>
          <cell r="D11" t="str">
            <v>Forward</v>
          </cell>
          <cell r="E11" t="str">
            <v>C-CF-2</v>
          </cell>
          <cell r="F11" t="str">
            <v>EUR</v>
          </cell>
          <cell r="G11">
            <v>-7500000</v>
          </cell>
          <cell r="H11" t="str">
            <v>GBP</v>
          </cell>
          <cell r="I11">
            <v>4664542.5</v>
          </cell>
          <cell r="J11">
            <v>0.62193900000000002</v>
          </cell>
          <cell r="K11">
            <v>36860</v>
          </cell>
          <cell r="L11">
            <v>0.62082000000000004</v>
          </cell>
          <cell r="M11">
            <v>0</v>
          </cell>
          <cell r="N11">
            <v>4656150</v>
          </cell>
          <cell r="O11">
            <v>0</v>
          </cell>
          <cell r="P11">
            <v>8305.2443785066553</v>
          </cell>
          <cell r="S11" t="str">
            <v>FXFC05</v>
          </cell>
          <cell r="T11">
            <v>1665552.642</v>
          </cell>
          <cell r="U11">
            <v>1662555.96</v>
          </cell>
          <cell r="V11">
            <v>2965.5259260854723</v>
          </cell>
          <cell r="Y11">
            <v>5339.7184524211825</v>
          </cell>
        </row>
        <row r="12">
          <cell r="A12" t="str">
            <v>for2904</v>
          </cell>
          <cell r="B12">
            <v>36599</v>
          </cell>
          <cell r="C12" t="str">
            <v>APPLC</v>
          </cell>
          <cell r="D12" t="str">
            <v>Forward</v>
          </cell>
          <cell r="E12" t="str">
            <v>DNQ</v>
          </cell>
          <cell r="F12" t="str">
            <v>EUR</v>
          </cell>
          <cell r="G12">
            <v>-4056000</v>
          </cell>
          <cell r="H12" t="str">
            <v>GBP</v>
          </cell>
          <cell r="I12">
            <v>2551378.128</v>
          </cell>
          <cell r="J12">
            <v>0.62903799999999999</v>
          </cell>
          <cell r="K12">
            <v>37071</v>
          </cell>
          <cell r="L12">
            <v>0.62461999999999995</v>
          </cell>
          <cell r="M12">
            <v>0</v>
          </cell>
          <cell r="N12">
            <v>2533458.7199999997</v>
          </cell>
          <cell r="O12">
            <v>0</v>
          </cell>
          <cell r="P12">
            <v>17090.997585299861</v>
          </cell>
          <cell r="U12">
            <v>0</v>
          </cell>
          <cell r="V12">
            <v>0</v>
          </cell>
          <cell r="Y12">
            <v>17090.997585299861</v>
          </cell>
        </row>
        <row r="13">
          <cell r="A13" t="str">
            <v>for2917</v>
          </cell>
          <cell r="B13">
            <v>36614</v>
          </cell>
          <cell r="C13" t="str">
            <v>APPLC</v>
          </cell>
          <cell r="D13" t="str">
            <v>Forward</v>
          </cell>
          <cell r="E13" t="str">
            <v>DNQ</v>
          </cell>
          <cell r="F13" t="str">
            <v>EUR</v>
          </cell>
          <cell r="G13">
            <v>-734000</v>
          </cell>
          <cell r="H13" t="str">
            <v>GBP</v>
          </cell>
          <cell r="I13">
            <v>446711.66600000003</v>
          </cell>
          <cell r="J13">
            <v>0.608599</v>
          </cell>
          <cell r="K13">
            <v>36769</v>
          </cell>
          <cell r="L13">
            <v>0.61872000000000005</v>
          </cell>
          <cell r="M13">
            <v>0</v>
          </cell>
          <cell r="N13">
            <v>454140.48000000004</v>
          </cell>
          <cell r="O13">
            <v>0</v>
          </cell>
          <cell r="P13" t="e">
            <v>#N/A</v>
          </cell>
          <cell r="U13">
            <v>0</v>
          </cell>
          <cell r="V13" t="e">
            <v>#N/A</v>
          </cell>
          <cell r="Y13" t="e">
            <v>#N/A</v>
          </cell>
        </row>
        <row r="14">
          <cell r="A14" t="str">
            <v>for2973</v>
          </cell>
          <cell r="B14">
            <v>36671</v>
          </cell>
          <cell r="C14" t="str">
            <v>APPLC</v>
          </cell>
          <cell r="D14" t="str">
            <v>Swap</v>
          </cell>
          <cell r="E14" t="str">
            <v>C-CF-2</v>
          </cell>
          <cell r="F14" t="str">
            <v>EUR</v>
          </cell>
          <cell r="G14">
            <v>-1023000</v>
          </cell>
          <cell r="H14" t="str">
            <v>GBP</v>
          </cell>
          <cell r="I14">
            <v>628326.60000000009</v>
          </cell>
          <cell r="J14">
            <v>0.61420000000000008</v>
          </cell>
          <cell r="K14">
            <v>36798</v>
          </cell>
          <cell r="L14">
            <v>0.61941999999999997</v>
          </cell>
          <cell r="M14">
            <v>0</v>
          </cell>
          <cell r="N14">
            <v>633666.65999999992</v>
          </cell>
          <cell r="O14">
            <v>0</v>
          </cell>
          <cell r="P14" t="e">
            <v>#N/A</v>
          </cell>
          <cell r="S14" t="str">
            <v>FXFC01</v>
          </cell>
          <cell r="T14">
            <v>628326.60000000009</v>
          </cell>
          <cell r="U14">
            <v>633666.65999999992</v>
          </cell>
          <cell r="V14" t="e">
            <v>#N/A</v>
          </cell>
          <cell r="Y14" t="e">
            <v>#N/A</v>
          </cell>
        </row>
        <row r="15">
          <cell r="A15" t="str">
            <v>for2995</v>
          </cell>
          <cell r="B15">
            <v>36705</v>
          </cell>
          <cell r="C15" t="str">
            <v>APPLC</v>
          </cell>
          <cell r="D15" t="str">
            <v>Swap</v>
          </cell>
          <cell r="E15" t="str">
            <v>C-CF-2</v>
          </cell>
          <cell r="F15" t="str">
            <v>EUR</v>
          </cell>
          <cell r="G15">
            <v>-1137000</v>
          </cell>
          <cell r="H15" t="str">
            <v>GBP</v>
          </cell>
          <cell r="I15">
            <v>716736.375</v>
          </cell>
          <cell r="J15">
            <v>0.63037500000000002</v>
          </cell>
          <cell r="K15">
            <v>36798</v>
          </cell>
          <cell r="L15">
            <v>0.61941999999999997</v>
          </cell>
          <cell r="M15">
            <v>0</v>
          </cell>
          <cell r="N15">
            <v>704280.53999999992</v>
          </cell>
          <cell r="O15">
            <v>0</v>
          </cell>
          <cell r="P15" t="e">
            <v>#N/A</v>
          </cell>
          <cell r="S15" t="str">
            <v>FXFC01</v>
          </cell>
          <cell r="T15">
            <v>716736.375</v>
          </cell>
          <cell r="U15">
            <v>704280.53999999992</v>
          </cell>
          <cell r="V15" t="e">
            <v>#N/A</v>
          </cell>
          <cell r="Y15" t="e">
            <v>#N/A</v>
          </cell>
        </row>
        <row r="16">
          <cell r="A16" t="str">
            <v>for3021</v>
          </cell>
          <cell r="B16">
            <v>36719</v>
          </cell>
          <cell r="C16" t="str">
            <v>APPLC</v>
          </cell>
          <cell r="D16" t="str">
            <v>Forward</v>
          </cell>
          <cell r="E16" t="str">
            <v>C-CF-2</v>
          </cell>
          <cell r="F16" t="str">
            <v>EUR</v>
          </cell>
          <cell r="G16">
            <v>-1477480.34</v>
          </cell>
          <cell r="H16" t="str">
            <v>GBP</v>
          </cell>
          <cell r="I16">
            <v>930000.00001299998</v>
          </cell>
          <cell r="J16">
            <v>0.62944999999999995</v>
          </cell>
          <cell r="K16">
            <v>36798</v>
          </cell>
          <cell r="L16">
            <v>0.61941999999999997</v>
          </cell>
          <cell r="M16">
            <v>0</v>
          </cell>
          <cell r="N16">
            <v>915180.8722028</v>
          </cell>
          <cell r="O16">
            <v>0</v>
          </cell>
          <cell r="P16" t="e">
            <v>#N/A</v>
          </cell>
          <cell r="S16" t="str">
            <v>FXFC01</v>
          </cell>
          <cell r="T16">
            <v>930000.00001299998</v>
          </cell>
          <cell r="U16">
            <v>915180.8722028</v>
          </cell>
          <cell r="V16" t="e">
            <v>#N/A</v>
          </cell>
          <cell r="Y16" t="e">
            <v>#N/A</v>
          </cell>
        </row>
        <row r="17">
          <cell r="A17" t="str">
            <v>for3022</v>
          </cell>
          <cell r="B17">
            <v>36719</v>
          </cell>
          <cell r="C17" t="str">
            <v>APPLC</v>
          </cell>
          <cell r="D17" t="str">
            <v>Forward</v>
          </cell>
          <cell r="E17" t="str">
            <v>C-CF-2</v>
          </cell>
          <cell r="F17" t="str">
            <v>EUR</v>
          </cell>
          <cell r="G17">
            <v>-2198061.92</v>
          </cell>
          <cell r="H17" t="str">
            <v>GBP</v>
          </cell>
          <cell r="I17">
            <v>1394999.9975279998</v>
          </cell>
          <cell r="J17">
            <v>0.63464999999999994</v>
          </cell>
          <cell r="K17">
            <v>37071</v>
          </cell>
          <cell r="L17">
            <v>0.62461999999999995</v>
          </cell>
          <cell r="M17">
            <v>0</v>
          </cell>
          <cell r="N17">
            <v>1372953.4364703998</v>
          </cell>
          <cell r="O17">
            <v>0</v>
          </cell>
          <cell r="P17">
            <v>21027.353236200706</v>
          </cell>
          <cell r="S17" t="str">
            <v>FXFC01</v>
          </cell>
          <cell r="T17">
            <v>1394999.9975279998</v>
          </cell>
          <cell r="U17">
            <v>1372953.4364703998</v>
          </cell>
          <cell r="V17">
            <v>21027.353236200706</v>
          </cell>
          <cell r="Y17">
            <v>0</v>
          </cell>
        </row>
        <row r="18">
          <cell r="A18" t="str">
            <v>for3042</v>
          </cell>
          <cell r="B18">
            <v>36734</v>
          </cell>
          <cell r="C18" t="str">
            <v>APPLC</v>
          </cell>
          <cell r="D18" t="str">
            <v>Swap</v>
          </cell>
          <cell r="E18" t="str">
            <v>C-CF-2</v>
          </cell>
          <cell r="F18" t="str">
            <v>EUR</v>
          </cell>
          <cell r="G18">
            <v>-171000</v>
          </cell>
          <cell r="H18" t="str">
            <v>GBP</v>
          </cell>
          <cell r="I18">
            <v>106280.77499999999</v>
          </cell>
          <cell r="J18">
            <v>0.62152499999999999</v>
          </cell>
          <cell r="K18">
            <v>36798</v>
          </cell>
          <cell r="L18">
            <v>0.61941999999999997</v>
          </cell>
          <cell r="M18">
            <v>0</v>
          </cell>
          <cell r="N18">
            <v>105920.81999999999</v>
          </cell>
          <cell r="O18">
            <v>0</v>
          </cell>
          <cell r="P18" t="e">
            <v>#N/A</v>
          </cell>
          <cell r="S18" t="str">
            <v>FXFC05</v>
          </cell>
          <cell r="T18">
            <v>106280.77499999999</v>
          </cell>
          <cell r="U18">
            <v>105920.81999999999</v>
          </cell>
          <cell r="V18" t="e">
            <v>#N/A</v>
          </cell>
          <cell r="Y18" t="e">
            <v>#N/A</v>
          </cell>
        </row>
        <row r="19">
          <cell r="A19" t="str">
            <v>for3047</v>
          </cell>
          <cell r="B19">
            <v>36734</v>
          </cell>
          <cell r="C19" t="str">
            <v>APPLC</v>
          </cell>
          <cell r="D19" t="str">
            <v>Forward</v>
          </cell>
          <cell r="E19" t="str">
            <v>C-CF-2</v>
          </cell>
          <cell r="F19" t="str">
            <v>EUR</v>
          </cell>
          <cell r="G19">
            <v>-1176000</v>
          </cell>
          <cell r="H19" t="str">
            <v>GBP</v>
          </cell>
          <cell r="I19">
            <v>730884.00000000012</v>
          </cell>
          <cell r="J19">
            <v>0.62150000000000005</v>
          </cell>
          <cell r="K19">
            <v>36798</v>
          </cell>
          <cell r="L19">
            <v>0.61941999999999997</v>
          </cell>
          <cell r="M19">
            <v>0</v>
          </cell>
          <cell r="N19">
            <v>728437.91999999993</v>
          </cell>
          <cell r="O19">
            <v>0</v>
          </cell>
          <cell r="P19" t="e">
            <v>#N/A</v>
          </cell>
          <cell r="S19" t="str">
            <v>FXFC05</v>
          </cell>
          <cell r="T19">
            <v>730884.00000000012</v>
          </cell>
          <cell r="U19">
            <v>728437.91999999993</v>
          </cell>
          <cell r="V19" t="e">
            <v>#N/A</v>
          </cell>
          <cell r="Y19" t="e">
            <v>#N/A</v>
          </cell>
        </row>
        <row r="20">
          <cell r="A20" t="str">
            <v>for2544</v>
          </cell>
          <cell r="B20">
            <v>36238</v>
          </cell>
          <cell r="C20" t="str">
            <v>APPLC</v>
          </cell>
          <cell r="D20" t="str">
            <v>Swap</v>
          </cell>
          <cell r="E20" t="str">
            <v>C-CF-2</v>
          </cell>
          <cell r="F20" t="str">
            <v>EUR</v>
          </cell>
          <cell r="G20">
            <v>-258000</v>
          </cell>
          <cell r="H20" t="str">
            <v>GBP</v>
          </cell>
          <cell r="I20">
            <v>178329.59999999998</v>
          </cell>
          <cell r="J20">
            <v>0.69119999999999993</v>
          </cell>
          <cell r="K20">
            <v>36830</v>
          </cell>
          <cell r="L20">
            <v>0.62021999999999999</v>
          </cell>
          <cell r="M20">
            <v>0</v>
          </cell>
          <cell r="N20">
            <v>160016.76</v>
          </cell>
          <cell r="O20">
            <v>0</v>
          </cell>
          <cell r="P20">
            <v>18215.092971348102</v>
          </cell>
          <cell r="S20" t="str">
            <v>FXFC05</v>
          </cell>
          <cell r="T20">
            <v>178329.59999999998</v>
          </cell>
          <cell r="U20">
            <v>160016.76</v>
          </cell>
          <cell r="V20">
            <v>18215.092971348102</v>
          </cell>
          <cell r="Y20">
            <v>0</v>
          </cell>
        </row>
        <row r="21">
          <cell r="A21" t="str">
            <v>for2546</v>
          </cell>
          <cell r="B21">
            <v>36238</v>
          </cell>
          <cell r="C21" t="str">
            <v>APPLC</v>
          </cell>
          <cell r="D21" t="str">
            <v>Swap</v>
          </cell>
          <cell r="E21" t="str">
            <v>DNQ</v>
          </cell>
          <cell r="F21" t="str">
            <v>EUR</v>
          </cell>
          <cell r="G21">
            <v>-220000</v>
          </cell>
          <cell r="H21" t="str">
            <v>GBP</v>
          </cell>
          <cell r="I21">
            <v>152723.99999999997</v>
          </cell>
          <cell r="J21">
            <v>0.69419999999999993</v>
          </cell>
          <cell r="K21">
            <v>36860</v>
          </cell>
          <cell r="L21">
            <v>0.62082000000000004</v>
          </cell>
          <cell r="M21">
            <v>0</v>
          </cell>
          <cell r="N21">
            <v>136580.4</v>
          </cell>
          <cell r="O21">
            <v>0</v>
          </cell>
          <cell r="P21">
            <v>15975.757301025897</v>
          </cell>
          <cell r="U21">
            <v>0</v>
          </cell>
          <cell r="V21">
            <v>0</v>
          </cell>
          <cell r="Y21">
            <v>15975.757301025897</v>
          </cell>
        </row>
        <row r="22">
          <cell r="A22" t="str">
            <v>for2547</v>
          </cell>
          <cell r="B22">
            <v>36238</v>
          </cell>
          <cell r="C22" t="str">
            <v>APPLC</v>
          </cell>
          <cell r="D22" t="str">
            <v>Swap</v>
          </cell>
          <cell r="E22" t="str">
            <v>C-CF-2</v>
          </cell>
          <cell r="F22" t="str">
            <v>EUR</v>
          </cell>
          <cell r="G22">
            <v>-264000</v>
          </cell>
          <cell r="H22" t="str">
            <v>GBP</v>
          </cell>
          <cell r="I22">
            <v>183506.4</v>
          </cell>
          <cell r="J22">
            <v>0.69509999999999994</v>
          </cell>
          <cell r="K22">
            <v>36881</v>
          </cell>
          <cell r="L22">
            <v>0.62114000000000003</v>
          </cell>
          <cell r="M22">
            <v>0</v>
          </cell>
          <cell r="N22">
            <v>163980.96000000002</v>
          </cell>
          <cell r="O22">
            <v>0</v>
          </cell>
          <cell r="P22">
            <v>19253.36238455803</v>
          </cell>
          <cell r="S22" t="str">
            <v>FXFC01</v>
          </cell>
          <cell r="T22">
            <v>183506.4</v>
          </cell>
          <cell r="U22">
            <v>163980.96000000002</v>
          </cell>
          <cell r="V22">
            <v>19253.36238455803</v>
          </cell>
          <cell r="Y22">
            <v>0</v>
          </cell>
        </row>
        <row r="23">
          <cell r="A23" t="str">
            <v>for2549</v>
          </cell>
          <cell r="B23">
            <v>36238</v>
          </cell>
          <cell r="C23" t="str">
            <v>APPLC</v>
          </cell>
          <cell r="D23" t="str">
            <v>Swap</v>
          </cell>
          <cell r="E23" t="str">
            <v>C-CF-2</v>
          </cell>
          <cell r="F23" t="str">
            <v>EUR</v>
          </cell>
          <cell r="G23">
            <v>-5684000</v>
          </cell>
          <cell r="H23" t="str">
            <v>GBP</v>
          </cell>
          <cell r="I23">
            <v>3927075.5999999996</v>
          </cell>
          <cell r="J23">
            <v>0.69089999999999996</v>
          </cell>
          <cell r="K23">
            <v>36769</v>
          </cell>
          <cell r="L23">
            <v>0.61872000000000005</v>
          </cell>
          <cell r="M23">
            <v>0</v>
          </cell>
          <cell r="N23">
            <v>3516804.4800000004</v>
          </cell>
          <cell r="O23">
            <v>0</v>
          </cell>
          <cell r="P23" t="e">
            <v>#N/A</v>
          </cell>
          <cell r="S23" t="str">
            <v>FXFC02,FXFC05</v>
          </cell>
          <cell r="T23">
            <v>1059840.5999999999</v>
          </cell>
          <cell r="U23">
            <v>949116.4800000001</v>
          </cell>
          <cell r="V23" t="e">
            <v>#N/A</v>
          </cell>
          <cell r="Y23" t="e">
            <v>#N/A</v>
          </cell>
        </row>
        <row r="24">
          <cell r="A24" t="str">
            <v>for2838</v>
          </cell>
          <cell r="B24">
            <v>36550</v>
          </cell>
          <cell r="C24" t="str">
            <v>APPLC</v>
          </cell>
          <cell r="D24" t="str">
            <v>Forward</v>
          </cell>
          <cell r="E24" t="str">
            <v>DNQ</v>
          </cell>
          <cell r="F24" t="str">
            <v>EUR</v>
          </cell>
          <cell r="G24">
            <v>-1556000</v>
          </cell>
          <cell r="H24" t="str">
            <v>GBP</v>
          </cell>
          <cell r="I24">
            <v>968376.60000000009</v>
          </cell>
          <cell r="J24">
            <v>0.62235000000000007</v>
          </cell>
          <cell r="K24">
            <v>36860</v>
          </cell>
          <cell r="L24">
            <v>0.62082000000000004</v>
          </cell>
          <cell r="M24">
            <v>0</v>
          </cell>
          <cell r="N24">
            <v>965995.92</v>
          </cell>
          <cell r="O24">
            <v>0</v>
          </cell>
          <cell r="P24">
            <v>2355.9284107266785</v>
          </cell>
          <cell r="U24">
            <v>0</v>
          </cell>
          <cell r="V24">
            <v>0</v>
          </cell>
          <cell r="Y24">
            <v>2355.9284107266785</v>
          </cell>
        </row>
        <row r="25">
          <cell r="A25" t="str">
            <v>for2840</v>
          </cell>
          <cell r="B25">
            <v>36550</v>
          </cell>
          <cell r="C25" t="str">
            <v>APPLC</v>
          </cell>
          <cell r="D25" t="str">
            <v>Forward</v>
          </cell>
          <cell r="E25" t="str">
            <v>C-CF-2</v>
          </cell>
          <cell r="F25" t="str">
            <v>EUR</v>
          </cell>
          <cell r="G25">
            <v>-368000</v>
          </cell>
          <cell r="H25" t="str">
            <v>GBP</v>
          </cell>
          <cell r="I25">
            <v>231508.80000000005</v>
          </cell>
          <cell r="J25">
            <v>0.6291000000000001</v>
          </cell>
          <cell r="K25">
            <v>37011</v>
          </cell>
          <cell r="L25">
            <v>0.62351999999999996</v>
          </cell>
          <cell r="M25">
            <v>0</v>
          </cell>
          <cell r="N25">
            <v>229455.35999999999</v>
          </cell>
          <cell r="O25">
            <v>0</v>
          </cell>
          <cell r="P25">
            <v>1979.4590499213982</v>
          </cell>
          <cell r="S25" t="str">
            <v>FXFC05</v>
          </cell>
          <cell r="T25">
            <v>231508.80000000005</v>
          </cell>
          <cell r="U25">
            <v>229455.35999999999</v>
          </cell>
          <cell r="V25">
            <v>1979.4590499213982</v>
          </cell>
          <cell r="Y25">
            <v>0</v>
          </cell>
        </row>
        <row r="26">
          <cell r="A26" t="str">
            <v>for2854</v>
          </cell>
          <cell r="B26">
            <v>36551</v>
          </cell>
          <cell r="C26" t="str">
            <v>APPLC</v>
          </cell>
          <cell r="D26" t="str">
            <v>Forward</v>
          </cell>
          <cell r="E26" t="str">
            <v>C-CF-2</v>
          </cell>
          <cell r="F26" t="str">
            <v>EUR</v>
          </cell>
          <cell r="G26">
            <v>-1055000</v>
          </cell>
          <cell r="H26" t="str">
            <v>GBP</v>
          </cell>
          <cell r="I26">
            <v>653888.99999999988</v>
          </cell>
          <cell r="J26">
            <v>0.61979999999999991</v>
          </cell>
          <cell r="K26">
            <v>36798</v>
          </cell>
          <cell r="L26">
            <v>0.61941999999999997</v>
          </cell>
          <cell r="M26">
            <v>0</v>
          </cell>
          <cell r="N26">
            <v>653488.1</v>
          </cell>
          <cell r="O26">
            <v>0</v>
          </cell>
          <cell r="P26" t="e">
            <v>#N/A</v>
          </cell>
          <cell r="S26" t="str">
            <v>FXFC01</v>
          </cell>
          <cell r="T26">
            <v>653888.99999999988</v>
          </cell>
          <cell r="U26">
            <v>653488.1</v>
          </cell>
          <cell r="V26" t="e">
            <v>#N/A</v>
          </cell>
          <cell r="Y26" t="e">
            <v>#N/A</v>
          </cell>
        </row>
        <row r="27">
          <cell r="A27" t="str">
            <v>for3003</v>
          </cell>
          <cell r="B27">
            <v>36705</v>
          </cell>
          <cell r="C27" t="str">
            <v>APPLC</v>
          </cell>
          <cell r="D27" t="str">
            <v>Forward</v>
          </cell>
          <cell r="E27" t="str">
            <v>C-CF-2</v>
          </cell>
          <cell r="F27" t="str">
            <v>EUR</v>
          </cell>
          <cell r="G27">
            <v>-966000</v>
          </cell>
          <cell r="H27" t="str">
            <v>GBP</v>
          </cell>
          <cell r="I27">
            <v>607614</v>
          </cell>
          <cell r="J27">
            <v>0.629</v>
          </cell>
          <cell r="K27">
            <v>36798</v>
          </cell>
          <cell r="L27">
            <v>0.61941999999999997</v>
          </cell>
          <cell r="M27">
            <v>0</v>
          </cell>
          <cell r="N27">
            <v>598359.72</v>
          </cell>
          <cell r="O27">
            <v>0</v>
          </cell>
          <cell r="P27" t="e">
            <v>#N/A</v>
          </cell>
          <cell r="S27" t="str">
            <v>FXFC05</v>
          </cell>
          <cell r="T27">
            <v>607614</v>
          </cell>
          <cell r="U27">
            <v>598359.72</v>
          </cell>
          <cell r="V27" t="e">
            <v>#N/A</v>
          </cell>
          <cell r="Y27" t="e">
            <v>#N/A</v>
          </cell>
        </row>
        <row r="28">
          <cell r="A28" t="str">
            <v>for3039</v>
          </cell>
          <cell r="B28">
            <v>36734</v>
          </cell>
          <cell r="C28" t="str">
            <v>APPLC</v>
          </cell>
          <cell r="D28" t="str">
            <v>Swap</v>
          </cell>
          <cell r="E28" t="str">
            <v>C-CF-2</v>
          </cell>
          <cell r="F28" t="str">
            <v>EUR</v>
          </cell>
          <cell r="G28">
            <v>-6295000</v>
          </cell>
          <cell r="H28" t="str">
            <v>GBP</v>
          </cell>
          <cell r="I28">
            <v>3928772.45</v>
          </cell>
          <cell r="J28">
            <v>0.62411000000000005</v>
          </cell>
          <cell r="K28">
            <v>36922</v>
          </cell>
          <cell r="L28">
            <v>0.62192000000000003</v>
          </cell>
          <cell r="M28">
            <v>0</v>
          </cell>
          <cell r="N28">
            <v>3914986.4000000004</v>
          </cell>
          <cell r="O28">
            <v>0</v>
          </cell>
          <cell r="P28">
            <v>13498.040589461962</v>
          </cell>
          <cell r="S28" t="str">
            <v>FXFC05</v>
          </cell>
          <cell r="T28">
            <v>3928772.45</v>
          </cell>
          <cell r="U28">
            <v>3914986.4000000004</v>
          </cell>
          <cell r="V28">
            <v>13498.040589461962</v>
          </cell>
          <cell r="Y28">
            <v>0</v>
          </cell>
        </row>
        <row r="29">
          <cell r="A29" t="str">
            <v>for3040</v>
          </cell>
          <cell r="B29">
            <v>36734</v>
          </cell>
          <cell r="C29" t="str">
            <v>APPLC</v>
          </cell>
          <cell r="D29" t="str">
            <v>Swap</v>
          </cell>
          <cell r="E29" t="str">
            <v>C-CF-2</v>
          </cell>
          <cell r="F29" t="str">
            <v>EUR</v>
          </cell>
          <cell r="G29">
            <v>-1806000</v>
          </cell>
          <cell r="H29" t="str">
            <v>GBP</v>
          </cell>
          <cell r="I29">
            <v>1126131.3</v>
          </cell>
          <cell r="J29">
            <v>0.62355000000000005</v>
          </cell>
          <cell r="K29">
            <v>36889</v>
          </cell>
          <cell r="L29">
            <v>0.62131999999999998</v>
          </cell>
          <cell r="M29">
            <v>0</v>
          </cell>
          <cell r="N29">
            <v>1122103.92</v>
          </cell>
          <cell r="O29">
            <v>0</v>
          </cell>
          <cell r="P29">
            <v>3965.8219172119593</v>
          </cell>
          <cell r="S29" t="str">
            <v>FXFC01</v>
          </cell>
          <cell r="T29">
            <v>1126131.3</v>
          </cell>
          <cell r="U29">
            <v>1122103.92</v>
          </cell>
          <cell r="V29">
            <v>3965.8219172119593</v>
          </cell>
          <cell r="Y29">
            <v>0</v>
          </cell>
        </row>
        <row r="30">
          <cell r="A30" t="str">
            <v>for3041</v>
          </cell>
          <cell r="B30">
            <v>36734</v>
          </cell>
          <cell r="C30" t="str">
            <v>APPLC</v>
          </cell>
          <cell r="D30" t="str">
            <v>Swap</v>
          </cell>
          <cell r="E30" t="str">
            <v>C-CF-2</v>
          </cell>
          <cell r="F30" t="str">
            <v>EUR</v>
          </cell>
          <cell r="G30">
            <v>-7565000</v>
          </cell>
          <cell r="H30" t="str">
            <v>GBP</v>
          </cell>
          <cell r="I30">
            <v>4707169.9499999993</v>
          </cell>
          <cell r="J30">
            <v>0.62222999999999995</v>
          </cell>
          <cell r="K30">
            <v>36830</v>
          </cell>
          <cell r="L30">
            <v>0.62021999999999999</v>
          </cell>
          <cell r="M30">
            <v>0</v>
          </cell>
          <cell r="N30">
            <v>4691964.3</v>
          </cell>
          <cell r="O30">
            <v>0</v>
          </cell>
          <cell r="P30">
            <v>15124.487978913679</v>
          </cell>
          <cell r="S30" t="str">
            <v>FXFC05</v>
          </cell>
          <cell r="T30">
            <v>4707169.9499999993</v>
          </cell>
          <cell r="U30">
            <v>4691964.3</v>
          </cell>
          <cell r="V30">
            <v>15124.487978913679</v>
          </cell>
          <cell r="Y30">
            <v>0</v>
          </cell>
        </row>
        <row r="31">
          <cell r="A31" t="str">
            <v>for2965</v>
          </cell>
          <cell r="B31">
            <v>36671</v>
          </cell>
          <cell r="C31" t="str">
            <v>APPLC</v>
          </cell>
          <cell r="D31" t="str">
            <v>Forward</v>
          </cell>
          <cell r="E31" t="str">
            <v>DNQ</v>
          </cell>
          <cell r="F31" t="str">
            <v>JPY</v>
          </cell>
          <cell r="G31">
            <v>-14000000</v>
          </cell>
          <cell r="H31" t="str">
            <v>GBP</v>
          </cell>
          <cell r="I31">
            <v>94276.094276094271</v>
          </cell>
          <cell r="J31">
            <v>148.5</v>
          </cell>
          <cell r="K31">
            <v>37103</v>
          </cell>
          <cell r="L31">
            <v>154.07210000000001</v>
          </cell>
          <cell r="M31">
            <v>0</v>
          </cell>
          <cell r="N31">
            <v>90866.548843041659</v>
          </cell>
          <cell r="O31">
            <v>0</v>
          </cell>
          <cell r="P31">
            <v>3233.4577268375369</v>
          </cell>
          <cell r="U31">
            <v>0</v>
          </cell>
          <cell r="V31">
            <v>0</v>
          </cell>
          <cell r="Y31">
            <v>3233.4577268375369</v>
          </cell>
        </row>
        <row r="32">
          <cell r="A32" t="str">
            <v>for2966</v>
          </cell>
          <cell r="B32">
            <v>36671</v>
          </cell>
          <cell r="C32" t="str">
            <v>APPLC</v>
          </cell>
          <cell r="D32" t="str">
            <v>Forward</v>
          </cell>
          <cell r="E32" t="str">
            <v>C-CF-2</v>
          </cell>
          <cell r="F32" t="str">
            <v>JPY</v>
          </cell>
          <cell r="G32">
            <v>-99000000</v>
          </cell>
          <cell r="H32" t="str">
            <v>GBP</v>
          </cell>
          <cell r="I32">
            <v>663183.27974276524</v>
          </cell>
          <cell r="J32">
            <v>149.28</v>
          </cell>
          <cell r="K32">
            <v>37071</v>
          </cell>
          <cell r="L32">
            <v>154.8313303264413</v>
          </cell>
          <cell r="M32">
            <v>0</v>
          </cell>
          <cell r="N32">
            <v>639405.47298322408</v>
          </cell>
          <cell r="O32">
            <v>0</v>
          </cell>
          <cell r="P32">
            <v>22678.563818126029</v>
          </cell>
          <cell r="S32" t="str">
            <v>FXFC01</v>
          </cell>
          <cell r="T32">
            <v>663183.27974276524</v>
          </cell>
          <cell r="U32">
            <v>639405.47298322408</v>
          </cell>
          <cell r="V32">
            <v>22678.563818126029</v>
          </cell>
          <cell r="Y32">
            <v>0</v>
          </cell>
        </row>
        <row r="33">
          <cell r="A33" t="str">
            <v>for2967</v>
          </cell>
          <cell r="B33">
            <v>36671</v>
          </cell>
          <cell r="C33" t="str">
            <v>APPLC</v>
          </cell>
          <cell r="D33" t="str">
            <v>Forward</v>
          </cell>
          <cell r="E33" t="str">
            <v>DNQ</v>
          </cell>
          <cell r="F33" t="str">
            <v>JPY</v>
          </cell>
          <cell r="G33">
            <v>-25000000</v>
          </cell>
          <cell r="H33" t="str">
            <v>GBP</v>
          </cell>
          <cell r="I33">
            <v>159131.27056771671</v>
          </cell>
          <cell r="J33">
            <v>157.10300000000001</v>
          </cell>
          <cell r="K33">
            <v>36769</v>
          </cell>
          <cell r="L33">
            <v>162.7852</v>
          </cell>
          <cell r="M33">
            <v>0</v>
          </cell>
          <cell r="N33">
            <v>153576.61507311475</v>
          </cell>
          <cell r="O33">
            <v>0</v>
          </cell>
          <cell r="P33" t="e">
            <v>#N/A</v>
          </cell>
          <cell r="U33">
            <v>0</v>
          </cell>
          <cell r="V33" t="e">
            <v>#N/A</v>
          </cell>
          <cell r="Y33" t="e">
            <v>#N/A</v>
          </cell>
        </row>
        <row r="34">
          <cell r="A34" t="str">
            <v>for3045</v>
          </cell>
          <cell r="B34">
            <v>36734</v>
          </cell>
          <cell r="C34" t="str">
            <v>APPLC</v>
          </cell>
          <cell r="D34" t="str">
            <v>Forward</v>
          </cell>
          <cell r="E34" t="str">
            <v>DNQ</v>
          </cell>
          <cell r="F34" t="str">
            <v>JPY</v>
          </cell>
          <cell r="G34">
            <v>-12782000</v>
          </cell>
          <cell r="H34" t="str">
            <v>GBP</v>
          </cell>
          <cell r="I34">
            <v>82051.611246629865</v>
          </cell>
          <cell r="J34">
            <v>155.78</v>
          </cell>
          <cell r="K34">
            <v>37103</v>
          </cell>
          <cell r="L34">
            <v>154.07210000000001</v>
          </cell>
          <cell r="M34">
            <v>0</v>
          </cell>
          <cell r="N34">
            <v>82961.159093697031</v>
          </cell>
          <cell r="O34">
            <v>0</v>
          </cell>
          <cell r="P34">
            <v>-862.57378638145076</v>
          </cell>
          <cell r="U34">
            <v>0</v>
          </cell>
          <cell r="V34">
            <v>0</v>
          </cell>
          <cell r="Y34">
            <v>-862.57378638145076</v>
          </cell>
        </row>
        <row r="35">
          <cell r="A35" t="str">
            <v>for3046</v>
          </cell>
          <cell r="B35">
            <v>36734</v>
          </cell>
          <cell r="C35" t="str">
            <v>APPLC</v>
          </cell>
          <cell r="D35" t="str">
            <v>Forward</v>
          </cell>
          <cell r="E35" t="str">
            <v>DNQ</v>
          </cell>
          <cell r="F35" t="str">
            <v>JPY</v>
          </cell>
          <cell r="G35">
            <v>-97000000</v>
          </cell>
          <cell r="H35" t="str">
            <v>GBP</v>
          </cell>
          <cell r="I35">
            <v>592655.95405388891</v>
          </cell>
          <cell r="J35">
            <v>163.66999999999999</v>
          </cell>
          <cell r="K35">
            <v>36798</v>
          </cell>
          <cell r="L35">
            <v>162.02520000000001</v>
          </cell>
          <cell r="M35">
            <v>0</v>
          </cell>
          <cell r="N35">
            <v>598672.30529571942</v>
          </cell>
          <cell r="O35">
            <v>0</v>
          </cell>
          <cell r="P35" t="e">
            <v>#N/A</v>
          </cell>
          <cell r="U35">
            <v>0</v>
          </cell>
          <cell r="V35" t="e">
            <v>#N/A</v>
          </cell>
          <cell r="Y35" t="e">
            <v>#N/A</v>
          </cell>
        </row>
        <row r="36">
          <cell r="A36" t="str">
            <v>for2867</v>
          </cell>
          <cell r="B36">
            <v>36560</v>
          </cell>
          <cell r="C36" t="str">
            <v>APPLC</v>
          </cell>
          <cell r="D36" t="str">
            <v>Swap</v>
          </cell>
          <cell r="E36" t="str">
            <v>C-CF-2</v>
          </cell>
          <cell r="F36" t="str">
            <v>USD</v>
          </cell>
          <cell r="G36">
            <v>-325000</v>
          </cell>
          <cell r="H36" t="str">
            <v>GBP</v>
          </cell>
          <cell r="I36">
            <v>204222.69699635543</v>
          </cell>
          <cell r="J36">
            <v>1.5913999999999999</v>
          </cell>
          <cell r="K36">
            <v>36798</v>
          </cell>
          <cell r="L36">
            <v>1.4973000000000001</v>
          </cell>
          <cell r="M36">
            <v>0</v>
          </cell>
          <cell r="N36">
            <v>217057.36993254523</v>
          </cell>
          <cell r="O36">
            <v>0</v>
          </cell>
          <cell r="P36" t="e">
            <v>#N/A</v>
          </cell>
          <cell r="S36" t="str">
            <v>FXFC05</v>
          </cell>
          <cell r="T36">
            <v>204222.69699635543</v>
          </cell>
          <cell r="U36">
            <v>217057.36993254523</v>
          </cell>
          <cell r="V36" t="e">
            <v>#N/A</v>
          </cell>
          <cell r="Y36" t="e">
            <v>#N/A</v>
          </cell>
        </row>
        <row r="37">
          <cell r="A37" t="str">
            <v>for2868</v>
          </cell>
          <cell r="B37">
            <v>36560</v>
          </cell>
          <cell r="C37" t="str">
            <v>APPLC</v>
          </cell>
          <cell r="D37" t="str">
            <v>Forward</v>
          </cell>
          <cell r="E37" t="str">
            <v>C-CF-2</v>
          </cell>
          <cell r="F37" t="str">
            <v>USD</v>
          </cell>
          <cell r="G37">
            <v>-500000</v>
          </cell>
          <cell r="H37" t="str">
            <v>GBP</v>
          </cell>
          <cell r="I37">
            <v>314169.02293433872</v>
          </cell>
          <cell r="J37">
            <v>1.5914999999999999</v>
          </cell>
          <cell r="K37">
            <v>36798</v>
          </cell>
          <cell r="L37">
            <v>1.4973000000000001</v>
          </cell>
          <cell r="M37">
            <v>0</v>
          </cell>
          <cell r="N37">
            <v>333934.41528083885</v>
          </cell>
          <cell r="O37">
            <v>0</v>
          </cell>
          <cell r="P37" t="e">
            <v>#N/A</v>
          </cell>
          <cell r="S37" t="str">
            <v>FXFC05</v>
          </cell>
          <cell r="T37">
            <v>314169.02293433872</v>
          </cell>
          <cell r="U37">
            <v>333934.41528083885</v>
          </cell>
          <cell r="V37" t="e">
            <v>#N/A</v>
          </cell>
          <cell r="Y37" t="e">
            <v>#N/A</v>
          </cell>
        </row>
        <row r="38">
          <cell r="A38" t="str">
            <v>for2087</v>
          </cell>
          <cell r="B38">
            <v>35894</v>
          </cell>
          <cell r="C38" t="str">
            <v>APPLC</v>
          </cell>
          <cell r="D38" t="str">
            <v>Forward</v>
          </cell>
          <cell r="E38" t="str">
            <v>DNQ</v>
          </cell>
          <cell r="F38" t="str">
            <v>USD</v>
          </cell>
          <cell r="G38">
            <v>-3200000</v>
          </cell>
          <cell r="H38" t="str">
            <v>GBP</v>
          </cell>
          <cell r="I38">
            <v>1956229.367893385</v>
          </cell>
          <cell r="J38">
            <v>1.6358000000000004</v>
          </cell>
          <cell r="K38">
            <v>36769</v>
          </cell>
          <cell r="L38">
            <v>1.4965999999999999</v>
          </cell>
          <cell r="M38">
            <v>0</v>
          </cell>
          <cell r="N38">
            <v>2138179.8743819324</v>
          </cell>
          <cell r="O38">
            <v>0</v>
          </cell>
          <cell r="P38" t="e">
            <v>#N/A</v>
          </cell>
          <cell r="U38">
            <v>0</v>
          </cell>
          <cell r="V38" t="e">
            <v>#N/A</v>
          </cell>
          <cell r="Y38" t="e">
            <v>#N/A</v>
          </cell>
        </row>
        <row r="39">
          <cell r="A39" t="str">
            <v>for2319</v>
          </cell>
          <cell r="B39">
            <v>36033</v>
          </cell>
          <cell r="C39" t="str">
            <v>APPLC</v>
          </cell>
          <cell r="D39" t="str">
            <v>Forward</v>
          </cell>
          <cell r="E39" t="str">
            <v>C-CF-2</v>
          </cell>
          <cell r="F39" t="str">
            <v>USD</v>
          </cell>
          <cell r="G39">
            <v>-2900000</v>
          </cell>
          <cell r="H39" t="str">
            <v>GBP</v>
          </cell>
          <cell r="I39">
            <v>1820007.5310656456</v>
          </cell>
          <cell r="J39">
            <v>1.5934000000000001</v>
          </cell>
          <cell r="K39">
            <v>36769</v>
          </cell>
          <cell r="L39">
            <v>1.4965999999999999</v>
          </cell>
          <cell r="M39">
            <v>0</v>
          </cell>
          <cell r="N39">
            <v>1937725.5111586263</v>
          </cell>
          <cell r="O39">
            <v>0</v>
          </cell>
          <cell r="P39" t="e">
            <v>#N/A</v>
          </cell>
          <cell r="S39" t="str">
            <v>FXFC05</v>
          </cell>
          <cell r="T39">
            <v>1820007.5310656456</v>
          </cell>
          <cell r="U39">
            <v>1937725.5111586263</v>
          </cell>
          <cell r="V39" t="e">
            <v>#N/A</v>
          </cell>
          <cell r="Y39" t="e">
            <v>#N/A</v>
          </cell>
        </row>
        <row r="40">
          <cell r="A40" t="str">
            <v>for2780</v>
          </cell>
          <cell r="B40">
            <v>36481</v>
          </cell>
          <cell r="C40" t="str">
            <v>APPLC</v>
          </cell>
          <cell r="D40" t="str">
            <v>Forward</v>
          </cell>
          <cell r="E40" t="str">
            <v>C-CF-2</v>
          </cell>
          <cell r="F40" t="str">
            <v>USD</v>
          </cell>
          <cell r="G40">
            <v>-472000</v>
          </cell>
          <cell r="H40" t="str">
            <v>GBP</v>
          </cell>
          <cell r="I40">
            <v>290051.00473176426</v>
          </cell>
          <cell r="J40">
            <v>1.6273</v>
          </cell>
          <cell r="K40">
            <v>36980</v>
          </cell>
          <cell r="L40">
            <v>1.5020899999999999</v>
          </cell>
          <cell r="M40">
            <v>0</v>
          </cell>
          <cell r="N40">
            <v>314228.84114800044</v>
          </cell>
          <cell r="O40">
            <v>0</v>
          </cell>
          <cell r="P40">
            <v>-23433.908509354911</v>
          </cell>
          <cell r="S40" t="str">
            <v>FXFC05</v>
          </cell>
          <cell r="T40">
            <v>290051.00473176426</v>
          </cell>
          <cell r="U40">
            <v>314228.84114800044</v>
          </cell>
          <cell r="V40">
            <v>-23433.908509354911</v>
          </cell>
          <cell r="Y40">
            <v>0</v>
          </cell>
        </row>
        <row r="41">
          <cell r="A41" t="str">
            <v>for2781</v>
          </cell>
          <cell r="B41">
            <v>36481</v>
          </cell>
          <cell r="C41" t="str">
            <v>APPLC</v>
          </cell>
          <cell r="D41" t="str">
            <v>Forward</v>
          </cell>
          <cell r="E41" t="str">
            <v>C-CF-2</v>
          </cell>
          <cell r="F41" t="str">
            <v>USD</v>
          </cell>
          <cell r="G41">
            <v>-1416000</v>
          </cell>
          <cell r="H41" t="str">
            <v>GBP</v>
          </cell>
          <cell r="I41">
            <v>870634.53025086084</v>
          </cell>
          <cell r="J41">
            <v>1.6263999999999998</v>
          </cell>
          <cell r="K41">
            <v>36860</v>
          </cell>
          <cell r="L41">
            <v>1.4986999999999999</v>
          </cell>
          <cell r="M41">
            <v>0</v>
          </cell>
          <cell r="N41">
            <v>944818.84299726435</v>
          </cell>
          <cell r="O41">
            <v>0</v>
          </cell>
          <cell r="P41">
            <v>-73413.029062907037</v>
          </cell>
          <cell r="S41" t="str">
            <v>FXFC05</v>
          </cell>
          <cell r="T41">
            <v>870634.53025086084</v>
          </cell>
          <cell r="U41">
            <v>944818.84299726435</v>
          </cell>
          <cell r="V41">
            <v>-73413.029062907037</v>
          </cell>
          <cell r="Y41">
            <v>0</v>
          </cell>
        </row>
        <row r="42">
          <cell r="A42" t="str">
            <v>for2853</v>
          </cell>
          <cell r="B42">
            <v>36551</v>
          </cell>
          <cell r="C42" t="str">
            <v>APPLC</v>
          </cell>
          <cell r="D42" t="str">
            <v>Swap</v>
          </cell>
          <cell r="E42" t="str">
            <v>C-CF-2</v>
          </cell>
          <cell r="F42" t="str">
            <v>USD</v>
          </cell>
          <cell r="G42">
            <v>-419000</v>
          </cell>
          <cell r="H42" t="str">
            <v>GBP</v>
          </cell>
          <cell r="I42">
            <v>255083.4043589432</v>
          </cell>
          <cell r="J42">
            <v>1.6425999999999996</v>
          </cell>
          <cell r="K42">
            <v>36769</v>
          </cell>
          <cell r="L42">
            <v>1.4965999999999999</v>
          </cell>
          <cell r="M42">
            <v>0</v>
          </cell>
          <cell r="N42">
            <v>279967.92730188428</v>
          </cell>
          <cell r="O42">
            <v>0</v>
          </cell>
          <cell r="P42" t="e">
            <v>#N/A</v>
          </cell>
          <cell r="S42" t="str">
            <v>FXFC05</v>
          </cell>
          <cell r="T42">
            <v>-225252.64824059422</v>
          </cell>
          <cell r="U42">
            <v>-247227.04797541094</v>
          </cell>
          <cell r="V42" t="e">
            <v>#N/A</v>
          </cell>
          <cell r="Y42" t="e">
            <v>#N/A</v>
          </cell>
        </row>
        <row r="43">
          <cell r="A43" t="str">
            <v>for2875</v>
          </cell>
          <cell r="B43">
            <v>36578</v>
          </cell>
          <cell r="C43" t="str">
            <v>APPLC</v>
          </cell>
          <cell r="D43" t="str">
            <v>Forward</v>
          </cell>
          <cell r="E43" t="str">
            <v>C-CF-2</v>
          </cell>
          <cell r="F43" t="str">
            <v>USD</v>
          </cell>
          <cell r="G43">
            <v>-1743000</v>
          </cell>
          <cell r="H43" t="str">
            <v>GBP</v>
          </cell>
          <cell r="I43">
            <v>1079925.6505576209</v>
          </cell>
          <cell r="J43">
            <v>1.6139999999999999</v>
          </cell>
          <cell r="K43">
            <v>37042</v>
          </cell>
          <cell r="L43">
            <v>1.50343</v>
          </cell>
          <cell r="M43">
            <v>0</v>
          </cell>
          <cell r="N43">
            <v>1159348.9553886778</v>
          </cell>
          <cell r="O43">
            <v>0</v>
          </cell>
          <cell r="P43">
            <v>-76143.376877946779</v>
          </cell>
          <cell r="S43" t="str">
            <v>FXFC05</v>
          </cell>
          <cell r="T43">
            <v>1079925.6505576209</v>
          </cell>
          <cell r="U43">
            <v>1159348.9553886778</v>
          </cell>
          <cell r="V43">
            <v>-76143.376877946779</v>
          </cell>
          <cell r="Y43">
            <v>0</v>
          </cell>
        </row>
        <row r="44">
          <cell r="A44" t="str">
            <v>for2876</v>
          </cell>
          <cell r="B44">
            <v>36578</v>
          </cell>
          <cell r="C44" t="str">
            <v>APPLC</v>
          </cell>
          <cell r="D44" t="str">
            <v>Forward</v>
          </cell>
          <cell r="E44" t="str">
            <v>DNQ</v>
          </cell>
          <cell r="F44" t="str">
            <v>USD</v>
          </cell>
          <cell r="G44">
            <v>-637000</v>
          </cell>
          <cell r="H44" t="str">
            <v>GBP</v>
          </cell>
          <cell r="I44">
            <v>395149.0338389008</v>
          </cell>
          <cell r="J44">
            <v>1.61205</v>
          </cell>
          <cell r="K44">
            <v>36980</v>
          </cell>
          <cell r="L44">
            <v>1.5020899999999999</v>
          </cell>
          <cell r="M44">
            <v>0</v>
          </cell>
          <cell r="N44">
            <v>424075.78773575486</v>
          </cell>
          <cell r="O44">
            <v>0</v>
          </cell>
          <cell r="P44">
            <v>-28036.706536582184</v>
          </cell>
          <cell r="U44">
            <v>0</v>
          </cell>
          <cell r="V44">
            <v>0</v>
          </cell>
          <cell r="Y44">
            <v>-28036.706536582184</v>
          </cell>
        </row>
        <row r="45">
          <cell r="A45" t="str">
            <v>for2879</v>
          </cell>
          <cell r="B45">
            <v>36579</v>
          </cell>
          <cell r="C45" t="str">
            <v>APPLC</v>
          </cell>
          <cell r="D45" t="str">
            <v>Swap</v>
          </cell>
          <cell r="E45" t="str">
            <v>DNQ</v>
          </cell>
          <cell r="F45" t="str">
            <v>USD</v>
          </cell>
          <cell r="G45">
            <v>-637000</v>
          </cell>
          <cell r="H45" t="str">
            <v>GBP</v>
          </cell>
          <cell r="I45">
            <v>395038.75968992244</v>
          </cell>
          <cell r="J45">
            <v>1.6125</v>
          </cell>
          <cell r="K45">
            <v>36769</v>
          </cell>
          <cell r="L45">
            <v>1.4965999999999999</v>
          </cell>
          <cell r="M45">
            <v>0</v>
          </cell>
          <cell r="N45">
            <v>425631.43124415341</v>
          </cell>
          <cell r="O45">
            <v>0</v>
          </cell>
          <cell r="P45" t="e">
            <v>#N/A</v>
          </cell>
          <cell r="U45">
            <v>0</v>
          </cell>
          <cell r="V45" t="e">
            <v>#N/A</v>
          </cell>
          <cell r="Y45" t="e">
            <v>#N/A</v>
          </cell>
        </row>
        <row r="46">
          <cell r="A46" t="str">
            <v>for2942</v>
          </cell>
          <cell r="B46">
            <v>36641</v>
          </cell>
          <cell r="C46" t="str">
            <v>APPLC</v>
          </cell>
          <cell r="D46" t="str">
            <v>Forward</v>
          </cell>
          <cell r="E46" t="str">
            <v>C-CF-2</v>
          </cell>
          <cell r="F46" t="str">
            <v>USD</v>
          </cell>
          <cell r="G46">
            <v>-365000</v>
          </cell>
          <cell r="H46" t="str">
            <v>GBP</v>
          </cell>
          <cell r="I46">
            <v>231100.41788020771</v>
          </cell>
          <cell r="J46">
            <v>1.5793999999999997</v>
          </cell>
          <cell r="K46">
            <v>36830</v>
          </cell>
          <cell r="L46">
            <v>1.498</v>
          </cell>
          <cell r="M46">
            <v>0</v>
          </cell>
          <cell r="N46">
            <v>243658.21094793058</v>
          </cell>
          <cell r="O46">
            <v>0</v>
          </cell>
          <cell r="P46">
            <v>-12490.764307640062</v>
          </cell>
          <cell r="S46" t="str">
            <v>FXFC05</v>
          </cell>
          <cell r="T46">
            <v>231100.41788020771</v>
          </cell>
          <cell r="U46">
            <v>243658.21094793058</v>
          </cell>
          <cell r="V46">
            <v>-12490.764307640062</v>
          </cell>
          <cell r="Y46">
            <v>0</v>
          </cell>
        </row>
        <row r="47">
          <cell r="A47" t="str">
            <v>for2997</v>
          </cell>
          <cell r="B47">
            <v>36705</v>
          </cell>
          <cell r="C47" t="str">
            <v>APPLC</v>
          </cell>
          <cell r="D47" t="str">
            <v>Swap</v>
          </cell>
          <cell r="E47" t="str">
            <v>DNQ</v>
          </cell>
          <cell r="F47" t="str">
            <v>USD</v>
          </cell>
          <cell r="G47">
            <v>-3649000</v>
          </cell>
          <cell r="H47" t="str">
            <v>GBP</v>
          </cell>
          <cell r="I47">
            <v>2423457.528060039</v>
          </cell>
          <cell r="J47">
            <v>1.5056999999999996</v>
          </cell>
          <cell r="K47">
            <v>36769</v>
          </cell>
          <cell r="L47">
            <v>1.4965999999999999</v>
          </cell>
          <cell r="M47">
            <v>0</v>
          </cell>
          <cell r="N47">
            <v>2438193.2380061476</v>
          </cell>
          <cell r="O47">
            <v>0</v>
          </cell>
          <cell r="P47" t="e">
            <v>#N/A</v>
          </cell>
          <cell r="U47">
            <v>0</v>
          </cell>
          <cell r="V47" t="e">
            <v>#N/A</v>
          </cell>
          <cell r="Y47" t="e">
            <v>#N/A</v>
          </cell>
        </row>
        <row r="48">
          <cell r="A48" t="str">
            <v>for3004</v>
          </cell>
          <cell r="B48">
            <v>36705</v>
          </cell>
          <cell r="C48" t="str">
            <v>APPLC</v>
          </cell>
          <cell r="D48" t="str">
            <v>Forward</v>
          </cell>
          <cell r="E48" t="str">
            <v>DNQ</v>
          </cell>
          <cell r="F48" t="str">
            <v>USD</v>
          </cell>
          <cell r="G48">
            <v>-339000</v>
          </cell>
          <cell r="H48" t="str">
            <v>GBP</v>
          </cell>
          <cell r="I48">
            <v>224871.89267176329</v>
          </cell>
          <cell r="J48">
            <v>1.5075250000000002</v>
          </cell>
          <cell r="K48">
            <v>36769</v>
          </cell>
          <cell r="L48">
            <v>1.4965999999999999</v>
          </cell>
          <cell r="M48">
            <v>0</v>
          </cell>
          <cell r="N48">
            <v>226513.43044233599</v>
          </cell>
          <cell r="O48">
            <v>0</v>
          </cell>
          <cell r="P48" t="e">
            <v>#N/A</v>
          </cell>
          <cell r="U48">
            <v>0</v>
          </cell>
          <cell r="V48" t="e">
            <v>#N/A</v>
          </cell>
          <cell r="Y48" t="e">
            <v>#N/A</v>
          </cell>
        </row>
        <row r="49">
          <cell r="A49" t="str">
            <v>for3048</v>
          </cell>
          <cell r="B49">
            <v>36734</v>
          </cell>
          <cell r="C49" t="str">
            <v>APPLC</v>
          </cell>
          <cell r="D49" t="str">
            <v>Forward</v>
          </cell>
          <cell r="E49" t="str">
            <v>DNQ</v>
          </cell>
          <cell r="F49" t="str">
            <v>USD</v>
          </cell>
          <cell r="G49">
            <v>-900000</v>
          </cell>
          <cell r="H49" t="str">
            <v>GBP</v>
          </cell>
          <cell r="I49">
            <v>593530.51736076747</v>
          </cell>
          <cell r="J49">
            <v>1.5163500000000005</v>
          </cell>
          <cell r="K49">
            <v>36769</v>
          </cell>
          <cell r="L49">
            <v>1.4965999999999999</v>
          </cell>
          <cell r="M49">
            <v>0</v>
          </cell>
          <cell r="N49">
            <v>601363.08966991853</v>
          </cell>
          <cell r="O49">
            <v>0</v>
          </cell>
          <cell r="P49" t="e">
            <v>#N/A</v>
          </cell>
          <cell r="U49">
            <v>0</v>
          </cell>
          <cell r="V49" t="e">
            <v>#N/A</v>
          </cell>
          <cell r="Y49" t="e">
            <v>#N/A</v>
          </cell>
        </row>
        <row r="50">
          <cell r="A50" t="str">
            <v>for2938</v>
          </cell>
          <cell r="B50">
            <v>36641</v>
          </cell>
          <cell r="C50" t="str">
            <v>APPLC</v>
          </cell>
          <cell r="D50" t="str">
            <v>Swap</v>
          </cell>
          <cell r="E50" t="str">
            <v>DNQ</v>
          </cell>
          <cell r="F50" t="str">
            <v>EUR</v>
          </cell>
          <cell r="G50">
            <v>175000</v>
          </cell>
          <cell r="H50" t="str">
            <v>GBP</v>
          </cell>
          <cell r="I50">
            <v>-103705</v>
          </cell>
          <cell r="J50">
            <v>0.59260000000000002</v>
          </cell>
          <cell r="K50">
            <v>36769</v>
          </cell>
          <cell r="L50">
            <v>0.61872000000000005</v>
          </cell>
          <cell r="M50">
            <v>0</v>
          </cell>
          <cell r="N50">
            <v>-108276.00000000001</v>
          </cell>
          <cell r="O50">
            <v>0</v>
          </cell>
          <cell r="P50" t="e">
            <v>#N/A</v>
          </cell>
          <cell r="U50">
            <v>0</v>
          </cell>
          <cell r="V50" t="e">
            <v>#N/A</v>
          </cell>
          <cell r="Y50" t="e">
            <v>#N/A</v>
          </cell>
        </row>
        <row r="51">
          <cell r="A51" t="str">
            <v>for2958</v>
          </cell>
          <cell r="B51">
            <v>36656</v>
          </cell>
          <cell r="C51" t="str">
            <v>APPLC</v>
          </cell>
          <cell r="D51" t="str">
            <v>Forward</v>
          </cell>
          <cell r="E51" t="str">
            <v>DNQ</v>
          </cell>
          <cell r="F51" t="str">
            <v>USD</v>
          </cell>
          <cell r="G51">
            <v>457000</v>
          </cell>
          <cell r="H51" t="str">
            <v>GBP</v>
          </cell>
          <cell r="I51">
            <v>-298712.33413948613</v>
          </cell>
          <cell r="J51">
            <v>1.5299000000000005</v>
          </cell>
          <cell r="K51">
            <v>36830</v>
          </cell>
          <cell r="L51">
            <v>1.498</v>
          </cell>
          <cell r="M51">
            <v>0</v>
          </cell>
          <cell r="N51">
            <v>-305073.43124165555</v>
          </cell>
          <cell r="O51">
            <v>0</v>
          </cell>
          <cell r="P51">
            <v>6327.1439665168846</v>
          </cell>
          <cell r="U51">
            <v>0</v>
          </cell>
          <cell r="V51">
            <v>0</v>
          </cell>
          <cell r="Y51">
            <v>6327.1439665168846</v>
          </cell>
        </row>
        <row r="52">
          <cell r="A52" t="str">
            <v>for2974</v>
          </cell>
          <cell r="B52">
            <v>36671</v>
          </cell>
          <cell r="C52" t="str">
            <v>APPLC</v>
          </cell>
          <cell r="D52" t="str">
            <v>Swap</v>
          </cell>
          <cell r="E52" t="str">
            <v>DNQ</v>
          </cell>
          <cell r="F52" t="str">
            <v>CHF</v>
          </cell>
          <cell r="G52">
            <v>300000</v>
          </cell>
          <cell r="H52" t="str">
            <v>GBP</v>
          </cell>
          <cell r="I52">
            <v>-118577.07509881424</v>
          </cell>
          <cell r="J52">
            <v>2.5299999999999998</v>
          </cell>
          <cell r="K52">
            <v>36769</v>
          </cell>
          <cell r="L52">
            <v>2.4918</v>
          </cell>
          <cell r="M52">
            <v>0</v>
          </cell>
          <cell r="N52">
            <v>-120394.89525644113</v>
          </cell>
          <cell r="O52">
            <v>0</v>
          </cell>
          <cell r="P52" t="e">
            <v>#N/A</v>
          </cell>
          <cell r="U52">
            <v>0</v>
          </cell>
          <cell r="V52" t="e">
            <v>#N/A</v>
          </cell>
          <cell r="Y52" t="e">
            <v>#N/A</v>
          </cell>
        </row>
        <row r="53">
          <cell r="A53" t="str">
            <v>for2999</v>
          </cell>
          <cell r="B53">
            <v>36705</v>
          </cell>
          <cell r="C53" t="str">
            <v>APPLC</v>
          </cell>
          <cell r="D53" t="str">
            <v>Swap</v>
          </cell>
          <cell r="E53" t="str">
            <v>DNQ</v>
          </cell>
          <cell r="F53" t="str">
            <v>CHF</v>
          </cell>
          <cell r="G53">
            <v>162000</v>
          </cell>
          <cell r="H53" t="str">
            <v>GBP</v>
          </cell>
          <cell r="I53">
            <v>-66122.448979591834</v>
          </cell>
          <cell r="J53">
            <v>2.4500000000000002</v>
          </cell>
          <cell r="K53">
            <v>36769</v>
          </cell>
          <cell r="L53">
            <v>2.4918</v>
          </cell>
          <cell r="M53">
            <v>0</v>
          </cell>
          <cell r="N53">
            <v>-65013.24343847821</v>
          </cell>
          <cell r="O53">
            <v>0</v>
          </cell>
          <cell r="P53" t="e">
            <v>#N/A</v>
          </cell>
          <cell r="U53">
            <v>0</v>
          </cell>
          <cell r="V53" t="e">
            <v>#N/A</v>
          </cell>
          <cell r="Y53" t="e">
            <v>#N/A</v>
          </cell>
        </row>
        <row r="54">
          <cell r="A54" t="str">
            <v>for3036</v>
          </cell>
          <cell r="B54">
            <v>36734</v>
          </cell>
          <cell r="C54" t="str">
            <v>APPLC</v>
          </cell>
          <cell r="D54" t="str">
            <v>Swap</v>
          </cell>
          <cell r="E54" t="str">
            <v>DNQ</v>
          </cell>
          <cell r="F54" t="str">
            <v>CHF</v>
          </cell>
          <cell r="G54">
            <v>470000</v>
          </cell>
          <cell r="H54" t="str">
            <v>GBP</v>
          </cell>
          <cell r="I54">
            <v>-188000</v>
          </cell>
          <cell r="J54">
            <v>2.5</v>
          </cell>
          <cell r="K54">
            <v>36769</v>
          </cell>
          <cell r="L54">
            <v>2.4918</v>
          </cell>
          <cell r="M54">
            <v>0</v>
          </cell>
          <cell r="N54">
            <v>-188618.6692350911</v>
          </cell>
          <cell r="O54">
            <v>0</v>
          </cell>
          <cell r="P54" t="e">
            <v>#N/A</v>
          </cell>
          <cell r="U54">
            <v>0</v>
          </cell>
          <cell r="V54" t="e">
            <v>#N/A</v>
          </cell>
          <cell r="Y54" t="e">
            <v>#N/A</v>
          </cell>
        </row>
        <row r="55">
          <cell r="A55" t="str">
            <v>for2900</v>
          </cell>
          <cell r="B55">
            <v>36599</v>
          </cell>
          <cell r="C55" t="str">
            <v>APPLC</v>
          </cell>
          <cell r="D55" t="str">
            <v>Forward</v>
          </cell>
          <cell r="E55" t="str">
            <v>DNQ</v>
          </cell>
          <cell r="F55" t="str">
            <v>USD</v>
          </cell>
          <cell r="G55">
            <v>429000</v>
          </cell>
          <cell r="H55" t="str">
            <v>GBP</v>
          </cell>
          <cell r="I55">
            <v>-272761.95320447616</v>
          </cell>
          <cell r="J55">
            <v>1.5727999999999998</v>
          </cell>
          <cell r="K55">
            <v>36950</v>
          </cell>
          <cell r="L55">
            <v>1.50136</v>
          </cell>
          <cell r="M55">
            <v>0</v>
          </cell>
          <cell r="N55">
            <v>-285740.92822507594</v>
          </cell>
          <cell r="O55">
            <v>0</v>
          </cell>
          <cell r="P55">
            <v>12645.861824278598</v>
          </cell>
          <cell r="U55">
            <v>0</v>
          </cell>
          <cell r="V55">
            <v>0</v>
          </cell>
          <cell r="Y55">
            <v>12645.861824278598</v>
          </cell>
        </row>
        <row r="56">
          <cell r="A56" t="str">
            <v>for2901</v>
          </cell>
          <cell r="B56">
            <v>36599</v>
          </cell>
          <cell r="C56" t="str">
            <v>APPLC</v>
          </cell>
          <cell r="D56" t="str">
            <v>Forward</v>
          </cell>
          <cell r="E56" t="str">
            <v>DNQ</v>
          </cell>
          <cell r="F56" t="str">
            <v>CHF</v>
          </cell>
          <cell r="G56">
            <v>1483000</v>
          </cell>
          <cell r="H56" t="str">
            <v>GBP</v>
          </cell>
          <cell r="I56">
            <v>-589380.81233606231</v>
          </cell>
          <cell r="J56">
            <v>2.5162</v>
          </cell>
          <cell r="K56">
            <v>37103</v>
          </cell>
          <cell r="L56">
            <v>2.4409000000000001</v>
          </cell>
          <cell r="M56">
            <v>0</v>
          </cell>
          <cell r="N56">
            <v>-607562.78421893565</v>
          </cell>
          <cell r="O56">
            <v>0</v>
          </cell>
          <cell r="P56">
            <v>17242.954707068846</v>
          </cell>
          <cell r="U56">
            <v>0</v>
          </cell>
          <cell r="V56">
            <v>0</v>
          </cell>
          <cell r="Y56">
            <v>17242.954707068846</v>
          </cell>
        </row>
        <row r="57">
          <cell r="A57" t="str">
            <v>for2905</v>
          </cell>
          <cell r="B57">
            <v>36599</v>
          </cell>
          <cell r="C57" t="str">
            <v>APPLC</v>
          </cell>
          <cell r="D57" t="str">
            <v>Forward</v>
          </cell>
          <cell r="E57" t="str">
            <v>DNQ</v>
          </cell>
          <cell r="F57" t="str">
            <v>CHF</v>
          </cell>
          <cell r="G57">
            <v>1330000</v>
          </cell>
          <cell r="H57" t="str">
            <v>GBP</v>
          </cell>
          <cell r="I57">
            <v>-517953.11161305406</v>
          </cell>
          <cell r="J57">
            <v>2.5677999999999996</v>
          </cell>
          <cell r="K57">
            <v>36860</v>
          </cell>
          <cell r="L57">
            <v>2.4763999999999999</v>
          </cell>
          <cell r="M57">
            <v>0</v>
          </cell>
          <cell r="N57">
            <v>-537069.94023582619</v>
          </cell>
          <cell r="O57">
            <v>0</v>
          </cell>
          <cell r="P57">
            <v>18918.073691290236</v>
          </cell>
          <cell r="U57">
            <v>0</v>
          </cell>
          <cell r="V57">
            <v>0</v>
          </cell>
          <cell r="Y57">
            <v>18918.073691290236</v>
          </cell>
        </row>
        <row r="58">
          <cell r="A58" t="str">
            <v>for2990</v>
          </cell>
          <cell r="B58">
            <v>36684</v>
          </cell>
          <cell r="C58" t="str">
            <v>APPLC</v>
          </cell>
          <cell r="D58" t="str">
            <v>Forward</v>
          </cell>
          <cell r="E58" t="str">
            <v>DNQ</v>
          </cell>
          <cell r="F58" t="str">
            <v>JPY</v>
          </cell>
          <cell r="G58">
            <v>50000000</v>
          </cell>
          <cell r="H58" t="str">
            <v>GBP</v>
          </cell>
          <cell r="I58">
            <v>-315059.86137366103</v>
          </cell>
          <cell r="J58">
            <v>158.69999999999999</v>
          </cell>
          <cell r="K58">
            <v>36769</v>
          </cell>
          <cell r="L58">
            <v>162.7852</v>
          </cell>
          <cell r="M58">
            <v>0</v>
          </cell>
          <cell r="N58">
            <v>-307153.2301462295</v>
          </cell>
          <cell r="O58">
            <v>0</v>
          </cell>
          <cell r="P58" t="e">
            <v>#N/A</v>
          </cell>
          <cell r="U58">
            <v>0</v>
          </cell>
          <cell r="V58" t="e">
            <v>#N/A</v>
          </cell>
          <cell r="Y58" t="e">
            <v>#N/A</v>
          </cell>
        </row>
        <row r="59">
          <cell r="A59" t="str">
            <v>for2991</v>
          </cell>
          <cell r="B59">
            <v>36684</v>
          </cell>
          <cell r="C59" t="str">
            <v>APPLC</v>
          </cell>
          <cell r="D59" t="str">
            <v>Forward</v>
          </cell>
          <cell r="E59" t="str">
            <v>C-CF-2</v>
          </cell>
          <cell r="F59" t="str">
            <v>JPY</v>
          </cell>
          <cell r="G59">
            <v>198000000</v>
          </cell>
          <cell r="H59" t="str">
            <v>GBP</v>
          </cell>
          <cell r="I59">
            <v>-1312997.3474801059</v>
          </cell>
          <cell r="J59">
            <v>150.80000000000001</v>
          </cell>
          <cell r="K59">
            <v>37071</v>
          </cell>
          <cell r="L59">
            <v>154.8313303264413</v>
          </cell>
          <cell r="M59">
            <v>0</v>
          </cell>
          <cell r="N59">
            <v>-1278810.9459664482</v>
          </cell>
          <cell r="O59">
            <v>0</v>
          </cell>
          <cell r="P59">
            <v>-32605.971453968068</v>
          </cell>
          <cell r="S59" t="str">
            <v>FXFC06</v>
          </cell>
          <cell r="T59">
            <v>-1312997.3474801059</v>
          </cell>
          <cell r="U59">
            <v>-1278810.9459664482</v>
          </cell>
          <cell r="V59">
            <v>-32605.971453968068</v>
          </cell>
          <cell r="Y59">
            <v>0</v>
          </cell>
        </row>
        <row r="60">
          <cell r="A60" t="str">
            <v>for2992</v>
          </cell>
          <cell r="B60">
            <v>36684</v>
          </cell>
          <cell r="C60" t="str">
            <v>APPLC</v>
          </cell>
          <cell r="D60" t="str">
            <v>Forward</v>
          </cell>
          <cell r="E60" t="str">
            <v>DNQ</v>
          </cell>
          <cell r="F60" t="str">
            <v>JPY</v>
          </cell>
          <cell r="G60">
            <v>28000000</v>
          </cell>
          <cell r="H60" t="str">
            <v>GBP</v>
          </cell>
          <cell r="I60">
            <v>-186728.90963654552</v>
          </cell>
          <cell r="J60">
            <v>149.94999999999999</v>
          </cell>
          <cell r="K60">
            <v>37103</v>
          </cell>
          <cell r="L60">
            <v>154.07210000000001</v>
          </cell>
          <cell r="M60">
            <v>0</v>
          </cell>
          <cell r="N60">
            <v>-181733.09768608332</v>
          </cell>
          <cell r="O60">
            <v>0</v>
          </cell>
          <cell r="P60">
            <v>-4737.8007040037137</v>
          </cell>
          <cell r="U60">
            <v>0</v>
          </cell>
          <cell r="V60">
            <v>0</v>
          </cell>
          <cell r="Y60">
            <v>-4737.8007040037137</v>
          </cell>
        </row>
        <row r="61">
          <cell r="A61" t="str">
            <v>for3051</v>
          </cell>
          <cell r="B61">
            <v>36734</v>
          </cell>
          <cell r="C61" t="str">
            <v>APPLC</v>
          </cell>
          <cell r="D61" t="str">
            <v>Forward</v>
          </cell>
          <cell r="E61" t="str">
            <v>C-CF-2</v>
          </cell>
          <cell r="F61" t="str">
            <v>USD</v>
          </cell>
          <cell r="G61">
            <v>825000</v>
          </cell>
          <cell r="H61" t="str">
            <v>GBP</v>
          </cell>
          <cell r="I61">
            <v>-543935.12337437575</v>
          </cell>
          <cell r="J61">
            <v>1.5167249999999999</v>
          </cell>
          <cell r="K61">
            <v>36798</v>
          </cell>
          <cell r="L61">
            <v>1.4973000000000001</v>
          </cell>
          <cell r="M61">
            <v>0</v>
          </cell>
          <cell r="N61">
            <v>-550991.78521338408</v>
          </cell>
          <cell r="O61">
            <v>0</v>
          </cell>
          <cell r="P61" t="e">
            <v>#N/A</v>
          </cell>
          <cell r="S61" t="str">
            <v>FXFC07</v>
          </cell>
          <cell r="T61">
            <v>-543935.12337437575</v>
          </cell>
          <cell r="U61">
            <v>-550991.78521338408</v>
          </cell>
          <cell r="V61" t="e">
            <v>#N/A</v>
          </cell>
          <cell r="Y61" t="e">
            <v>#N/A</v>
          </cell>
        </row>
        <row r="62">
          <cell r="A62" t="str">
            <v>for3054</v>
          </cell>
          <cell r="B62">
            <v>36734</v>
          </cell>
          <cell r="C62" t="str">
            <v>APPLC</v>
          </cell>
          <cell r="D62" t="str">
            <v>Forward</v>
          </cell>
          <cell r="E62" t="str">
            <v>C-CF-2</v>
          </cell>
          <cell r="F62" t="str">
            <v>USD</v>
          </cell>
          <cell r="G62">
            <v>354000</v>
          </cell>
          <cell r="H62" t="str">
            <v>GBP</v>
          </cell>
          <cell r="I62">
            <v>-233507.69454027354</v>
          </cell>
          <cell r="J62">
            <v>1.5160099999999996</v>
          </cell>
          <cell r="K62">
            <v>36769</v>
          </cell>
          <cell r="L62">
            <v>1.4965999999999999</v>
          </cell>
          <cell r="M62">
            <v>0</v>
          </cell>
          <cell r="N62">
            <v>-236536.14860350129</v>
          </cell>
          <cell r="O62">
            <v>0</v>
          </cell>
          <cell r="P62" t="e">
            <v>#N/A</v>
          </cell>
          <cell r="S62" t="str">
            <v>FXFC07</v>
          </cell>
          <cell r="T62">
            <v>-233507.69454027354</v>
          </cell>
          <cell r="U62">
            <v>-236536.14860350129</v>
          </cell>
          <cell r="V62" t="e">
            <v>#N/A</v>
          </cell>
          <cell r="Y62" t="e">
            <v>#N/A</v>
          </cell>
        </row>
        <row r="63">
          <cell r="A63" t="str">
            <v>for2542</v>
          </cell>
          <cell r="B63">
            <v>36238</v>
          </cell>
          <cell r="C63" t="str">
            <v>APPLC</v>
          </cell>
          <cell r="D63" t="str">
            <v>Forward</v>
          </cell>
          <cell r="E63" t="str">
            <v>DNQ</v>
          </cell>
          <cell r="F63" t="str">
            <v>USD</v>
          </cell>
          <cell r="G63">
            <v>88000</v>
          </cell>
          <cell r="H63" t="str">
            <v>GBP</v>
          </cell>
          <cell r="I63">
            <v>-54027.504911591357</v>
          </cell>
          <cell r="J63">
            <v>1.6288</v>
          </cell>
          <cell r="K63">
            <v>36830</v>
          </cell>
          <cell r="L63">
            <v>1.498</v>
          </cell>
          <cell r="M63">
            <v>0</v>
          </cell>
          <cell r="N63">
            <v>-58744.99332443258</v>
          </cell>
          <cell r="O63">
            <v>0</v>
          </cell>
          <cell r="P63">
            <v>4692.3082400742014</v>
          </cell>
          <cell r="U63">
            <v>0</v>
          </cell>
          <cell r="V63">
            <v>0</v>
          </cell>
          <cell r="Y63">
            <v>4692.3082400742014</v>
          </cell>
        </row>
        <row r="64">
          <cell r="A64" t="str">
            <v>for2782</v>
          </cell>
          <cell r="B64">
            <v>36481</v>
          </cell>
          <cell r="C64" t="str">
            <v>APPLC</v>
          </cell>
          <cell r="D64" t="str">
            <v>Forward</v>
          </cell>
          <cell r="E64" t="str">
            <v>DNQ</v>
          </cell>
          <cell r="F64" t="str">
            <v>EUR</v>
          </cell>
          <cell r="G64">
            <v>165000</v>
          </cell>
          <cell r="H64" t="str">
            <v>GBP</v>
          </cell>
          <cell r="I64">
            <v>-108108.00000000001</v>
          </cell>
          <cell r="J64">
            <v>0.65520000000000012</v>
          </cell>
          <cell r="K64">
            <v>36830</v>
          </cell>
          <cell r="L64">
            <v>0.62021999999999999</v>
          </cell>
          <cell r="M64">
            <v>0</v>
          </cell>
          <cell r="N64">
            <v>-102336.3</v>
          </cell>
          <cell r="O64">
            <v>0</v>
          </cell>
          <cell r="P64">
            <v>-5740.8928436403221</v>
          </cell>
          <cell r="U64">
            <v>0</v>
          </cell>
          <cell r="V64">
            <v>0</v>
          </cell>
          <cell r="Y64">
            <v>-5740.8928436403221</v>
          </cell>
        </row>
        <row r="65">
          <cell r="A65" t="str">
            <v>for2836</v>
          </cell>
          <cell r="B65">
            <v>36550</v>
          </cell>
          <cell r="C65" t="str">
            <v>APPLC</v>
          </cell>
          <cell r="D65" t="str">
            <v>Forward</v>
          </cell>
          <cell r="E65" t="str">
            <v>DNQ</v>
          </cell>
          <cell r="F65" t="str">
            <v>USD</v>
          </cell>
          <cell r="G65">
            <v>192000</v>
          </cell>
          <cell r="H65" t="str">
            <v>GBP</v>
          </cell>
          <cell r="I65">
            <v>-116395.38055833406</v>
          </cell>
          <cell r="J65">
            <v>1.6495500000000005</v>
          </cell>
          <cell r="K65">
            <v>36830</v>
          </cell>
          <cell r="L65">
            <v>1.498</v>
          </cell>
          <cell r="M65">
            <v>0</v>
          </cell>
          <cell r="N65">
            <v>-128170.89452603471</v>
          </cell>
          <cell r="O65">
            <v>0</v>
          </cell>
          <cell r="P65">
            <v>11712.660718221528</v>
          </cell>
          <cell r="U65">
            <v>0</v>
          </cell>
          <cell r="V65">
            <v>0</v>
          </cell>
          <cell r="Y65">
            <v>11712.660718221528</v>
          </cell>
        </row>
        <row r="66">
          <cell r="A66" t="str">
            <v>for2879</v>
          </cell>
          <cell r="B66">
            <v>36579</v>
          </cell>
          <cell r="C66" t="str">
            <v>APPLC</v>
          </cell>
          <cell r="D66" t="str">
            <v>Swap</v>
          </cell>
          <cell r="E66" t="str">
            <v>DNQ</v>
          </cell>
          <cell r="F66" t="str">
            <v>USD</v>
          </cell>
          <cell r="G66">
            <v>637000</v>
          </cell>
          <cell r="H66" t="str">
            <v>GBP</v>
          </cell>
          <cell r="I66">
            <v>-394427.24458204332</v>
          </cell>
          <cell r="J66">
            <v>1.615</v>
          </cell>
          <cell r="K66">
            <v>36980</v>
          </cell>
          <cell r="L66">
            <v>1.5020899999999999</v>
          </cell>
          <cell r="M66">
            <v>0</v>
          </cell>
          <cell r="N66">
            <v>-424075.78773575486</v>
          </cell>
          <cell r="O66">
            <v>0</v>
          </cell>
          <cell r="P66">
            <v>28736.287058058242</v>
          </cell>
          <cell r="U66">
            <v>0</v>
          </cell>
          <cell r="V66">
            <v>0</v>
          </cell>
          <cell r="Y66">
            <v>28736.287058058242</v>
          </cell>
        </row>
        <row r="67">
          <cell r="A67" t="str">
            <v>for3000</v>
          </cell>
          <cell r="B67">
            <v>36705</v>
          </cell>
          <cell r="C67" t="str">
            <v>APPLC</v>
          </cell>
          <cell r="D67" t="str">
            <v>Swap</v>
          </cell>
          <cell r="E67" t="str">
            <v>C-CF-2</v>
          </cell>
          <cell r="F67" t="str">
            <v>CHF</v>
          </cell>
          <cell r="G67">
            <v>897000</v>
          </cell>
          <cell r="H67" t="str">
            <v>GBP</v>
          </cell>
          <cell r="I67">
            <v>-366901.17801047122</v>
          </cell>
          <cell r="J67">
            <v>2.4447999999999999</v>
          </cell>
          <cell r="K67">
            <v>36798</v>
          </cell>
          <cell r="L67">
            <v>2.4868000000000001</v>
          </cell>
          <cell r="M67">
            <v>0</v>
          </cell>
          <cell r="N67">
            <v>-360704.51986488659</v>
          </cell>
          <cell r="O67">
            <v>0</v>
          </cell>
          <cell r="P67" t="e">
            <v>#N/A</v>
          </cell>
          <cell r="S67" t="str">
            <v>FXFC07</v>
          </cell>
          <cell r="T67">
            <v>-366901.17801047122</v>
          </cell>
          <cell r="U67">
            <v>-360704.51986488659</v>
          </cell>
          <cell r="V67" t="e">
            <v>#N/A</v>
          </cell>
          <cell r="Y67" t="e">
            <v>#N/A</v>
          </cell>
        </row>
        <row r="68">
          <cell r="A68" t="str">
            <v>for3026</v>
          </cell>
          <cell r="B68">
            <v>36724</v>
          </cell>
          <cell r="C68" t="str">
            <v>APPLC</v>
          </cell>
          <cell r="D68" t="str">
            <v>Forward</v>
          </cell>
          <cell r="E68" t="str">
            <v>C-CF-2</v>
          </cell>
          <cell r="F68" t="str">
            <v>EUR</v>
          </cell>
          <cell r="G68">
            <v>753000</v>
          </cell>
          <cell r="H68" t="str">
            <v>GBP</v>
          </cell>
          <cell r="I68">
            <v>-478659.51000000007</v>
          </cell>
          <cell r="J68">
            <v>0.63567000000000007</v>
          </cell>
          <cell r="K68">
            <v>37162</v>
          </cell>
          <cell r="L68">
            <v>0.62626999999999999</v>
          </cell>
          <cell r="M68">
            <v>0</v>
          </cell>
          <cell r="N68">
            <v>-471581.31</v>
          </cell>
          <cell r="O68">
            <v>0</v>
          </cell>
          <cell r="P68">
            <v>-6642.0288361475386</v>
          </cell>
          <cell r="S68" t="str">
            <v>FXFC07</v>
          </cell>
          <cell r="T68">
            <v>-478659.51000000007</v>
          </cell>
          <cell r="U68">
            <v>-471581.31</v>
          </cell>
          <cell r="V68">
            <v>-6642.0288361475386</v>
          </cell>
          <cell r="Y68">
            <v>0</v>
          </cell>
        </row>
        <row r="69">
          <cell r="A69" t="str">
            <v>for3027</v>
          </cell>
          <cell r="B69">
            <v>36724</v>
          </cell>
          <cell r="C69" t="str">
            <v>APPLC</v>
          </cell>
          <cell r="D69" t="str">
            <v>Forward</v>
          </cell>
          <cell r="E69" t="str">
            <v>C-CF-2</v>
          </cell>
          <cell r="F69" t="str">
            <v>EUR</v>
          </cell>
          <cell r="G69">
            <v>1393000</v>
          </cell>
          <cell r="H69" t="str">
            <v>GBP</v>
          </cell>
          <cell r="I69">
            <v>-881824.72000000009</v>
          </cell>
          <cell r="J69">
            <v>0.63304000000000005</v>
          </cell>
          <cell r="K69">
            <v>37008</v>
          </cell>
          <cell r="L69">
            <v>0.62351999999999996</v>
          </cell>
          <cell r="M69">
            <v>0</v>
          </cell>
          <cell r="N69">
            <v>-868563.36</v>
          </cell>
          <cell r="O69">
            <v>0</v>
          </cell>
          <cell r="P69">
            <v>-12790.339916528099</v>
          </cell>
          <cell r="S69" t="str">
            <v>FXFC07</v>
          </cell>
          <cell r="T69">
            <v>-881824.72000000009</v>
          </cell>
          <cell r="U69">
            <v>-868563.36</v>
          </cell>
          <cell r="V69">
            <v>-12790.339916528099</v>
          </cell>
          <cell r="Y69">
            <v>0</v>
          </cell>
        </row>
        <row r="70">
          <cell r="A70" t="str">
            <v>for3028</v>
          </cell>
          <cell r="B70">
            <v>36724</v>
          </cell>
          <cell r="C70" t="str">
            <v>APPLC</v>
          </cell>
          <cell r="D70" t="str">
            <v>Forward</v>
          </cell>
          <cell r="E70" t="str">
            <v>C-CF-2</v>
          </cell>
          <cell r="F70" t="str">
            <v>EUR</v>
          </cell>
          <cell r="G70">
            <v>1061000</v>
          </cell>
          <cell r="H70" t="str">
            <v>GBP</v>
          </cell>
          <cell r="I70">
            <v>-670053.33000000007</v>
          </cell>
          <cell r="J70">
            <v>0.63153000000000004</v>
          </cell>
          <cell r="K70">
            <v>36922</v>
          </cell>
          <cell r="L70">
            <v>0.62192000000000003</v>
          </cell>
          <cell r="M70">
            <v>0</v>
          </cell>
          <cell r="N70">
            <v>-659857.12</v>
          </cell>
          <cell r="O70">
            <v>0</v>
          </cell>
          <cell r="P70">
            <v>-9983.197249297722</v>
          </cell>
          <cell r="S70" t="str">
            <v>FXFC07</v>
          </cell>
          <cell r="T70">
            <v>-670053.33000000007</v>
          </cell>
          <cell r="U70">
            <v>-659857.12</v>
          </cell>
          <cell r="V70">
            <v>-9983.197249297722</v>
          </cell>
          <cell r="Y70">
            <v>0</v>
          </cell>
        </row>
        <row r="71">
          <cell r="A71" t="str">
            <v>for3029</v>
          </cell>
          <cell r="B71">
            <v>36724</v>
          </cell>
          <cell r="C71" t="str">
            <v>APPLC</v>
          </cell>
          <cell r="D71" t="str">
            <v>Forward</v>
          </cell>
          <cell r="E71" t="str">
            <v>C-CF-2</v>
          </cell>
          <cell r="F71" t="str">
            <v>EUR</v>
          </cell>
          <cell r="G71">
            <v>348000</v>
          </cell>
          <cell r="H71" t="str">
            <v>GBP</v>
          </cell>
          <cell r="I71">
            <v>-219361.8</v>
          </cell>
          <cell r="J71">
            <v>0.63034999999999997</v>
          </cell>
          <cell r="K71">
            <v>36860</v>
          </cell>
          <cell r="L71">
            <v>0.62082000000000004</v>
          </cell>
          <cell r="M71">
            <v>0</v>
          </cell>
          <cell r="N71">
            <v>-216045.36000000002</v>
          </cell>
          <cell r="O71">
            <v>0</v>
          </cell>
          <cell r="P71">
            <v>-3281.9594479183065</v>
          </cell>
          <cell r="S71" t="str">
            <v>FXFC06</v>
          </cell>
          <cell r="T71">
            <v>-219361.8</v>
          </cell>
          <cell r="U71">
            <v>-216045.36000000002</v>
          </cell>
          <cell r="V71">
            <v>-3281.9594479183065</v>
          </cell>
          <cell r="Y71">
            <v>0</v>
          </cell>
        </row>
        <row r="72">
          <cell r="A72" t="str">
            <v>for3033</v>
          </cell>
          <cell r="B72">
            <v>36734</v>
          </cell>
          <cell r="C72" t="str">
            <v>APPLC</v>
          </cell>
          <cell r="D72" t="str">
            <v>Swap</v>
          </cell>
          <cell r="E72" t="str">
            <v>C-CF-2</v>
          </cell>
          <cell r="F72" t="str">
            <v>USD</v>
          </cell>
          <cell r="G72">
            <v>438000</v>
          </cell>
          <cell r="H72" t="str">
            <v>GBP</v>
          </cell>
          <cell r="I72">
            <v>-288727.75214238628</v>
          </cell>
          <cell r="J72">
            <v>1.5170000000000001</v>
          </cell>
          <cell r="K72">
            <v>36769</v>
          </cell>
          <cell r="L72">
            <v>1.4965999999999999</v>
          </cell>
          <cell r="M72">
            <v>0</v>
          </cell>
          <cell r="N72">
            <v>-292663.37030602701</v>
          </cell>
          <cell r="O72">
            <v>0</v>
          </cell>
          <cell r="P72" t="e">
            <v>#N/A</v>
          </cell>
          <cell r="S72" t="str">
            <v>FXFC07</v>
          </cell>
          <cell r="T72">
            <v>-288727.75214238628</v>
          </cell>
          <cell r="U72">
            <v>-292663.37030602701</v>
          </cell>
          <cell r="V72" t="e">
            <v>#N/A</v>
          </cell>
          <cell r="Y72" t="e">
            <v>#N/A</v>
          </cell>
        </row>
        <row r="73">
          <cell r="A73" t="str">
            <v>for3034</v>
          </cell>
          <cell r="B73">
            <v>36734</v>
          </cell>
          <cell r="C73" t="str">
            <v>APPLC</v>
          </cell>
          <cell r="D73" t="str">
            <v>Swap</v>
          </cell>
          <cell r="E73" t="str">
            <v>DNQ</v>
          </cell>
          <cell r="F73" t="str">
            <v>CHF</v>
          </cell>
          <cell r="G73">
            <v>238000</v>
          </cell>
          <cell r="H73" t="str">
            <v>GBP</v>
          </cell>
          <cell r="I73">
            <v>-95200</v>
          </cell>
          <cell r="J73">
            <v>2.5</v>
          </cell>
          <cell r="K73">
            <v>36769</v>
          </cell>
          <cell r="L73">
            <v>2.4918</v>
          </cell>
          <cell r="M73">
            <v>0</v>
          </cell>
          <cell r="N73">
            <v>-95513.283570109954</v>
          </cell>
          <cell r="O73">
            <v>0</v>
          </cell>
          <cell r="P73" t="e">
            <v>#N/A</v>
          </cell>
          <cell r="U73">
            <v>0</v>
          </cell>
          <cell r="V73" t="e">
            <v>#N/A</v>
          </cell>
          <cell r="Y73" t="e">
            <v>#N/A</v>
          </cell>
        </row>
        <row r="74">
          <cell r="A74" t="str">
            <v>for3052</v>
          </cell>
          <cell r="B74">
            <v>36734</v>
          </cell>
          <cell r="C74" t="str">
            <v>APPLC</v>
          </cell>
          <cell r="D74" t="str">
            <v>Forward</v>
          </cell>
          <cell r="E74" t="str">
            <v>DNQ</v>
          </cell>
          <cell r="F74" t="str">
            <v>USD</v>
          </cell>
          <cell r="G74">
            <v>873000</v>
          </cell>
          <cell r="H74" t="str">
            <v>GBP</v>
          </cell>
          <cell r="I74">
            <v>-575853.72128152207</v>
          </cell>
          <cell r="J74">
            <v>1.5160099999999996</v>
          </cell>
          <cell r="K74">
            <v>36769</v>
          </cell>
          <cell r="L74">
            <v>1.4965999999999999</v>
          </cell>
          <cell r="M74">
            <v>0</v>
          </cell>
          <cell r="N74">
            <v>-583322.19697982096</v>
          </cell>
          <cell r="O74">
            <v>0</v>
          </cell>
          <cell r="P74" t="e">
            <v>#N/A</v>
          </cell>
          <cell r="U74">
            <v>0</v>
          </cell>
          <cell r="V74" t="e">
            <v>#N/A</v>
          </cell>
          <cell r="Y74" t="e">
            <v>#N/A</v>
          </cell>
        </row>
        <row r="75">
          <cell r="A75" t="str">
            <v>for3008</v>
          </cell>
          <cell r="B75">
            <v>36705</v>
          </cell>
          <cell r="C75" t="str">
            <v>APPLC</v>
          </cell>
          <cell r="D75" t="str">
            <v>Swap</v>
          </cell>
          <cell r="E75" t="str">
            <v>C-CF-2</v>
          </cell>
          <cell r="F75" t="str">
            <v>EUR</v>
          </cell>
          <cell r="G75">
            <v>7000000</v>
          </cell>
          <cell r="H75" t="str">
            <v>GBP</v>
          </cell>
          <cell r="I75">
            <v>-4397120</v>
          </cell>
          <cell r="J75">
            <v>0.62816000000000005</v>
          </cell>
          <cell r="K75">
            <v>36769</v>
          </cell>
          <cell r="L75">
            <v>0.61872000000000005</v>
          </cell>
          <cell r="M75">
            <v>0</v>
          </cell>
          <cell r="N75">
            <v>-4331040</v>
          </cell>
          <cell r="O75">
            <v>0</v>
          </cell>
          <cell r="P75" t="e">
            <v>#N/A</v>
          </cell>
          <cell r="S75" t="str">
            <v>FXFC06,FXFC07</v>
          </cell>
          <cell r="T75">
            <v>-902037.76000000013</v>
          </cell>
          <cell r="U75">
            <v>-888481.92000000016</v>
          </cell>
          <cell r="V75" t="e">
            <v>#N/A</v>
          </cell>
          <cell r="Y75" t="e">
            <v>#N/A</v>
          </cell>
        </row>
        <row r="76">
          <cell r="A76" t="str">
            <v>for3009</v>
          </cell>
          <cell r="B76">
            <v>36705</v>
          </cell>
          <cell r="C76" t="str">
            <v>APPLC</v>
          </cell>
          <cell r="D76" t="str">
            <v>Forward</v>
          </cell>
          <cell r="E76" t="str">
            <v>DNQ</v>
          </cell>
          <cell r="F76" t="str">
            <v>EUR</v>
          </cell>
          <cell r="G76">
            <v>5500000</v>
          </cell>
          <cell r="H76" t="str">
            <v>GBP</v>
          </cell>
          <cell r="I76">
            <v>-3454880.0000000005</v>
          </cell>
          <cell r="J76">
            <v>0.62816000000000005</v>
          </cell>
          <cell r="K76">
            <v>36769</v>
          </cell>
          <cell r="L76">
            <v>0.61872000000000005</v>
          </cell>
          <cell r="M76">
            <v>0</v>
          </cell>
          <cell r="N76">
            <v>-3402960.0000000005</v>
          </cell>
          <cell r="O76">
            <v>0</v>
          </cell>
          <cell r="P76" t="e">
            <v>#N/A</v>
          </cell>
          <cell r="U76">
            <v>0</v>
          </cell>
          <cell r="V76" t="e">
            <v>#N/A</v>
          </cell>
          <cell r="Y76" t="e">
            <v>#N/A</v>
          </cell>
        </row>
        <row r="77">
          <cell r="A77" t="str">
            <v>for3010</v>
          </cell>
          <cell r="B77">
            <v>36705</v>
          </cell>
          <cell r="C77" t="str">
            <v>APPLC</v>
          </cell>
          <cell r="D77" t="str">
            <v>Swap</v>
          </cell>
          <cell r="E77" t="str">
            <v>C-CF-2</v>
          </cell>
          <cell r="F77" t="str">
            <v>EUR</v>
          </cell>
          <cell r="G77">
            <v>33000000</v>
          </cell>
          <cell r="H77" t="str">
            <v>GBP</v>
          </cell>
          <cell r="I77">
            <v>-20705355</v>
          </cell>
          <cell r="J77">
            <v>0.62743499999999996</v>
          </cell>
          <cell r="K77">
            <v>36798</v>
          </cell>
          <cell r="L77">
            <v>0.61941999999999997</v>
          </cell>
          <cell r="M77">
            <v>0</v>
          </cell>
          <cell r="N77">
            <v>-20440860</v>
          </cell>
          <cell r="O77">
            <v>0</v>
          </cell>
          <cell r="P77" t="e">
            <v>#N/A</v>
          </cell>
          <cell r="S77" t="str">
            <v>FXFC07</v>
          </cell>
          <cell r="T77">
            <v>-1158245.01</v>
          </cell>
          <cell r="U77">
            <v>-1143449.32</v>
          </cell>
          <cell r="V77" t="e">
            <v>#N/A</v>
          </cell>
          <cell r="Y77" t="e">
            <v>#N/A</v>
          </cell>
        </row>
        <row r="78">
          <cell r="A78" t="str">
            <v>for3035</v>
          </cell>
          <cell r="B78">
            <v>36734</v>
          </cell>
          <cell r="C78" t="str">
            <v>APPLC</v>
          </cell>
          <cell r="D78" t="str">
            <v>Swap</v>
          </cell>
          <cell r="E78" t="str">
            <v>C-CF-2</v>
          </cell>
          <cell r="F78" t="str">
            <v>EUR</v>
          </cell>
          <cell r="G78">
            <v>12200000</v>
          </cell>
          <cell r="H78" t="str">
            <v>GBP</v>
          </cell>
          <cell r="I78">
            <v>-7595354.0000000009</v>
          </cell>
          <cell r="J78">
            <v>0.62257000000000007</v>
          </cell>
          <cell r="K78">
            <v>36830</v>
          </cell>
          <cell r="L78">
            <v>0.62021999999999999</v>
          </cell>
          <cell r="M78">
            <v>0</v>
          </cell>
          <cell r="N78">
            <v>-7566684</v>
          </cell>
          <cell r="O78">
            <v>0</v>
          </cell>
          <cell r="P78">
            <v>-28516.970360062558</v>
          </cell>
          <cell r="S78" t="str">
            <v>FXFC07</v>
          </cell>
          <cell r="T78">
            <v>-688562.42</v>
          </cell>
          <cell r="U78">
            <v>-685963.32</v>
          </cell>
          <cell r="V78">
            <v>-2585.2269851007618</v>
          </cell>
          <cell r="Y78">
            <v>-25931.743374961796</v>
          </cell>
        </row>
        <row r="79">
          <cell r="A79" t="str">
            <v>for3043</v>
          </cell>
          <cell r="B79">
            <v>36734</v>
          </cell>
          <cell r="C79" t="str">
            <v>APPLC</v>
          </cell>
          <cell r="D79" t="str">
            <v>Swap</v>
          </cell>
          <cell r="E79" t="str">
            <v>DNQ</v>
          </cell>
          <cell r="F79" t="str">
            <v>EUR</v>
          </cell>
          <cell r="G79">
            <v>1400000</v>
          </cell>
          <cell r="H79" t="str">
            <v>GBP</v>
          </cell>
          <cell r="I79">
            <v>-869540.00000000012</v>
          </cell>
          <cell r="J79">
            <v>0.6211000000000001</v>
          </cell>
          <cell r="K79">
            <v>36769</v>
          </cell>
          <cell r="L79">
            <v>0.61872000000000005</v>
          </cell>
          <cell r="M79">
            <v>0</v>
          </cell>
          <cell r="N79">
            <v>-866208.00000000012</v>
          </cell>
          <cell r="O79">
            <v>0</v>
          </cell>
          <cell r="P79" t="e">
            <v>#N/A</v>
          </cell>
          <cell r="U79">
            <v>0</v>
          </cell>
          <cell r="V79" t="e">
            <v>#N/A</v>
          </cell>
          <cell r="Y79" t="e">
            <v>#N/A</v>
          </cell>
        </row>
        <row r="80">
          <cell r="A80" t="str">
            <v>for3044</v>
          </cell>
          <cell r="B80">
            <v>36734</v>
          </cell>
          <cell r="C80" t="str">
            <v>APPLC</v>
          </cell>
          <cell r="D80" t="str">
            <v>Swap</v>
          </cell>
          <cell r="E80" t="str">
            <v>DNQ</v>
          </cell>
          <cell r="F80" t="str">
            <v>EUR</v>
          </cell>
          <cell r="G80">
            <v>485000</v>
          </cell>
          <cell r="H80" t="str">
            <v>GBP</v>
          </cell>
          <cell r="I80">
            <v>-301233.50000000006</v>
          </cell>
          <cell r="J80">
            <v>0.6211000000000001</v>
          </cell>
          <cell r="K80">
            <v>36769</v>
          </cell>
          <cell r="L80">
            <v>0.61872000000000005</v>
          </cell>
          <cell r="M80">
            <v>0</v>
          </cell>
          <cell r="N80">
            <v>-300079.2</v>
          </cell>
          <cell r="O80">
            <v>0</v>
          </cell>
          <cell r="P80" t="e">
            <v>#N/A</v>
          </cell>
          <cell r="U80">
            <v>0</v>
          </cell>
          <cell r="V80" t="e">
            <v>#N/A</v>
          </cell>
          <cell r="Y80" t="e">
            <v>#N/A</v>
          </cell>
        </row>
        <row r="81">
          <cell r="A81" t="str">
            <v>for3055</v>
          </cell>
          <cell r="B81">
            <v>36734</v>
          </cell>
          <cell r="C81" t="str">
            <v>APHLDNGS BV</v>
          </cell>
          <cell r="D81" t="str">
            <v>Swap</v>
          </cell>
          <cell r="E81" t="str">
            <v>DNQ</v>
          </cell>
          <cell r="F81" t="str">
            <v>NOK</v>
          </cell>
          <cell r="G81">
            <v>43546983</v>
          </cell>
          <cell r="H81" t="str">
            <v>NLG</v>
          </cell>
          <cell r="I81">
            <v>-1618847</v>
          </cell>
          <cell r="J81">
            <v>26.899999196959318</v>
          </cell>
          <cell r="K81">
            <v>36798</v>
          </cell>
          <cell r="L81">
            <v>26.85</v>
          </cell>
          <cell r="M81">
            <v>0</v>
          </cell>
          <cell r="N81">
            <v>-1621861.56424581</v>
          </cell>
          <cell r="O81">
            <v>0</v>
          </cell>
          <cell r="P81" t="e">
            <v>#N/A</v>
          </cell>
          <cell r="U81">
            <v>0</v>
          </cell>
          <cell r="V81" t="e">
            <v>#N/A</v>
          </cell>
          <cell r="Y81" t="e">
            <v>#N/A</v>
          </cell>
        </row>
        <row r="82">
          <cell r="A82" t="str">
            <v>for3056</v>
          </cell>
          <cell r="B82">
            <v>36734</v>
          </cell>
          <cell r="C82" t="str">
            <v>APSLOV</v>
          </cell>
          <cell r="D82" t="str">
            <v>Swap</v>
          </cell>
          <cell r="E82" t="str">
            <v>DNQ</v>
          </cell>
          <cell r="F82" t="str">
            <v>EUR</v>
          </cell>
          <cell r="G82">
            <v>700000</v>
          </cell>
          <cell r="H82" t="str">
            <v>SKK</v>
          </cell>
          <cell r="I82">
            <v>-29784999.999999996</v>
          </cell>
          <cell r="J82">
            <v>42.55</v>
          </cell>
          <cell r="K82">
            <v>36830</v>
          </cell>
          <cell r="L82">
            <v>42.222999999999999</v>
          </cell>
          <cell r="M82">
            <v>0</v>
          </cell>
          <cell r="N82">
            <v>-29556100</v>
          </cell>
          <cell r="O82">
            <v>0</v>
          </cell>
          <cell r="P82">
            <v>-3329.8914684025754</v>
          </cell>
          <cell r="U82">
            <v>0</v>
          </cell>
          <cell r="V82">
            <v>0</v>
          </cell>
          <cell r="Y82">
            <v>-3329.8914684025754</v>
          </cell>
        </row>
        <row r="83">
          <cell r="A83" t="str">
            <v>for3057</v>
          </cell>
          <cell r="B83">
            <v>36738</v>
          </cell>
          <cell r="C83" t="str">
            <v>APPLC</v>
          </cell>
          <cell r="D83" t="str">
            <v>Swap</v>
          </cell>
          <cell r="E83" t="str">
            <v>C-CF-2</v>
          </cell>
          <cell r="F83" t="str">
            <v>USD</v>
          </cell>
          <cell r="G83">
            <v>530000</v>
          </cell>
          <cell r="H83" t="str">
            <v>GBP</v>
          </cell>
          <cell r="I83">
            <v>-353763.74589083384</v>
          </cell>
          <cell r="J83">
            <v>1.498175</v>
          </cell>
          <cell r="K83">
            <v>36769</v>
          </cell>
          <cell r="L83">
            <v>1.4965999999999999</v>
          </cell>
          <cell r="M83">
            <v>0</v>
          </cell>
          <cell r="N83">
            <v>-354136.04169450758</v>
          </cell>
          <cell r="O83">
            <v>0</v>
          </cell>
          <cell r="P83" t="e">
            <v>#N/A</v>
          </cell>
          <cell r="T83">
            <v>-353763.74589083384</v>
          </cell>
          <cell r="U83">
            <v>-354136.04169450758</v>
          </cell>
          <cell r="V83" t="e">
            <v>#N/A</v>
          </cell>
          <cell r="Y83" t="e">
            <v>#N/A</v>
          </cell>
        </row>
        <row r="84">
          <cell r="A84" t="str">
            <v>for3058</v>
          </cell>
          <cell r="B84">
            <v>36738</v>
          </cell>
          <cell r="C84" t="str">
            <v>APPLC</v>
          </cell>
          <cell r="D84" t="str">
            <v>Swap</v>
          </cell>
          <cell r="E84" t="str">
            <v>DNQ</v>
          </cell>
          <cell r="F84" t="str">
            <v>JPY</v>
          </cell>
          <cell r="G84">
            <v>-24300000</v>
          </cell>
          <cell r="H84" t="str">
            <v>GBP</v>
          </cell>
          <cell r="I84">
            <v>148349.83699832729</v>
          </cell>
          <cell r="J84">
            <v>163.80199999999996</v>
          </cell>
          <cell r="K84">
            <v>36740</v>
          </cell>
          <cell r="L84">
            <v>162.7852</v>
          </cell>
          <cell r="M84">
            <v>0</v>
          </cell>
          <cell r="N84">
            <v>149276.46985106755</v>
          </cell>
          <cell r="O84">
            <v>0</v>
          </cell>
          <cell r="P84" t="e">
            <v>#N/A</v>
          </cell>
          <cell r="U84">
            <v>0</v>
          </cell>
          <cell r="V84" t="e">
            <v>#N/A</v>
          </cell>
          <cell r="Y84" t="e">
            <v>#N/A</v>
          </cell>
        </row>
        <row r="85">
          <cell r="A85" t="str">
            <v>for3058</v>
          </cell>
          <cell r="B85">
            <v>36738</v>
          </cell>
          <cell r="C85" t="str">
            <v>APPLC</v>
          </cell>
          <cell r="D85" t="str">
            <v>Swap</v>
          </cell>
          <cell r="E85" t="str">
            <v>DNQ</v>
          </cell>
          <cell r="F85" t="str">
            <v>JPY</v>
          </cell>
          <cell r="G85">
            <v>24300000</v>
          </cell>
          <cell r="H85" t="str">
            <v>GBP</v>
          </cell>
          <cell r="I85">
            <v>-149079.754601227</v>
          </cell>
          <cell r="J85">
            <v>163</v>
          </cell>
          <cell r="K85">
            <v>36769</v>
          </cell>
          <cell r="L85">
            <v>162.02520000000001</v>
          </cell>
          <cell r="M85">
            <v>0</v>
          </cell>
          <cell r="N85">
            <v>-149976.67029573178</v>
          </cell>
          <cell r="O85">
            <v>0</v>
          </cell>
          <cell r="P85" t="e">
            <v>#N/A</v>
          </cell>
          <cell r="U85">
            <v>0</v>
          </cell>
          <cell r="V85" t="e">
            <v>#N/A</v>
          </cell>
          <cell r="Y85" t="e">
            <v>#N/A</v>
          </cell>
        </row>
        <row r="86">
          <cell r="A86">
            <v>389.2</v>
          </cell>
          <cell r="B86">
            <v>36572</v>
          </cell>
          <cell r="C86" t="str">
            <v>APNED</v>
          </cell>
          <cell r="D86" t="str">
            <v>Forward</v>
          </cell>
          <cell r="E86" t="str">
            <v>DNQ</v>
          </cell>
          <cell r="F86" t="str">
            <v>USD</v>
          </cell>
          <cell r="G86">
            <v>1646425.75</v>
          </cell>
          <cell r="H86" t="str">
            <v>NLG</v>
          </cell>
          <cell r="I86">
            <v>-3650125.8877500002</v>
          </cell>
          <cell r="J86">
            <v>2.2170000000000001</v>
          </cell>
          <cell r="K86">
            <v>36756</v>
          </cell>
          <cell r="L86">
            <v>2.4098999999999999</v>
          </cell>
          <cell r="M86">
            <v>0</v>
          </cell>
          <cell r="N86">
            <v>-3967721.4149249997</v>
          </cell>
          <cell r="O86">
            <v>0</v>
          </cell>
          <cell r="P86" t="e">
            <v>#N/A</v>
          </cell>
          <cell r="V86" t="e">
            <v>#N/A</v>
          </cell>
          <cell r="Y86" t="e">
            <v>#N/A</v>
          </cell>
        </row>
        <row r="87">
          <cell r="A87">
            <v>390</v>
          </cell>
          <cell r="B87">
            <v>36399</v>
          </cell>
          <cell r="C87" t="str">
            <v>APNED</v>
          </cell>
          <cell r="D87" t="str">
            <v>Forward</v>
          </cell>
          <cell r="E87" t="str">
            <v>DNQ</v>
          </cell>
          <cell r="F87" t="str">
            <v>HKD</v>
          </cell>
          <cell r="G87">
            <v>6707047.7000000002</v>
          </cell>
          <cell r="H87" t="str">
            <v>NLG</v>
          </cell>
          <cell r="I87">
            <v>-1745831.1022146</v>
          </cell>
          <cell r="J87">
            <v>0.26029799999999997</v>
          </cell>
          <cell r="K87">
            <v>36769</v>
          </cell>
          <cell r="L87">
            <v>0.30884</v>
          </cell>
          <cell r="M87">
            <v>0</v>
          </cell>
          <cell r="N87">
            <v>-2071404.611668</v>
          </cell>
          <cell r="O87">
            <v>0</v>
          </cell>
          <cell r="P87" t="e">
            <v>#N/A</v>
          </cell>
          <cell r="V87" t="e">
            <v>#N/A</v>
          </cell>
          <cell r="Y87" t="e">
            <v>#N/A</v>
          </cell>
        </row>
        <row r="88">
          <cell r="A88">
            <v>395</v>
          </cell>
          <cell r="B88">
            <v>36734</v>
          </cell>
          <cell r="C88" t="str">
            <v>APNED</v>
          </cell>
          <cell r="D88" t="str">
            <v>Forward</v>
          </cell>
          <cell r="E88" t="str">
            <v>DNQ</v>
          </cell>
          <cell r="F88" t="str">
            <v>GBP</v>
          </cell>
          <cell r="G88">
            <v>165000</v>
          </cell>
          <cell r="H88" t="str">
            <v>NLG</v>
          </cell>
          <cell r="I88">
            <v>-578604.04800000007</v>
          </cell>
          <cell r="J88">
            <v>3.5066912000000001</v>
          </cell>
          <cell r="K88">
            <v>36798</v>
          </cell>
          <cell r="L88">
            <v>3.5918000000000001</v>
          </cell>
          <cell r="M88">
            <v>0</v>
          </cell>
          <cell r="N88">
            <v>-592647</v>
          </cell>
          <cell r="O88">
            <v>0</v>
          </cell>
          <cell r="P88" t="e">
            <v>#N/A</v>
          </cell>
          <cell r="V88" t="e">
            <v>#N/A</v>
          </cell>
          <cell r="Y88" t="e">
            <v>#N/A</v>
          </cell>
        </row>
        <row r="89">
          <cell r="A89">
            <v>394.1</v>
          </cell>
          <cell r="B89">
            <v>36734</v>
          </cell>
          <cell r="C89" t="str">
            <v>APNED</v>
          </cell>
          <cell r="D89" t="str">
            <v>Forward</v>
          </cell>
          <cell r="E89" t="str">
            <v>DNQ</v>
          </cell>
          <cell r="F89" t="str">
            <v>NOK</v>
          </cell>
          <cell r="G89">
            <v>44076804.420000002</v>
          </cell>
          <cell r="H89" t="str">
            <v>NLG</v>
          </cell>
          <cell r="I89">
            <v>-11825806.625885999</v>
          </cell>
          <cell r="J89">
            <v>0.26829999999999998</v>
          </cell>
          <cell r="K89">
            <v>36798</v>
          </cell>
          <cell r="L89">
            <v>0.26850000000000002</v>
          </cell>
          <cell r="M89">
            <v>0</v>
          </cell>
          <cell r="N89">
            <v>-11834621.98677</v>
          </cell>
          <cell r="O89">
            <v>0</v>
          </cell>
          <cell r="P89" t="e">
            <v>#N/A</v>
          </cell>
          <cell r="V89" t="e">
            <v>#N/A</v>
          </cell>
          <cell r="Y89" t="e">
            <v>#N/A</v>
          </cell>
        </row>
        <row r="90">
          <cell r="A90">
            <v>396</v>
          </cell>
          <cell r="B90">
            <v>36734</v>
          </cell>
          <cell r="C90" t="str">
            <v>APNED</v>
          </cell>
          <cell r="D90" t="str">
            <v>Forward</v>
          </cell>
          <cell r="E90" t="str">
            <v>DNQ</v>
          </cell>
          <cell r="F90" t="str">
            <v>GBP</v>
          </cell>
          <cell r="G90">
            <v>515000</v>
          </cell>
          <cell r="H90" t="str">
            <v>NLG</v>
          </cell>
          <cell r="I90">
            <v>-1800729.43</v>
          </cell>
          <cell r="J90">
            <v>3.4965619999999999</v>
          </cell>
          <cell r="K90">
            <v>36821</v>
          </cell>
          <cell r="L90">
            <v>3.5872999999999999</v>
          </cell>
          <cell r="M90">
            <v>0</v>
          </cell>
          <cell r="N90">
            <v>-1847459.5</v>
          </cell>
          <cell r="O90">
            <v>0</v>
          </cell>
          <cell r="P90">
            <v>13063.909155520465</v>
          </cell>
          <cell r="V90">
            <v>0</v>
          </cell>
          <cell r="Y90">
            <v>13063.909155520465</v>
          </cell>
        </row>
        <row r="91">
          <cell r="A91">
            <v>397</v>
          </cell>
          <cell r="B91">
            <v>36734</v>
          </cell>
          <cell r="C91" t="str">
            <v>APNED</v>
          </cell>
          <cell r="D91" t="str">
            <v>Forward</v>
          </cell>
          <cell r="E91" t="str">
            <v>DNQ</v>
          </cell>
          <cell r="F91" t="str">
            <v>GBP</v>
          </cell>
          <cell r="G91">
            <v>467000</v>
          </cell>
          <cell r="H91" t="str">
            <v>NLG</v>
          </cell>
          <cell r="I91">
            <v>-1628129.186</v>
          </cell>
          <cell r="J91">
            <v>3.4863580000000001</v>
          </cell>
          <cell r="K91">
            <v>36980</v>
          </cell>
          <cell r="L91">
            <v>3.5674000000000001</v>
          </cell>
          <cell r="M91">
            <v>0</v>
          </cell>
          <cell r="N91">
            <v>-1665975.8</v>
          </cell>
          <cell r="O91">
            <v>0</v>
          </cell>
          <cell r="P91">
            <v>10348.003339660927</v>
          </cell>
          <cell r="V91">
            <v>0</v>
          </cell>
          <cell r="Y91">
            <v>10348.003339660927</v>
          </cell>
        </row>
        <row r="92">
          <cell r="A92">
            <v>398</v>
          </cell>
          <cell r="B92">
            <v>36734</v>
          </cell>
          <cell r="C92" t="str">
            <v>APNED</v>
          </cell>
          <cell r="D92" t="str">
            <v>Forward</v>
          </cell>
          <cell r="E92" t="str">
            <v>DNQ</v>
          </cell>
          <cell r="F92" t="str">
            <v>GBP</v>
          </cell>
          <cell r="G92">
            <v>1266000</v>
          </cell>
          <cell r="H92" t="str">
            <v>NLG</v>
          </cell>
          <cell r="I92">
            <v>-4402550.4479999999</v>
          </cell>
          <cell r="J92">
            <v>3.477528</v>
          </cell>
          <cell r="K92">
            <v>37071</v>
          </cell>
          <cell r="L92">
            <v>3.57</v>
          </cell>
          <cell r="M92">
            <v>0</v>
          </cell>
          <cell r="N92">
            <v>-4519620</v>
          </cell>
          <cell r="O92">
            <v>0</v>
          </cell>
          <cell r="P92">
            <v>31591.328053016568</v>
          </cell>
          <cell r="V92">
            <v>0</v>
          </cell>
          <cell r="Y92">
            <v>31591.328053016568</v>
          </cell>
        </row>
        <row r="93">
          <cell r="A93">
            <v>399</v>
          </cell>
          <cell r="B93">
            <v>36734</v>
          </cell>
          <cell r="C93" t="str">
            <v>APNED</v>
          </cell>
          <cell r="D93" t="str">
            <v>Forward</v>
          </cell>
          <cell r="E93" t="str">
            <v>DNQ</v>
          </cell>
          <cell r="F93" t="str">
            <v>GBP</v>
          </cell>
          <cell r="G93">
            <v>812000</v>
          </cell>
          <cell r="H93" t="str">
            <v>NLG</v>
          </cell>
          <cell r="I93">
            <v>-2818416.2720000003</v>
          </cell>
          <cell r="J93">
            <v>3.4709560000000002</v>
          </cell>
          <cell r="K93">
            <v>37162</v>
          </cell>
          <cell r="L93">
            <v>3.5375000000000001</v>
          </cell>
          <cell r="M93">
            <v>0</v>
          </cell>
          <cell r="N93">
            <v>-2872450</v>
          </cell>
          <cell r="O93">
            <v>0</v>
          </cell>
          <cell r="P93">
            <v>14386.8659046223</v>
          </cell>
          <cell r="V93">
            <v>0</v>
          </cell>
          <cell r="Y93">
            <v>14386.8659046223</v>
          </cell>
        </row>
        <row r="94">
          <cell r="A94">
            <v>14438</v>
          </cell>
          <cell r="C94" t="str">
            <v>APAS</v>
          </cell>
          <cell r="D94" t="str">
            <v>Forward</v>
          </cell>
          <cell r="E94" t="str">
            <v>DNQ</v>
          </cell>
          <cell r="F94" t="str">
            <v>USD</v>
          </cell>
          <cell r="G94">
            <v>320000</v>
          </cell>
          <cell r="H94" t="str">
            <v>NOK</v>
          </cell>
          <cell r="I94">
            <v>-2831520</v>
          </cell>
          <cell r="J94">
            <v>8.8484999999999996</v>
          </cell>
          <cell r="K94">
            <v>36748</v>
          </cell>
          <cell r="L94">
            <v>8.9448000000000008</v>
          </cell>
          <cell r="M94">
            <v>0</v>
          </cell>
          <cell r="N94">
            <v>-2862336.0000000005</v>
          </cell>
          <cell r="O94">
            <v>0</v>
          </cell>
          <cell r="P94" t="e">
            <v>#N/A</v>
          </cell>
          <cell r="U94">
            <v>0</v>
          </cell>
          <cell r="V94" t="e">
            <v>#N/A</v>
          </cell>
          <cell r="Y94" t="e">
            <v>#N/A</v>
          </cell>
        </row>
        <row r="95">
          <cell r="A95">
            <v>14528</v>
          </cell>
          <cell r="C95" t="str">
            <v>APAS</v>
          </cell>
          <cell r="D95" t="str">
            <v>Forward</v>
          </cell>
          <cell r="E95" t="str">
            <v>DNQ</v>
          </cell>
          <cell r="F95" t="str">
            <v>USD</v>
          </cell>
          <cell r="G95">
            <v>390700</v>
          </cell>
          <cell r="H95" t="str">
            <v>NOK</v>
          </cell>
          <cell r="I95">
            <v>-3455624.29</v>
          </cell>
          <cell r="J95">
            <v>8.8446999999999996</v>
          </cell>
          <cell r="K95">
            <v>36748</v>
          </cell>
          <cell r="L95">
            <v>8.9448000000000008</v>
          </cell>
          <cell r="M95">
            <v>0</v>
          </cell>
          <cell r="N95">
            <v>-3494733.3600000003</v>
          </cell>
          <cell r="O95">
            <v>0</v>
          </cell>
          <cell r="P95" t="e">
            <v>#N/A</v>
          </cell>
          <cell r="U95">
            <v>0</v>
          </cell>
          <cell r="V95" t="e">
            <v>#N/A</v>
          </cell>
          <cell r="Y95" t="e">
            <v>#N/A</v>
          </cell>
        </row>
        <row r="96">
          <cell r="C96" t="str">
            <v>APAS</v>
          </cell>
          <cell r="D96" t="str">
            <v>Forward</v>
          </cell>
          <cell r="E96" t="str">
            <v>DNQ</v>
          </cell>
          <cell r="F96" t="str">
            <v>USD</v>
          </cell>
          <cell r="G96">
            <v>-500000</v>
          </cell>
          <cell r="H96" t="str">
            <v>NOK</v>
          </cell>
          <cell r="I96">
            <v>4355165</v>
          </cell>
          <cell r="J96">
            <v>8.7103300000000008</v>
          </cell>
          <cell r="K96">
            <v>36759</v>
          </cell>
          <cell r="L96">
            <v>8.9451000000000001</v>
          </cell>
          <cell r="M96">
            <v>0</v>
          </cell>
          <cell r="N96">
            <v>4472550</v>
          </cell>
          <cell r="O96">
            <v>0</v>
          </cell>
          <cell r="P96" t="e">
            <v>#N/A</v>
          </cell>
          <cell r="U96">
            <v>0</v>
          </cell>
          <cell r="V96" t="e">
            <v>#N/A</v>
          </cell>
          <cell r="Y96" t="e">
            <v>#N/A</v>
          </cell>
        </row>
        <row r="97">
          <cell r="A97">
            <v>14536</v>
          </cell>
          <cell r="C97" t="str">
            <v>APAS</v>
          </cell>
          <cell r="D97" t="str">
            <v>Forward</v>
          </cell>
          <cell r="E97" t="str">
            <v>DNQ</v>
          </cell>
          <cell r="F97" t="str">
            <v>USD</v>
          </cell>
          <cell r="G97">
            <v>156000</v>
          </cell>
          <cell r="H97" t="str">
            <v>NOK</v>
          </cell>
          <cell r="I97">
            <v>-1236627.6000000001</v>
          </cell>
          <cell r="J97">
            <v>7.9271000000000003</v>
          </cell>
          <cell r="K97">
            <v>36768</v>
          </cell>
          <cell r="L97">
            <v>8.9454999999999991</v>
          </cell>
          <cell r="M97">
            <v>0</v>
          </cell>
          <cell r="N97">
            <v>-1395497.9999999998</v>
          </cell>
          <cell r="O97">
            <v>0</v>
          </cell>
          <cell r="P97" t="e">
            <v>#N/A</v>
          </cell>
          <cell r="U97">
            <v>0</v>
          </cell>
          <cell r="V97" t="e">
            <v>#N/A</v>
          </cell>
          <cell r="Y97" t="e">
            <v>#N/A</v>
          </cell>
        </row>
        <row r="98">
          <cell r="A98">
            <v>14537</v>
          </cell>
          <cell r="C98" t="str">
            <v>APAS</v>
          </cell>
          <cell r="D98" t="str">
            <v>Forward</v>
          </cell>
          <cell r="E98" t="str">
            <v>DNQ</v>
          </cell>
          <cell r="F98" t="str">
            <v>USD</v>
          </cell>
          <cell r="G98">
            <v>156000</v>
          </cell>
          <cell r="H98" t="str">
            <v>NOK</v>
          </cell>
          <cell r="I98">
            <v>-1236627.6000000001</v>
          </cell>
          <cell r="J98">
            <v>7.9271000000000003</v>
          </cell>
          <cell r="K98">
            <v>36768</v>
          </cell>
          <cell r="L98">
            <v>8.9454999999999991</v>
          </cell>
          <cell r="M98">
            <v>0</v>
          </cell>
          <cell r="N98">
            <v>-1395497.9999999998</v>
          </cell>
          <cell r="O98">
            <v>0</v>
          </cell>
          <cell r="P98" t="e">
            <v>#N/A</v>
          </cell>
          <cell r="U98">
            <v>0</v>
          </cell>
          <cell r="V98" t="e">
            <v>#N/A</v>
          </cell>
          <cell r="Y98" t="e">
            <v>#N/A</v>
          </cell>
        </row>
        <row r="99">
          <cell r="A99">
            <v>14468</v>
          </cell>
          <cell r="C99" t="str">
            <v>APAS</v>
          </cell>
          <cell r="D99" t="str">
            <v>Forward</v>
          </cell>
          <cell r="E99" t="str">
            <v>DNQ</v>
          </cell>
          <cell r="F99" t="str">
            <v>USD</v>
          </cell>
          <cell r="G99">
            <v>209000</v>
          </cell>
          <cell r="H99" t="str">
            <v>NOK</v>
          </cell>
          <cell r="I99">
            <v>-1635550.4</v>
          </cell>
          <cell r="J99">
            <v>7.8255999999999997</v>
          </cell>
          <cell r="K99">
            <v>36768</v>
          </cell>
          <cell r="L99">
            <v>8.9454999999999991</v>
          </cell>
          <cell r="M99">
            <v>0</v>
          </cell>
          <cell r="N99">
            <v>-1869609.4999999998</v>
          </cell>
          <cell r="O99">
            <v>0</v>
          </cell>
          <cell r="P99" t="e">
            <v>#N/A</v>
          </cell>
          <cell r="U99">
            <v>0</v>
          </cell>
          <cell r="V99" t="e">
            <v>#N/A</v>
          </cell>
          <cell r="Y99" t="e">
            <v>#N/A</v>
          </cell>
        </row>
        <row r="100">
          <cell r="A100">
            <v>14501</v>
          </cell>
          <cell r="C100" t="str">
            <v>APAS</v>
          </cell>
          <cell r="D100" t="str">
            <v>Forward</v>
          </cell>
          <cell r="E100" t="str">
            <v>DNQ</v>
          </cell>
          <cell r="F100" t="str">
            <v>USD</v>
          </cell>
          <cell r="G100">
            <v>242000</v>
          </cell>
          <cell r="H100" t="str">
            <v>NOK</v>
          </cell>
          <cell r="I100">
            <v>-2140490</v>
          </cell>
          <cell r="J100">
            <v>8.8450000000000006</v>
          </cell>
          <cell r="K100">
            <v>36801</v>
          </cell>
          <cell r="L100">
            <v>8.9480000000000004</v>
          </cell>
          <cell r="M100">
            <v>0</v>
          </cell>
          <cell r="N100">
            <v>-2165416</v>
          </cell>
          <cell r="O100">
            <v>0</v>
          </cell>
          <cell r="P100">
            <v>1876.5221476754491</v>
          </cell>
          <cell r="U100">
            <v>0</v>
          </cell>
          <cell r="V100">
            <v>0</v>
          </cell>
          <cell r="Y100">
            <v>1876.5221476754491</v>
          </cell>
        </row>
        <row r="101">
          <cell r="A101">
            <v>14546</v>
          </cell>
          <cell r="C101" t="str">
            <v>APAS</v>
          </cell>
          <cell r="D101" t="str">
            <v>Forward</v>
          </cell>
          <cell r="E101" t="str">
            <v>DNQ</v>
          </cell>
          <cell r="F101" t="str">
            <v>USD</v>
          </cell>
          <cell r="G101">
            <v>250000</v>
          </cell>
          <cell r="H101" t="str">
            <v>NOK</v>
          </cell>
          <cell r="I101">
            <v>-2032375</v>
          </cell>
          <cell r="J101">
            <v>8.1295000000000002</v>
          </cell>
          <cell r="K101">
            <v>36815</v>
          </cell>
          <cell r="L101">
            <v>8.9499999999999993</v>
          </cell>
          <cell r="M101">
            <v>0</v>
          </cell>
          <cell r="N101">
            <v>-2237500</v>
          </cell>
          <cell r="O101">
            <v>0</v>
          </cell>
          <cell r="P101">
            <v>15391.30202551707</v>
          </cell>
          <cell r="U101">
            <v>0</v>
          </cell>
          <cell r="V101">
            <v>0</v>
          </cell>
          <cell r="Y101">
            <v>15391.30202551707</v>
          </cell>
        </row>
        <row r="102">
          <cell r="A102">
            <v>14443</v>
          </cell>
          <cell r="C102" t="str">
            <v>APAS</v>
          </cell>
          <cell r="D102" t="str">
            <v>Forward</v>
          </cell>
          <cell r="E102" t="str">
            <v>DNQ</v>
          </cell>
          <cell r="F102" t="str">
            <v>USD</v>
          </cell>
          <cell r="G102">
            <v>480000</v>
          </cell>
          <cell r="H102" t="str">
            <v>NOK</v>
          </cell>
          <cell r="I102">
            <v>-4105824.0000000005</v>
          </cell>
          <cell r="J102">
            <v>8.5538000000000007</v>
          </cell>
          <cell r="K102">
            <v>37089</v>
          </cell>
          <cell r="L102">
            <v>8.9824000000000002</v>
          </cell>
          <cell r="M102">
            <v>0</v>
          </cell>
          <cell r="N102">
            <v>-4311552</v>
          </cell>
          <cell r="O102">
            <v>0</v>
          </cell>
          <cell r="P102">
            <v>14598.266893869457</v>
          </cell>
          <cell r="U102">
            <v>0</v>
          </cell>
          <cell r="V102">
            <v>0</v>
          </cell>
          <cell r="Y102">
            <v>14598.266893869457</v>
          </cell>
        </row>
        <row r="103">
          <cell r="A103">
            <v>14534</v>
          </cell>
          <cell r="C103" t="str">
            <v>APAS</v>
          </cell>
          <cell r="D103" t="str">
            <v>Forward</v>
          </cell>
          <cell r="E103" t="str">
            <v>DNQ</v>
          </cell>
          <cell r="F103" t="str">
            <v>USD</v>
          </cell>
          <cell r="G103">
            <v>149000</v>
          </cell>
          <cell r="H103" t="str">
            <v>NOK</v>
          </cell>
          <cell r="I103">
            <v>-1317905</v>
          </cell>
          <cell r="J103">
            <v>8.8450000000000006</v>
          </cell>
          <cell r="K103">
            <v>36815</v>
          </cell>
          <cell r="L103">
            <v>8.9512</v>
          </cell>
          <cell r="M103">
            <v>0</v>
          </cell>
          <cell r="N103">
            <v>-1333728.8</v>
          </cell>
          <cell r="O103">
            <v>0</v>
          </cell>
          <cell r="P103">
            <v>1187.3193661980633</v>
          </cell>
          <cell r="U103">
            <v>0</v>
          </cell>
          <cell r="V103">
            <v>0</v>
          </cell>
          <cell r="Y103">
            <v>1187.3193661980633</v>
          </cell>
        </row>
        <row r="104">
          <cell r="A104">
            <v>14557</v>
          </cell>
          <cell r="C104" t="str">
            <v>APAS</v>
          </cell>
          <cell r="D104" t="str">
            <v>Forward</v>
          </cell>
          <cell r="E104" t="str">
            <v>DNQ</v>
          </cell>
          <cell r="F104" t="str">
            <v>USD</v>
          </cell>
          <cell r="G104">
            <v>177000</v>
          </cell>
          <cell r="H104" t="str">
            <v>NOK</v>
          </cell>
          <cell r="I104">
            <v>-1477419</v>
          </cell>
          <cell r="J104">
            <v>8.3469999999999995</v>
          </cell>
          <cell r="K104">
            <v>36816</v>
          </cell>
          <cell r="L104">
            <v>8.9512</v>
          </cell>
          <cell r="M104">
            <v>0</v>
          </cell>
          <cell r="N104">
            <v>-1584362.4</v>
          </cell>
          <cell r="O104">
            <v>0</v>
          </cell>
          <cell r="P104">
            <v>8022.5174529637834</v>
          </cell>
          <cell r="U104">
            <v>0</v>
          </cell>
          <cell r="V104">
            <v>0</v>
          </cell>
          <cell r="Y104">
            <v>8022.5174529637834</v>
          </cell>
        </row>
        <row r="105">
          <cell r="A105">
            <v>14547</v>
          </cell>
          <cell r="C105" t="str">
            <v>APAS</v>
          </cell>
          <cell r="D105" t="str">
            <v>Forward</v>
          </cell>
          <cell r="E105" t="str">
            <v>DNQ</v>
          </cell>
          <cell r="F105" t="str">
            <v>USD</v>
          </cell>
          <cell r="G105">
            <v>250000</v>
          </cell>
          <cell r="H105" t="str">
            <v>NOK</v>
          </cell>
          <cell r="I105">
            <v>-2029875</v>
          </cell>
          <cell r="J105">
            <v>8.1195000000000004</v>
          </cell>
          <cell r="K105">
            <v>36871</v>
          </cell>
          <cell r="L105">
            <v>8.9558</v>
          </cell>
          <cell r="M105">
            <v>0</v>
          </cell>
          <cell r="N105">
            <v>-2238950</v>
          </cell>
          <cell r="O105">
            <v>0</v>
          </cell>
          <cell r="P105">
            <v>15509.130018605067</v>
          </cell>
          <cell r="U105">
            <v>0</v>
          </cell>
          <cell r="V105">
            <v>0</v>
          </cell>
          <cell r="Y105">
            <v>15509.130018605067</v>
          </cell>
        </row>
        <row r="106">
          <cell r="C106" t="str">
            <v>APAS</v>
          </cell>
          <cell r="D106" t="str">
            <v>Forward</v>
          </cell>
          <cell r="E106" t="str">
            <v>DNQ</v>
          </cell>
          <cell r="F106" t="str">
            <v>USD</v>
          </cell>
          <cell r="G106">
            <v>1000000</v>
          </cell>
          <cell r="H106" t="str">
            <v>NOK</v>
          </cell>
          <cell r="I106">
            <v>-8918500</v>
          </cell>
          <cell r="J106">
            <v>8.9184999999999999</v>
          </cell>
          <cell r="K106">
            <v>36875</v>
          </cell>
          <cell r="L106">
            <v>8.9558</v>
          </cell>
          <cell r="M106">
            <v>0</v>
          </cell>
          <cell r="N106">
            <v>-8955800</v>
          </cell>
          <cell r="O106">
            <v>0</v>
          </cell>
          <cell r="P106">
            <v>2764.9571377022457</v>
          </cell>
          <cell r="U106">
            <v>0</v>
          </cell>
          <cell r="V106">
            <v>0</v>
          </cell>
          <cell r="Y106">
            <v>2764.9571377022457</v>
          </cell>
        </row>
        <row r="107">
          <cell r="C107" t="str">
            <v>APAS</v>
          </cell>
          <cell r="D107" t="str">
            <v>Forward</v>
          </cell>
          <cell r="E107" t="str">
            <v>DNQ</v>
          </cell>
          <cell r="F107" t="str">
            <v>USD</v>
          </cell>
          <cell r="G107">
            <v>173000</v>
          </cell>
          <cell r="H107" t="str">
            <v>NOK</v>
          </cell>
          <cell r="I107">
            <v>-1572916</v>
          </cell>
          <cell r="J107">
            <v>9.0920000000000005</v>
          </cell>
          <cell r="K107">
            <v>36875</v>
          </cell>
          <cell r="L107">
            <v>8.9558</v>
          </cell>
          <cell r="M107">
            <v>0</v>
          </cell>
          <cell r="N107">
            <v>-1549353.4</v>
          </cell>
          <cell r="O107">
            <v>0</v>
          </cell>
          <cell r="P107">
            <v>-1746.6375081185843</v>
          </cell>
          <cell r="U107">
            <v>0</v>
          </cell>
          <cell r="V107">
            <v>0</v>
          </cell>
          <cell r="Y107">
            <v>-1746.6375081185843</v>
          </cell>
        </row>
        <row r="108">
          <cell r="C108" t="str">
            <v>APAS</v>
          </cell>
          <cell r="D108" t="str">
            <v>Forward</v>
          </cell>
          <cell r="E108" t="str">
            <v>DNQ</v>
          </cell>
          <cell r="F108" t="str">
            <v>USD</v>
          </cell>
          <cell r="G108">
            <v>143000</v>
          </cell>
          <cell r="H108" t="str">
            <v>NOK</v>
          </cell>
          <cell r="I108">
            <v>-1120576.5999999999</v>
          </cell>
          <cell r="J108">
            <v>7.8361999999999998</v>
          </cell>
          <cell r="K108">
            <v>36921</v>
          </cell>
          <cell r="L108">
            <v>8.9601000000000006</v>
          </cell>
          <cell r="M108">
            <v>0</v>
          </cell>
          <cell r="N108">
            <v>-1281294.3</v>
          </cell>
          <cell r="O108">
            <v>0</v>
          </cell>
          <cell r="P108">
            <v>11809.635595045631</v>
          </cell>
          <cell r="U108">
            <v>0</v>
          </cell>
          <cell r="V108">
            <v>0</v>
          </cell>
          <cell r="Y108">
            <v>11809.635595045631</v>
          </cell>
        </row>
        <row r="109">
          <cell r="C109" t="str">
            <v>APAS</v>
          </cell>
          <cell r="D109" t="str">
            <v>Forward</v>
          </cell>
          <cell r="E109" t="str">
            <v>DNQ</v>
          </cell>
          <cell r="F109" t="str">
            <v>USD</v>
          </cell>
          <cell r="G109">
            <v>413000</v>
          </cell>
          <cell r="H109" t="str">
            <v>NOK</v>
          </cell>
          <cell r="I109">
            <v>-3680862.5</v>
          </cell>
          <cell r="J109">
            <v>8.9124999999999996</v>
          </cell>
          <cell r="K109">
            <v>36937</v>
          </cell>
          <cell r="L109">
            <v>8.9649999999999999</v>
          </cell>
          <cell r="M109">
            <v>0</v>
          </cell>
          <cell r="N109">
            <v>-3702545</v>
          </cell>
          <cell r="O109">
            <v>0</v>
          </cell>
          <cell r="P109">
            <v>1588.0643864042327</v>
          </cell>
          <cell r="U109">
            <v>0</v>
          </cell>
          <cell r="V109">
            <v>0</v>
          </cell>
          <cell r="Y109">
            <v>1588.0643864042327</v>
          </cell>
        </row>
        <row r="110">
          <cell r="C110" t="str">
            <v>APAS</v>
          </cell>
          <cell r="D110" t="str">
            <v>Forward</v>
          </cell>
          <cell r="E110" t="str">
            <v>DNQ</v>
          </cell>
          <cell r="F110" t="str">
            <v>USD</v>
          </cell>
          <cell r="G110">
            <v>100000</v>
          </cell>
          <cell r="H110" t="str">
            <v>NOK</v>
          </cell>
          <cell r="I110">
            <v>-886860.00000000012</v>
          </cell>
          <cell r="J110">
            <v>8.8686000000000007</v>
          </cell>
          <cell r="K110">
            <v>36937</v>
          </cell>
          <cell r="L110">
            <v>8.9649999999999999</v>
          </cell>
          <cell r="M110">
            <v>0</v>
          </cell>
          <cell r="N110">
            <v>-896500</v>
          </cell>
          <cell r="O110">
            <v>0</v>
          </cell>
          <cell r="P110">
            <v>706.05053314592953</v>
          </cell>
          <cell r="U110">
            <v>0</v>
          </cell>
          <cell r="V110">
            <v>0</v>
          </cell>
          <cell r="Y110">
            <v>706.05053314592953</v>
          </cell>
        </row>
        <row r="111">
          <cell r="A111">
            <v>14558</v>
          </cell>
          <cell r="C111" t="str">
            <v>APAS</v>
          </cell>
          <cell r="D111" t="str">
            <v>Forward</v>
          </cell>
          <cell r="E111" t="str">
            <v>DNQ</v>
          </cell>
          <cell r="F111" t="str">
            <v>USD</v>
          </cell>
          <cell r="G111">
            <v>149000</v>
          </cell>
          <cell r="H111" t="str">
            <v>NOK</v>
          </cell>
          <cell r="I111">
            <v>-1241319</v>
          </cell>
          <cell r="J111">
            <v>8.3309999999999995</v>
          </cell>
          <cell r="K111">
            <v>36950</v>
          </cell>
          <cell r="L111">
            <v>8.9674999999999994</v>
          </cell>
          <cell r="M111">
            <v>0</v>
          </cell>
          <cell r="N111">
            <v>-1336157.5</v>
          </cell>
          <cell r="O111">
            <v>0</v>
          </cell>
          <cell r="P111">
            <v>6927.7791650531653</v>
          </cell>
          <cell r="U111">
            <v>0</v>
          </cell>
          <cell r="V111">
            <v>0</v>
          </cell>
          <cell r="Y111">
            <v>6927.7791650531653</v>
          </cell>
        </row>
        <row r="112">
          <cell r="C112" t="str">
            <v>APAS</v>
          </cell>
          <cell r="D112" t="str">
            <v>Forward</v>
          </cell>
          <cell r="E112" t="str">
            <v>DNQ</v>
          </cell>
          <cell r="F112" t="str">
            <v>USD</v>
          </cell>
          <cell r="G112">
            <v>210000</v>
          </cell>
          <cell r="H112" t="str">
            <v>NOK</v>
          </cell>
          <cell r="I112">
            <v>-1806671.9999999998</v>
          </cell>
          <cell r="J112">
            <v>8.6031999999999993</v>
          </cell>
          <cell r="K112">
            <v>36983</v>
          </cell>
          <cell r="L112">
            <v>8.9705999999999992</v>
          </cell>
          <cell r="M112">
            <v>0</v>
          </cell>
          <cell r="N112">
            <v>-1883825.9999999998</v>
          </cell>
          <cell r="O112">
            <v>0</v>
          </cell>
          <cell r="P112">
            <v>5598.1967043383484</v>
          </cell>
          <cell r="U112">
            <v>0</v>
          </cell>
          <cell r="V112">
            <v>0</v>
          </cell>
          <cell r="Y112">
            <v>5598.1967043383484</v>
          </cell>
        </row>
        <row r="113">
          <cell r="A113">
            <v>14581</v>
          </cell>
          <cell r="C113" t="str">
            <v>APAS</v>
          </cell>
          <cell r="D113" t="str">
            <v>Forward</v>
          </cell>
          <cell r="E113" t="str">
            <v>DNQ</v>
          </cell>
          <cell r="F113" t="str">
            <v>USD</v>
          </cell>
          <cell r="G113">
            <v>126000</v>
          </cell>
          <cell r="H113" t="str">
            <v>NOK</v>
          </cell>
          <cell r="I113">
            <v>-1143576</v>
          </cell>
          <cell r="J113">
            <v>9.0760000000000005</v>
          </cell>
          <cell r="K113">
            <v>36980</v>
          </cell>
          <cell r="L113">
            <v>8.9705999999999992</v>
          </cell>
          <cell r="M113">
            <v>0</v>
          </cell>
          <cell r="N113">
            <v>-1130295.5999999999</v>
          </cell>
          <cell r="O113">
            <v>0</v>
          </cell>
          <cell r="P113">
            <v>-964.19839175580694</v>
          </cell>
          <cell r="U113">
            <v>0</v>
          </cell>
          <cell r="V113">
            <v>0</v>
          </cell>
          <cell r="Y113">
            <v>-964.19839175580694</v>
          </cell>
        </row>
        <row r="114">
          <cell r="C114" t="str">
            <v>APAS</v>
          </cell>
          <cell r="D114" t="str">
            <v>Forward</v>
          </cell>
          <cell r="E114" t="str">
            <v>DNQ</v>
          </cell>
          <cell r="F114" t="str">
            <v>USD</v>
          </cell>
          <cell r="G114">
            <v>210000</v>
          </cell>
          <cell r="H114" t="str">
            <v>NOK</v>
          </cell>
          <cell r="I114">
            <v>-1806231.0000000002</v>
          </cell>
          <cell r="J114">
            <v>8.6011000000000006</v>
          </cell>
          <cell r="K114">
            <v>37026</v>
          </cell>
          <cell r="L114">
            <v>8.9745299999999997</v>
          </cell>
          <cell r="M114">
            <v>0</v>
          </cell>
          <cell r="N114">
            <v>-1884651.3</v>
          </cell>
          <cell r="P114">
            <v>5639.221672822966</v>
          </cell>
          <cell r="U114">
            <v>0</v>
          </cell>
          <cell r="V114">
            <v>0</v>
          </cell>
          <cell r="Y114">
            <v>5639.221672822966</v>
          </cell>
        </row>
        <row r="115">
          <cell r="A115">
            <v>14580</v>
          </cell>
          <cell r="C115" t="str">
            <v>APAS</v>
          </cell>
          <cell r="D115" t="str">
            <v>Forward</v>
          </cell>
          <cell r="E115" t="str">
            <v>DNQ</v>
          </cell>
          <cell r="F115" t="str">
            <v>USD</v>
          </cell>
          <cell r="G115">
            <v>126000</v>
          </cell>
          <cell r="H115" t="str">
            <v>NOK</v>
          </cell>
          <cell r="I115">
            <v>-1141812</v>
          </cell>
          <cell r="J115">
            <v>9.0619999999999994</v>
          </cell>
          <cell r="K115">
            <v>37163</v>
          </cell>
          <cell r="L115">
            <v>9.0150000000000006</v>
          </cell>
          <cell r="M115">
            <v>0</v>
          </cell>
          <cell r="N115">
            <v>-1135890</v>
          </cell>
          <cell r="P115">
            <v>-413.59685433467263</v>
          </cell>
          <cell r="U115">
            <v>0</v>
          </cell>
          <cell r="V115">
            <v>0</v>
          </cell>
          <cell r="Y115">
            <v>-413.59685433467263</v>
          </cell>
        </row>
        <row r="116">
          <cell r="C116" t="str">
            <v>APAS</v>
          </cell>
          <cell r="D116" t="str">
            <v>Forward</v>
          </cell>
          <cell r="E116" t="str">
            <v>DNQ</v>
          </cell>
          <cell r="F116" t="str">
            <v>USD</v>
          </cell>
          <cell r="G116">
            <v>157000</v>
          </cell>
          <cell r="H116" t="str">
            <v>NOK</v>
          </cell>
          <cell r="I116">
            <v>-1349760.4000000001</v>
          </cell>
          <cell r="J116">
            <v>8.5972000000000008</v>
          </cell>
          <cell r="K116">
            <v>37073</v>
          </cell>
          <cell r="L116">
            <v>8.9824000000000002</v>
          </cell>
          <cell r="M116">
            <v>0</v>
          </cell>
          <cell r="N116">
            <v>-1410236.8</v>
          </cell>
          <cell r="P116">
            <v>4305.9638015119554</v>
          </cell>
          <cell r="U116">
            <v>0</v>
          </cell>
          <cell r="V116">
            <v>0</v>
          </cell>
          <cell r="Y116">
            <v>4305.9638015119554</v>
          </cell>
        </row>
        <row r="117">
          <cell r="C117" t="str">
            <v>APAS</v>
          </cell>
          <cell r="D117" t="str">
            <v>Forward</v>
          </cell>
          <cell r="E117" t="str">
            <v>DNQ</v>
          </cell>
          <cell r="F117" t="str">
            <v>USD</v>
          </cell>
          <cell r="G117">
            <v>210000</v>
          </cell>
          <cell r="H117" t="str">
            <v>NOK</v>
          </cell>
          <cell r="I117">
            <v>-1808435.9999999998</v>
          </cell>
          <cell r="J117">
            <v>8.6115999999999993</v>
          </cell>
          <cell r="K117">
            <v>37088</v>
          </cell>
          <cell r="L117">
            <v>8.9834999999999994</v>
          </cell>
          <cell r="M117">
            <v>0</v>
          </cell>
          <cell r="N117">
            <v>-1886534.9999999998</v>
          </cell>
          <cell r="P117">
            <v>5543.0118932601072</v>
          </cell>
          <cell r="U117">
            <v>0</v>
          </cell>
          <cell r="V117">
            <v>0</v>
          </cell>
          <cell r="Y117">
            <v>5543.0118932601072</v>
          </cell>
        </row>
        <row r="118">
          <cell r="C118" t="str">
            <v>APAS</v>
          </cell>
          <cell r="D118" t="str">
            <v>Forward</v>
          </cell>
          <cell r="E118" t="str">
            <v>DNQ</v>
          </cell>
          <cell r="F118" t="str">
            <v>USD</v>
          </cell>
          <cell r="G118">
            <v>157000</v>
          </cell>
          <cell r="H118" t="str">
            <v>NOK</v>
          </cell>
          <cell r="I118">
            <v>-1350953.5999999999</v>
          </cell>
          <cell r="J118">
            <v>8.6047999999999991</v>
          </cell>
          <cell r="K118">
            <v>37088</v>
          </cell>
          <cell r="L118">
            <v>8.9834999999999994</v>
          </cell>
          <cell r="M118">
            <v>0</v>
          </cell>
          <cell r="N118">
            <v>-1410409.5</v>
          </cell>
          <cell r="P118">
            <v>4219.8332990753324</v>
          </cell>
          <cell r="U118">
            <v>0</v>
          </cell>
          <cell r="V118">
            <v>0</v>
          </cell>
          <cell r="Y118">
            <v>4219.8332990753324</v>
          </cell>
        </row>
        <row r="119">
          <cell r="C119" t="str">
            <v>APAS</v>
          </cell>
          <cell r="D119" t="str">
            <v>Forward</v>
          </cell>
          <cell r="E119" t="str">
            <v>DNQ</v>
          </cell>
          <cell r="F119" t="str">
            <v>USD</v>
          </cell>
          <cell r="G119">
            <v>192000</v>
          </cell>
          <cell r="H119" t="str">
            <v>NOK</v>
          </cell>
          <cell r="I119">
            <v>-1649894.3999999999</v>
          </cell>
          <cell r="J119">
            <v>8.5931999999999995</v>
          </cell>
          <cell r="K119">
            <v>37102</v>
          </cell>
          <cell r="L119">
            <v>8.9849999999999994</v>
          </cell>
          <cell r="M119">
            <v>0</v>
          </cell>
          <cell r="N119">
            <v>-1725120</v>
          </cell>
          <cell r="P119">
            <v>5323.164603429359</v>
          </cell>
          <cell r="U119">
            <v>0</v>
          </cell>
          <cell r="V119">
            <v>0</v>
          </cell>
          <cell r="Y119">
            <v>5323.164603429359</v>
          </cell>
        </row>
        <row r="120">
          <cell r="C120" t="str">
            <v>APAS</v>
          </cell>
          <cell r="D120" t="str">
            <v>Forward</v>
          </cell>
          <cell r="E120" t="str">
            <v>DNQ</v>
          </cell>
          <cell r="F120" t="str">
            <v>USD</v>
          </cell>
          <cell r="G120">
            <v>210000</v>
          </cell>
          <cell r="H120" t="str">
            <v>NOK</v>
          </cell>
          <cell r="I120">
            <v>-1808163</v>
          </cell>
          <cell r="J120">
            <v>8.6103000000000005</v>
          </cell>
          <cell r="K120">
            <v>37133</v>
          </cell>
          <cell r="L120">
            <v>9.0138999999999996</v>
          </cell>
          <cell r="M120">
            <v>0</v>
          </cell>
          <cell r="N120">
            <v>-1892919</v>
          </cell>
          <cell r="P120">
            <v>5957.8570384697268</v>
          </cell>
          <cell r="U120">
            <v>0</v>
          </cell>
          <cell r="V120">
            <v>0</v>
          </cell>
          <cell r="Y120">
            <v>5957.8570384697268</v>
          </cell>
        </row>
        <row r="121">
          <cell r="C121" t="str">
            <v>APAS</v>
          </cell>
          <cell r="D121" t="str">
            <v>Forward</v>
          </cell>
          <cell r="E121" t="str">
            <v>DNQ</v>
          </cell>
          <cell r="F121" t="str">
            <v>USD</v>
          </cell>
          <cell r="G121">
            <v>157000</v>
          </cell>
          <cell r="H121" t="str">
            <v>NOK</v>
          </cell>
          <cell r="I121">
            <v>-1350953.5999999999</v>
          </cell>
          <cell r="J121">
            <v>8.6047999999999991</v>
          </cell>
          <cell r="K121">
            <v>37151</v>
          </cell>
          <cell r="L121">
            <v>9.0145</v>
          </cell>
          <cell r="M121">
            <v>0</v>
          </cell>
          <cell r="N121">
            <v>-1415276.5</v>
          </cell>
          <cell r="P121">
            <v>4504.0274884725522</v>
          </cell>
          <cell r="U121">
            <v>0</v>
          </cell>
          <cell r="V121">
            <v>0</v>
          </cell>
          <cell r="Y121">
            <v>4504.0274884725522</v>
          </cell>
        </row>
        <row r="122">
          <cell r="A122">
            <v>14582</v>
          </cell>
          <cell r="C122" t="str">
            <v>APAS</v>
          </cell>
          <cell r="D122" t="str">
            <v>Forward</v>
          </cell>
          <cell r="E122" t="str">
            <v>DNQ</v>
          </cell>
          <cell r="F122" t="str">
            <v>USD</v>
          </cell>
          <cell r="G122">
            <v>126000</v>
          </cell>
          <cell r="H122" t="str">
            <v>NOK</v>
          </cell>
          <cell r="I122">
            <v>-1139670</v>
          </cell>
          <cell r="J122">
            <v>9.0449999999999999</v>
          </cell>
          <cell r="K122">
            <v>37165</v>
          </cell>
          <cell r="L122">
            <v>9.0154999999999994</v>
          </cell>
          <cell r="M122">
            <v>0</v>
          </cell>
          <cell r="N122">
            <v>-1135953</v>
          </cell>
          <cell r="P122">
            <v>-259.48797956886642</v>
          </cell>
          <cell r="U122">
            <v>0</v>
          </cell>
          <cell r="V122">
            <v>0</v>
          </cell>
          <cell r="Y122">
            <v>-259.48797956886642</v>
          </cell>
        </row>
        <row r="123">
          <cell r="C123" t="str">
            <v>APAS</v>
          </cell>
          <cell r="D123" t="str">
            <v>Forward</v>
          </cell>
          <cell r="E123" t="str">
            <v>DNQ</v>
          </cell>
          <cell r="F123" t="str">
            <v>USD</v>
          </cell>
          <cell r="G123">
            <v>192000</v>
          </cell>
          <cell r="H123" t="str">
            <v>NOK</v>
          </cell>
          <cell r="I123">
            <v>-1648204.8</v>
          </cell>
          <cell r="J123">
            <v>8.5844000000000005</v>
          </cell>
          <cell r="K123">
            <v>37165</v>
          </cell>
          <cell r="L123">
            <v>9.0154999999999994</v>
          </cell>
          <cell r="M123">
            <v>0</v>
          </cell>
          <cell r="N123">
            <v>-1730976</v>
          </cell>
          <cell r="P123">
            <v>5778.3512118618628</v>
          </cell>
          <cell r="U123">
            <v>0</v>
          </cell>
          <cell r="V123">
            <v>0</v>
          </cell>
          <cell r="Y123">
            <v>5778.3512118618628</v>
          </cell>
        </row>
        <row r="124">
          <cell r="A124">
            <v>14584</v>
          </cell>
          <cell r="C124" t="str">
            <v>APAS</v>
          </cell>
          <cell r="D124" t="str">
            <v>Forward</v>
          </cell>
          <cell r="E124" t="str">
            <v>DNQ</v>
          </cell>
          <cell r="F124" t="str">
            <v>USD</v>
          </cell>
          <cell r="G124">
            <v>250000</v>
          </cell>
          <cell r="H124" t="str">
            <v>NOK</v>
          </cell>
          <cell r="I124">
            <v>-2148375</v>
          </cell>
          <cell r="J124">
            <v>8.5935000000000006</v>
          </cell>
          <cell r="K124">
            <v>37164</v>
          </cell>
          <cell r="L124">
            <v>9.0150000000000006</v>
          </cell>
          <cell r="M124">
            <v>0</v>
          </cell>
          <cell r="N124">
            <v>-2253750</v>
          </cell>
          <cell r="P124">
            <v>7357.8747749215581</v>
          </cell>
          <cell r="U124">
            <v>0</v>
          </cell>
          <cell r="V124">
            <v>0</v>
          </cell>
          <cell r="Y124">
            <v>7357.8747749215581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S_DATA.XLS"/>
    </sheetNames>
    <sheetDataSet>
      <sheetData sheetId="0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t"/>
      <sheetName val="Bud"/>
      <sheetName val="PY"/>
      <sheetName val="SG&amp;A DATA"/>
      <sheetName val="OTHER"/>
      <sheetName val="FY 00 Mth Trend "/>
      <sheetName val="FY 00 Qtr Trend "/>
      <sheetName val="Revised Target"/>
      <sheetName val="YTD Annual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put"/>
      <sheetName val="TOTAL quarterly data + graphs"/>
      <sheetName val="Summar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-Sales Trend"/>
      <sheetName val="REGION-DP Trend"/>
      <sheetName val="REGION-Mos Analysis"/>
      <sheetName val="Tonnage Fcst Summary"/>
      <sheetName val="Mos Recon"/>
      <sheetName val="Qtrly Recon"/>
      <sheetName val="COSTS"/>
      <sheetName val="COSTS (2)"/>
      <sheetName val="COSTS (3)"/>
      <sheetName val="WWCONS"/>
      <sheetName val="Eur-Fcst"/>
      <sheetName val="Asia"/>
      <sheetName val="Europe"/>
      <sheetName val="Qtrly Recon WW"/>
      <sheetName val="Tonnage Fcst Summary (2)"/>
      <sheetName val="MF-Op Plan"/>
      <sheetName val="NA MF-Op Plan "/>
      <sheetName val="Eur MF-Op Plan "/>
      <sheetName val="Asia MF (2)"/>
      <sheetName val="Tonnage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A Trend"/>
      <sheetName val="ServRend Support Services"/>
      <sheetName val="India ServRend"/>
      <sheetName val="SRCO Support Services"/>
      <sheetName val="ServRend Bus Areas"/>
      <sheetName val="SRCO Bus Areas"/>
      <sheetName val="SRCO Restatement of Rs"/>
      <sheetName val="APCons"/>
      <sheetName val="ESCON (2)"/>
      <sheetName val="Medical APRES"/>
      <sheetName val="OTR APRES"/>
      <sheetName val="FAS 87 BalRep"/>
      <sheetName val="ServR Support Services NON SG&amp;A"/>
      <sheetName val="SRCO Support Services NON S (2)"/>
      <sheetName val="APRES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gvarpy"/>
    </sheetNames>
    <definedNames>
      <definedName name="segment"/>
    </defined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uter"/>
      <sheetName val="Sheet2"/>
      <sheetName val="Sheet1"/>
      <sheetName val="ASSUMPTION"/>
      <sheetName val="Variance analysis"/>
      <sheetName val="Sales Volume Breakdown"/>
      <sheetName val="EAP sales analysis"/>
      <sheetName val="APN Sales Analysis"/>
      <sheetName val="Volume-combined"/>
      <sheetName val="sales and cost-EAP"/>
      <sheetName val="sales &amp; cost-APN"/>
      <sheetName val="PL-EAP"/>
      <sheetName val="P&amp;L-APN"/>
      <sheetName val="PL-combined"/>
      <sheetName val="SG&amp;A"/>
      <sheetName val="FA report-Apr"/>
      <sheetName val="BUD97"/>
      <sheetName val="CNSE5"/>
      <sheetName val="Cost Centers"/>
      <sheetName val="Data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-Cost"/>
      <sheetName val="MR-IR"/>
      <sheetName val="MF-TAX"/>
      <sheetName val="MF-CSC"/>
      <sheetName val="MF-ACC"/>
      <sheetName val="MF-CONT"/>
      <sheetName val="MF-Corp Fin"/>
      <sheetName val="MF-Corp Fin-excl-MIS"/>
      <sheetName val="MF-Worldwide"/>
      <sheetName val="Trend-Function"/>
      <sheetName val="Trend-Int'l Headcount"/>
      <sheetName val="Headcount"/>
      <sheetName val="Trend-Domestic Headcount"/>
      <sheetName val="Trend-Worldwide Headcount"/>
      <sheetName val="Worldwide Headcount Summary"/>
      <sheetName val="Trend-Headcount"/>
      <sheetName val="Sheet2"/>
      <sheetName val="Trend-Int'l Cost"/>
      <sheetName val="Trend-Domestic Cost"/>
      <sheetName val="Trend-Worldwide Cost"/>
      <sheetName val="Worldwide Cost Summary"/>
      <sheetName val="Finance"/>
      <sheetName val="Employee value"/>
      <sheetName val="Cover Sheet"/>
      <sheetName val="Key Issues"/>
      <sheetName val="Operating Plan Scorecard"/>
      <sheetName val="Cost Trend"/>
      <sheetName val="Trend Graph"/>
      <sheetName val="FY2001 Major Factors"/>
      <sheetName val="Action Plan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657F-6F85-4910-B87D-C8D5BA1419F3}">
  <sheetPr>
    <pageSetUpPr fitToPage="1"/>
  </sheetPr>
  <dimension ref="A1:L25"/>
  <sheetViews>
    <sheetView workbookViewId="0">
      <selection activeCell="N9" sqref="N9"/>
    </sheetView>
  </sheetViews>
  <sheetFormatPr baseColWidth="10" defaultColWidth="8.83203125" defaultRowHeight="15"/>
  <cols>
    <col min="1" max="1" width="8.1640625" style="1" customWidth="1"/>
    <col min="2" max="2" width="13.33203125" style="1" customWidth="1"/>
    <col min="3" max="3" width="19.6640625" style="1" customWidth="1"/>
    <col min="4" max="4" width="34.1640625" style="1" customWidth="1"/>
    <col min="5" max="5" width="33.5" style="1" hidden="1" customWidth="1"/>
    <col min="6" max="6" width="6.6640625" style="2" customWidth="1"/>
    <col min="7" max="7" width="9.6640625" style="3" customWidth="1"/>
    <col min="8" max="8" width="16.1640625" style="1" customWidth="1"/>
    <col min="9" max="9" width="20.1640625" style="2" customWidth="1"/>
    <col min="10" max="10" width="12.6640625" style="1" customWidth="1"/>
    <col min="11" max="11" width="16.1640625" style="1" customWidth="1"/>
    <col min="12" max="12" width="15.83203125" style="1" customWidth="1"/>
    <col min="13" max="257" width="9" style="1"/>
    <col min="258" max="258" width="13.33203125" style="1" customWidth="1"/>
    <col min="259" max="259" width="36.83203125" style="1" customWidth="1"/>
    <col min="260" max="260" width="57.6640625" style="1" customWidth="1"/>
    <col min="261" max="261" width="40.1640625" style="1" customWidth="1"/>
    <col min="262" max="263" width="13.33203125" style="1" customWidth="1"/>
    <col min="264" max="513" width="9" style="1"/>
    <col min="514" max="514" width="13.33203125" style="1" customWidth="1"/>
    <col min="515" max="515" width="36.83203125" style="1" customWidth="1"/>
    <col min="516" max="516" width="57.6640625" style="1" customWidth="1"/>
    <col min="517" max="517" width="40.1640625" style="1" customWidth="1"/>
    <col min="518" max="519" width="13.33203125" style="1" customWidth="1"/>
    <col min="520" max="769" width="9" style="1"/>
    <col min="770" max="770" width="13.33203125" style="1" customWidth="1"/>
    <col min="771" max="771" width="36.83203125" style="1" customWidth="1"/>
    <col min="772" max="772" width="57.6640625" style="1" customWidth="1"/>
    <col min="773" max="773" width="40.1640625" style="1" customWidth="1"/>
    <col min="774" max="775" width="13.33203125" style="1" customWidth="1"/>
    <col min="776" max="1025" width="9" style="1"/>
    <col min="1026" max="1026" width="13.33203125" style="1" customWidth="1"/>
    <col min="1027" max="1027" width="36.83203125" style="1" customWidth="1"/>
    <col min="1028" max="1028" width="57.6640625" style="1" customWidth="1"/>
    <col min="1029" max="1029" width="40.1640625" style="1" customWidth="1"/>
    <col min="1030" max="1031" width="13.33203125" style="1" customWidth="1"/>
    <col min="1032" max="1281" width="9" style="1"/>
    <col min="1282" max="1282" width="13.33203125" style="1" customWidth="1"/>
    <col min="1283" max="1283" width="36.83203125" style="1" customWidth="1"/>
    <col min="1284" max="1284" width="57.6640625" style="1" customWidth="1"/>
    <col min="1285" max="1285" width="40.1640625" style="1" customWidth="1"/>
    <col min="1286" max="1287" width="13.33203125" style="1" customWidth="1"/>
    <col min="1288" max="1537" width="9" style="1"/>
    <col min="1538" max="1538" width="13.33203125" style="1" customWidth="1"/>
    <col min="1539" max="1539" width="36.83203125" style="1" customWidth="1"/>
    <col min="1540" max="1540" width="57.6640625" style="1" customWidth="1"/>
    <col min="1541" max="1541" width="40.1640625" style="1" customWidth="1"/>
    <col min="1542" max="1543" width="13.33203125" style="1" customWidth="1"/>
    <col min="1544" max="1793" width="9" style="1"/>
    <col min="1794" max="1794" width="13.33203125" style="1" customWidth="1"/>
    <col min="1795" max="1795" width="36.83203125" style="1" customWidth="1"/>
    <col min="1796" max="1796" width="57.6640625" style="1" customWidth="1"/>
    <col min="1797" max="1797" width="40.1640625" style="1" customWidth="1"/>
    <col min="1798" max="1799" width="13.33203125" style="1" customWidth="1"/>
    <col min="1800" max="2049" width="9" style="1"/>
    <col min="2050" max="2050" width="13.33203125" style="1" customWidth="1"/>
    <col min="2051" max="2051" width="36.83203125" style="1" customWidth="1"/>
    <col min="2052" max="2052" width="57.6640625" style="1" customWidth="1"/>
    <col min="2053" max="2053" width="40.1640625" style="1" customWidth="1"/>
    <col min="2054" max="2055" width="13.33203125" style="1" customWidth="1"/>
    <col min="2056" max="2305" width="9" style="1"/>
    <col min="2306" max="2306" width="13.33203125" style="1" customWidth="1"/>
    <col min="2307" max="2307" width="36.83203125" style="1" customWidth="1"/>
    <col min="2308" max="2308" width="57.6640625" style="1" customWidth="1"/>
    <col min="2309" max="2309" width="40.1640625" style="1" customWidth="1"/>
    <col min="2310" max="2311" width="13.33203125" style="1" customWidth="1"/>
    <col min="2312" max="2561" width="9" style="1"/>
    <col min="2562" max="2562" width="13.33203125" style="1" customWidth="1"/>
    <col min="2563" max="2563" width="36.83203125" style="1" customWidth="1"/>
    <col min="2564" max="2564" width="57.6640625" style="1" customWidth="1"/>
    <col min="2565" max="2565" width="40.1640625" style="1" customWidth="1"/>
    <col min="2566" max="2567" width="13.33203125" style="1" customWidth="1"/>
    <col min="2568" max="2817" width="9" style="1"/>
    <col min="2818" max="2818" width="13.33203125" style="1" customWidth="1"/>
    <col min="2819" max="2819" width="36.83203125" style="1" customWidth="1"/>
    <col min="2820" max="2820" width="57.6640625" style="1" customWidth="1"/>
    <col min="2821" max="2821" width="40.1640625" style="1" customWidth="1"/>
    <col min="2822" max="2823" width="13.33203125" style="1" customWidth="1"/>
    <col min="2824" max="3073" width="9" style="1"/>
    <col min="3074" max="3074" width="13.33203125" style="1" customWidth="1"/>
    <col min="3075" max="3075" width="36.83203125" style="1" customWidth="1"/>
    <col min="3076" max="3076" width="57.6640625" style="1" customWidth="1"/>
    <col min="3077" max="3077" width="40.1640625" style="1" customWidth="1"/>
    <col min="3078" max="3079" width="13.33203125" style="1" customWidth="1"/>
    <col min="3080" max="3329" width="9" style="1"/>
    <col min="3330" max="3330" width="13.33203125" style="1" customWidth="1"/>
    <col min="3331" max="3331" width="36.83203125" style="1" customWidth="1"/>
    <col min="3332" max="3332" width="57.6640625" style="1" customWidth="1"/>
    <col min="3333" max="3333" width="40.1640625" style="1" customWidth="1"/>
    <col min="3334" max="3335" width="13.33203125" style="1" customWidth="1"/>
    <col min="3336" max="3585" width="9" style="1"/>
    <col min="3586" max="3586" width="13.33203125" style="1" customWidth="1"/>
    <col min="3587" max="3587" width="36.83203125" style="1" customWidth="1"/>
    <col min="3588" max="3588" width="57.6640625" style="1" customWidth="1"/>
    <col min="3589" max="3589" width="40.1640625" style="1" customWidth="1"/>
    <col min="3590" max="3591" width="13.33203125" style="1" customWidth="1"/>
    <col min="3592" max="3841" width="9" style="1"/>
    <col min="3842" max="3842" width="13.33203125" style="1" customWidth="1"/>
    <col min="3843" max="3843" width="36.83203125" style="1" customWidth="1"/>
    <col min="3844" max="3844" width="57.6640625" style="1" customWidth="1"/>
    <col min="3845" max="3845" width="40.1640625" style="1" customWidth="1"/>
    <col min="3846" max="3847" width="13.33203125" style="1" customWidth="1"/>
    <col min="3848" max="4097" width="9" style="1"/>
    <col min="4098" max="4098" width="13.33203125" style="1" customWidth="1"/>
    <col min="4099" max="4099" width="36.83203125" style="1" customWidth="1"/>
    <col min="4100" max="4100" width="57.6640625" style="1" customWidth="1"/>
    <col min="4101" max="4101" width="40.1640625" style="1" customWidth="1"/>
    <col min="4102" max="4103" width="13.33203125" style="1" customWidth="1"/>
    <col min="4104" max="4353" width="9" style="1"/>
    <col min="4354" max="4354" width="13.33203125" style="1" customWidth="1"/>
    <col min="4355" max="4355" width="36.83203125" style="1" customWidth="1"/>
    <col min="4356" max="4356" width="57.6640625" style="1" customWidth="1"/>
    <col min="4357" max="4357" width="40.1640625" style="1" customWidth="1"/>
    <col min="4358" max="4359" width="13.33203125" style="1" customWidth="1"/>
    <col min="4360" max="4609" width="9" style="1"/>
    <col min="4610" max="4610" width="13.33203125" style="1" customWidth="1"/>
    <col min="4611" max="4611" width="36.83203125" style="1" customWidth="1"/>
    <col min="4612" max="4612" width="57.6640625" style="1" customWidth="1"/>
    <col min="4613" max="4613" width="40.1640625" style="1" customWidth="1"/>
    <col min="4614" max="4615" width="13.33203125" style="1" customWidth="1"/>
    <col min="4616" max="4865" width="9" style="1"/>
    <col min="4866" max="4866" width="13.33203125" style="1" customWidth="1"/>
    <col min="4867" max="4867" width="36.83203125" style="1" customWidth="1"/>
    <col min="4868" max="4868" width="57.6640625" style="1" customWidth="1"/>
    <col min="4869" max="4869" width="40.1640625" style="1" customWidth="1"/>
    <col min="4870" max="4871" width="13.33203125" style="1" customWidth="1"/>
    <col min="4872" max="5121" width="9" style="1"/>
    <col min="5122" max="5122" width="13.33203125" style="1" customWidth="1"/>
    <col min="5123" max="5123" width="36.83203125" style="1" customWidth="1"/>
    <col min="5124" max="5124" width="57.6640625" style="1" customWidth="1"/>
    <col min="5125" max="5125" width="40.1640625" style="1" customWidth="1"/>
    <col min="5126" max="5127" width="13.33203125" style="1" customWidth="1"/>
    <col min="5128" max="5377" width="9" style="1"/>
    <col min="5378" max="5378" width="13.33203125" style="1" customWidth="1"/>
    <col min="5379" max="5379" width="36.83203125" style="1" customWidth="1"/>
    <col min="5380" max="5380" width="57.6640625" style="1" customWidth="1"/>
    <col min="5381" max="5381" width="40.1640625" style="1" customWidth="1"/>
    <col min="5382" max="5383" width="13.33203125" style="1" customWidth="1"/>
    <col min="5384" max="5633" width="9" style="1"/>
    <col min="5634" max="5634" width="13.33203125" style="1" customWidth="1"/>
    <col min="5635" max="5635" width="36.83203125" style="1" customWidth="1"/>
    <col min="5636" max="5636" width="57.6640625" style="1" customWidth="1"/>
    <col min="5637" max="5637" width="40.1640625" style="1" customWidth="1"/>
    <col min="5638" max="5639" width="13.33203125" style="1" customWidth="1"/>
    <col min="5640" max="5889" width="9" style="1"/>
    <col min="5890" max="5890" width="13.33203125" style="1" customWidth="1"/>
    <col min="5891" max="5891" width="36.83203125" style="1" customWidth="1"/>
    <col min="5892" max="5892" width="57.6640625" style="1" customWidth="1"/>
    <col min="5893" max="5893" width="40.1640625" style="1" customWidth="1"/>
    <col min="5894" max="5895" width="13.33203125" style="1" customWidth="1"/>
    <col min="5896" max="6145" width="9" style="1"/>
    <col min="6146" max="6146" width="13.33203125" style="1" customWidth="1"/>
    <col min="6147" max="6147" width="36.83203125" style="1" customWidth="1"/>
    <col min="6148" max="6148" width="57.6640625" style="1" customWidth="1"/>
    <col min="6149" max="6149" width="40.1640625" style="1" customWidth="1"/>
    <col min="6150" max="6151" width="13.33203125" style="1" customWidth="1"/>
    <col min="6152" max="6401" width="9" style="1"/>
    <col min="6402" max="6402" width="13.33203125" style="1" customWidth="1"/>
    <col min="6403" max="6403" width="36.83203125" style="1" customWidth="1"/>
    <col min="6404" max="6404" width="57.6640625" style="1" customWidth="1"/>
    <col min="6405" max="6405" width="40.1640625" style="1" customWidth="1"/>
    <col min="6406" max="6407" width="13.33203125" style="1" customWidth="1"/>
    <col min="6408" max="6657" width="9" style="1"/>
    <col min="6658" max="6658" width="13.33203125" style="1" customWidth="1"/>
    <col min="6659" max="6659" width="36.83203125" style="1" customWidth="1"/>
    <col min="6660" max="6660" width="57.6640625" style="1" customWidth="1"/>
    <col min="6661" max="6661" width="40.1640625" style="1" customWidth="1"/>
    <col min="6662" max="6663" width="13.33203125" style="1" customWidth="1"/>
    <col min="6664" max="6913" width="9" style="1"/>
    <col min="6914" max="6914" width="13.33203125" style="1" customWidth="1"/>
    <col min="6915" max="6915" width="36.83203125" style="1" customWidth="1"/>
    <col min="6916" max="6916" width="57.6640625" style="1" customWidth="1"/>
    <col min="6917" max="6917" width="40.1640625" style="1" customWidth="1"/>
    <col min="6918" max="6919" width="13.33203125" style="1" customWidth="1"/>
    <col min="6920" max="7169" width="9" style="1"/>
    <col min="7170" max="7170" width="13.33203125" style="1" customWidth="1"/>
    <col min="7171" max="7171" width="36.83203125" style="1" customWidth="1"/>
    <col min="7172" max="7172" width="57.6640625" style="1" customWidth="1"/>
    <col min="7173" max="7173" width="40.1640625" style="1" customWidth="1"/>
    <col min="7174" max="7175" width="13.33203125" style="1" customWidth="1"/>
    <col min="7176" max="7425" width="9" style="1"/>
    <col min="7426" max="7426" width="13.33203125" style="1" customWidth="1"/>
    <col min="7427" max="7427" width="36.83203125" style="1" customWidth="1"/>
    <col min="7428" max="7428" width="57.6640625" style="1" customWidth="1"/>
    <col min="7429" max="7429" width="40.1640625" style="1" customWidth="1"/>
    <col min="7430" max="7431" width="13.33203125" style="1" customWidth="1"/>
    <col min="7432" max="7681" width="9" style="1"/>
    <col min="7682" max="7682" width="13.33203125" style="1" customWidth="1"/>
    <col min="7683" max="7683" width="36.83203125" style="1" customWidth="1"/>
    <col min="7684" max="7684" width="57.6640625" style="1" customWidth="1"/>
    <col min="7685" max="7685" width="40.1640625" style="1" customWidth="1"/>
    <col min="7686" max="7687" width="13.33203125" style="1" customWidth="1"/>
    <col min="7688" max="7937" width="9" style="1"/>
    <col min="7938" max="7938" width="13.33203125" style="1" customWidth="1"/>
    <col min="7939" max="7939" width="36.83203125" style="1" customWidth="1"/>
    <col min="7940" max="7940" width="57.6640625" style="1" customWidth="1"/>
    <col min="7941" max="7941" width="40.1640625" style="1" customWidth="1"/>
    <col min="7942" max="7943" width="13.33203125" style="1" customWidth="1"/>
    <col min="7944" max="8193" width="9" style="1"/>
    <col min="8194" max="8194" width="13.33203125" style="1" customWidth="1"/>
    <col min="8195" max="8195" width="36.83203125" style="1" customWidth="1"/>
    <col min="8196" max="8196" width="57.6640625" style="1" customWidth="1"/>
    <col min="8197" max="8197" width="40.1640625" style="1" customWidth="1"/>
    <col min="8198" max="8199" width="13.33203125" style="1" customWidth="1"/>
    <col min="8200" max="8449" width="9" style="1"/>
    <col min="8450" max="8450" width="13.33203125" style="1" customWidth="1"/>
    <col min="8451" max="8451" width="36.83203125" style="1" customWidth="1"/>
    <col min="8452" max="8452" width="57.6640625" style="1" customWidth="1"/>
    <col min="8453" max="8453" width="40.1640625" style="1" customWidth="1"/>
    <col min="8454" max="8455" width="13.33203125" style="1" customWidth="1"/>
    <col min="8456" max="8705" width="9" style="1"/>
    <col min="8706" max="8706" width="13.33203125" style="1" customWidth="1"/>
    <col min="8707" max="8707" width="36.83203125" style="1" customWidth="1"/>
    <col min="8708" max="8708" width="57.6640625" style="1" customWidth="1"/>
    <col min="8709" max="8709" width="40.1640625" style="1" customWidth="1"/>
    <col min="8710" max="8711" width="13.33203125" style="1" customWidth="1"/>
    <col min="8712" max="8961" width="9" style="1"/>
    <col min="8962" max="8962" width="13.33203125" style="1" customWidth="1"/>
    <col min="8963" max="8963" width="36.83203125" style="1" customWidth="1"/>
    <col min="8964" max="8964" width="57.6640625" style="1" customWidth="1"/>
    <col min="8965" max="8965" width="40.1640625" style="1" customWidth="1"/>
    <col min="8966" max="8967" width="13.33203125" style="1" customWidth="1"/>
    <col min="8968" max="9217" width="9" style="1"/>
    <col min="9218" max="9218" width="13.33203125" style="1" customWidth="1"/>
    <col min="9219" max="9219" width="36.83203125" style="1" customWidth="1"/>
    <col min="9220" max="9220" width="57.6640625" style="1" customWidth="1"/>
    <col min="9221" max="9221" width="40.1640625" style="1" customWidth="1"/>
    <col min="9222" max="9223" width="13.33203125" style="1" customWidth="1"/>
    <col min="9224" max="9473" width="9" style="1"/>
    <col min="9474" max="9474" width="13.33203125" style="1" customWidth="1"/>
    <col min="9475" max="9475" width="36.83203125" style="1" customWidth="1"/>
    <col min="9476" max="9476" width="57.6640625" style="1" customWidth="1"/>
    <col min="9477" max="9477" width="40.1640625" style="1" customWidth="1"/>
    <col min="9478" max="9479" width="13.33203125" style="1" customWidth="1"/>
    <col min="9480" max="9729" width="9" style="1"/>
    <col min="9730" max="9730" width="13.33203125" style="1" customWidth="1"/>
    <col min="9731" max="9731" width="36.83203125" style="1" customWidth="1"/>
    <col min="9732" max="9732" width="57.6640625" style="1" customWidth="1"/>
    <col min="9733" max="9733" width="40.1640625" style="1" customWidth="1"/>
    <col min="9734" max="9735" width="13.33203125" style="1" customWidth="1"/>
    <col min="9736" max="9985" width="9" style="1"/>
    <col min="9986" max="9986" width="13.33203125" style="1" customWidth="1"/>
    <col min="9987" max="9987" width="36.83203125" style="1" customWidth="1"/>
    <col min="9988" max="9988" width="57.6640625" style="1" customWidth="1"/>
    <col min="9989" max="9989" width="40.1640625" style="1" customWidth="1"/>
    <col min="9990" max="9991" width="13.33203125" style="1" customWidth="1"/>
    <col min="9992" max="10241" width="9" style="1"/>
    <col min="10242" max="10242" width="13.33203125" style="1" customWidth="1"/>
    <col min="10243" max="10243" width="36.83203125" style="1" customWidth="1"/>
    <col min="10244" max="10244" width="57.6640625" style="1" customWidth="1"/>
    <col min="10245" max="10245" width="40.1640625" style="1" customWidth="1"/>
    <col min="10246" max="10247" width="13.33203125" style="1" customWidth="1"/>
    <col min="10248" max="10497" width="9" style="1"/>
    <col min="10498" max="10498" width="13.33203125" style="1" customWidth="1"/>
    <col min="10499" max="10499" width="36.83203125" style="1" customWidth="1"/>
    <col min="10500" max="10500" width="57.6640625" style="1" customWidth="1"/>
    <col min="10501" max="10501" width="40.1640625" style="1" customWidth="1"/>
    <col min="10502" max="10503" width="13.33203125" style="1" customWidth="1"/>
    <col min="10504" max="10753" width="9" style="1"/>
    <col min="10754" max="10754" width="13.33203125" style="1" customWidth="1"/>
    <col min="10755" max="10755" width="36.83203125" style="1" customWidth="1"/>
    <col min="10756" max="10756" width="57.6640625" style="1" customWidth="1"/>
    <col min="10757" max="10757" width="40.1640625" style="1" customWidth="1"/>
    <col min="10758" max="10759" width="13.33203125" style="1" customWidth="1"/>
    <col min="10760" max="11009" width="9" style="1"/>
    <col min="11010" max="11010" width="13.33203125" style="1" customWidth="1"/>
    <col min="11011" max="11011" width="36.83203125" style="1" customWidth="1"/>
    <col min="11012" max="11012" width="57.6640625" style="1" customWidth="1"/>
    <col min="11013" max="11013" width="40.1640625" style="1" customWidth="1"/>
    <col min="11014" max="11015" width="13.33203125" style="1" customWidth="1"/>
    <col min="11016" max="11265" width="9" style="1"/>
    <col min="11266" max="11266" width="13.33203125" style="1" customWidth="1"/>
    <col min="11267" max="11267" width="36.83203125" style="1" customWidth="1"/>
    <col min="11268" max="11268" width="57.6640625" style="1" customWidth="1"/>
    <col min="11269" max="11269" width="40.1640625" style="1" customWidth="1"/>
    <col min="11270" max="11271" width="13.33203125" style="1" customWidth="1"/>
    <col min="11272" max="11521" width="9" style="1"/>
    <col min="11522" max="11522" width="13.33203125" style="1" customWidth="1"/>
    <col min="11523" max="11523" width="36.83203125" style="1" customWidth="1"/>
    <col min="11524" max="11524" width="57.6640625" style="1" customWidth="1"/>
    <col min="11525" max="11525" width="40.1640625" style="1" customWidth="1"/>
    <col min="11526" max="11527" width="13.33203125" style="1" customWidth="1"/>
    <col min="11528" max="11777" width="9" style="1"/>
    <col min="11778" max="11778" width="13.33203125" style="1" customWidth="1"/>
    <col min="11779" max="11779" width="36.83203125" style="1" customWidth="1"/>
    <col min="11780" max="11780" width="57.6640625" style="1" customWidth="1"/>
    <col min="11781" max="11781" width="40.1640625" style="1" customWidth="1"/>
    <col min="11782" max="11783" width="13.33203125" style="1" customWidth="1"/>
    <col min="11784" max="12033" width="9" style="1"/>
    <col min="12034" max="12034" width="13.33203125" style="1" customWidth="1"/>
    <col min="12035" max="12035" width="36.83203125" style="1" customWidth="1"/>
    <col min="12036" max="12036" width="57.6640625" style="1" customWidth="1"/>
    <col min="12037" max="12037" width="40.1640625" style="1" customWidth="1"/>
    <col min="12038" max="12039" width="13.33203125" style="1" customWidth="1"/>
    <col min="12040" max="12289" width="9" style="1"/>
    <col min="12290" max="12290" width="13.33203125" style="1" customWidth="1"/>
    <col min="12291" max="12291" width="36.83203125" style="1" customWidth="1"/>
    <col min="12292" max="12292" width="57.6640625" style="1" customWidth="1"/>
    <col min="12293" max="12293" width="40.1640625" style="1" customWidth="1"/>
    <col min="12294" max="12295" width="13.33203125" style="1" customWidth="1"/>
    <col min="12296" max="12545" width="9" style="1"/>
    <col min="12546" max="12546" width="13.33203125" style="1" customWidth="1"/>
    <col min="12547" max="12547" width="36.83203125" style="1" customWidth="1"/>
    <col min="12548" max="12548" width="57.6640625" style="1" customWidth="1"/>
    <col min="12549" max="12549" width="40.1640625" style="1" customWidth="1"/>
    <col min="12550" max="12551" width="13.33203125" style="1" customWidth="1"/>
    <col min="12552" max="12801" width="9" style="1"/>
    <col min="12802" max="12802" width="13.33203125" style="1" customWidth="1"/>
    <col min="12803" max="12803" width="36.83203125" style="1" customWidth="1"/>
    <col min="12804" max="12804" width="57.6640625" style="1" customWidth="1"/>
    <col min="12805" max="12805" width="40.1640625" style="1" customWidth="1"/>
    <col min="12806" max="12807" width="13.33203125" style="1" customWidth="1"/>
    <col min="12808" max="13057" width="9" style="1"/>
    <col min="13058" max="13058" width="13.33203125" style="1" customWidth="1"/>
    <col min="13059" max="13059" width="36.83203125" style="1" customWidth="1"/>
    <col min="13060" max="13060" width="57.6640625" style="1" customWidth="1"/>
    <col min="13061" max="13061" width="40.1640625" style="1" customWidth="1"/>
    <col min="13062" max="13063" width="13.33203125" style="1" customWidth="1"/>
    <col min="13064" max="13313" width="9" style="1"/>
    <col min="13314" max="13314" width="13.33203125" style="1" customWidth="1"/>
    <col min="13315" max="13315" width="36.83203125" style="1" customWidth="1"/>
    <col min="13316" max="13316" width="57.6640625" style="1" customWidth="1"/>
    <col min="13317" max="13317" width="40.1640625" style="1" customWidth="1"/>
    <col min="13318" max="13319" width="13.33203125" style="1" customWidth="1"/>
    <col min="13320" max="13569" width="9" style="1"/>
    <col min="13570" max="13570" width="13.33203125" style="1" customWidth="1"/>
    <col min="13571" max="13571" width="36.83203125" style="1" customWidth="1"/>
    <col min="13572" max="13572" width="57.6640625" style="1" customWidth="1"/>
    <col min="13573" max="13573" width="40.1640625" style="1" customWidth="1"/>
    <col min="13574" max="13575" width="13.33203125" style="1" customWidth="1"/>
    <col min="13576" max="13825" width="9" style="1"/>
    <col min="13826" max="13826" width="13.33203125" style="1" customWidth="1"/>
    <col min="13827" max="13827" width="36.83203125" style="1" customWidth="1"/>
    <col min="13828" max="13828" width="57.6640625" style="1" customWidth="1"/>
    <col min="13829" max="13829" width="40.1640625" style="1" customWidth="1"/>
    <col min="13830" max="13831" width="13.33203125" style="1" customWidth="1"/>
    <col min="13832" max="14081" width="9" style="1"/>
    <col min="14082" max="14082" width="13.33203125" style="1" customWidth="1"/>
    <col min="14083" max="14083" width="36.83203125" style="1" customWidth="1"/>
    <col min="14084" max="14084" width="57.6640625" style="1" customWidth="1"/>
    <col min="14085" max="14085" width="40.1640625" style="1" customWidth="1"/>
    <col min="14086" max="14087" width="13.33203125" style="1" customWidth="1"/>
    <col min="14088" max="14337" width="9" style="1"/>
    <col min="14338" max="14338" width="13.33203125" style="1" customWidth="1"/>
    <col min="14339" max="14339" width="36.83203125" style="1" customWidth="1"/>
    <col min="14340" max="14340" width="57.6640625" style="1" customWidth="1"/>
    <col min="14341" max="14341" width="40.1640625" style="1" customWidth="1"/>
    <col min="14342" max="14343" width="13.33203125" style="1" customWidth="1"/>
    <col min="14344" max="14593" width="9" style="1"/>
    <col min="14594" max="14594" width="13.33203125" style="1" customWidth="1"/>
    <col min="14595" max="14595" width="36.83203125" style="1" customWidth="1"/>
    <col min="14596" max="14596" width="57.6640625" style="1" customWidth="1"/>
    <col min="14597" max="14597" width="40.1640625" style="1" customWidth="1"/>
    <col min="14598" max="14599" width="13.33203125" style="1" customWidth="1"/>
    <col min="14600" max="14849" width="9" style="1"/>
    <col min="14850" max="14850" width="13.33203125" style="1" customWidth="1"/>
    <col min="14851" max="14851" width="36.83203125" style="1" customWidth="1"/>
    <col min="14852" max="14852" width="57.6640625" style="1" customWidth="1"/>
    <col min="14853" max="14853" width="40.1640625" style="1" customWidth="1"/>
    <col min="14854" max="14855" width="13.33203125" style="1" customWidth="1"/>
    <col min="14856" max="15105" width="9" style="1"/>
    <col min="15106" max="15106" width="13.33203125" style="1" customWidth="1"/>
    <col min="15107" max="15107" width="36.83203125" style="1" customWidth="1"/>
    <col min="15108" max="15108" width="57.6640625" style="1" customWidth="1"/>
    <col min="15109" max="15109" width="40.1640625" style="1" customWidth="1"/>
    <col min="15110" max="15111" width="13.33203125" style="1" customWidth="1"/>
    <col min="15112" max="15361" width="9" style="1"/>
    <col min="15362" max="15362" width="13.33203125" style="1" customWidth="1"/>
    <col min="15363" max="15363" width="36.83203125" style="1" customWidth="1"/>
    <col min="15364" max="15364" width="57.6640625" style="1" customWidth="1"/>
    <col min="15365" max="15365" width="40.1640625" style="1" customWidth="1"/>
    <col min="15366" max="15367" width="13.33203125" style="1" customWidth="1"/>
    <col min="15368" max="15617" width="9" style="1"/>
    <col min="15618" max="15618" width="13.33203125" style="1" customWidth="1"/>
    <col min="15619" max="15619" width="36.83203125" style="1" customWidth="1"/>
    <col min="15620" max="15620" width="57.6640625" style="1" customWidth="1"/>
    <col min="15621" max="15621" width="40.1640625" style="1" customWidth="1"/>
    <col min="15622" max="15623" width="13.33203125" style="1" customWidth="1"/>
    <col min="15624" max="15873" width="9" style="1"/>
    <col min="15874" max="15874" width="13.33203125" style="1" customWidth="1"/>
    <col min="15875" max="15875" width="36.83203125" style="1" customWidth="1"/>
    <col min="15876" max="15876" width="57.6640625" style="1" customWidth="1"/>
    <col min="15877" max="15877" width="40.1640625" style="1" customWidth="1"/>
    <col min="15878" max="15879" width="13.33203125" style="1" customWidth="1"/>
    <col min="15880" max="16129" width="9" style="1"/>
    <col min="16130" max="16130" width="13.33203125" style="1" customWidth="1"/>
    <col min="16131" max="16131" width="36.83203125" style="1" customWidth="1"/>
    <col min="16132" max="16132" width="57.6640625" style="1" customWidth="1"/>
    <col min="16133" max="16133" width="40.1640625" style="1" customWidth="1"/>
    <col min="16134" max="16135" width="13.33203125" style="1" customWidth="1"/>
    <col min="16136" max="16384" width="9" style="1"/>
  </cols>
  <sheetData>
    <row r="1" spans="1:12">
      <c r="A1" s="1" t="s">
        <v>265</v>
      </c>
      <c r="J1" s="2"/>
      <c r="K1" s="2"/>
      <c r="L1" s="2" t="s">
        <v>367</v>
      </c>
    </row>
    <row r="2" spans="1:12">
      <c r="A2" s="4" t="s">
        <v>363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4" t="s">
        <v>10</v>
      </c>
      <c r="J2" s="4" t="s">
        <v>260</v>
      </c>
      <c r="K2" s="4" t="s">
        <v>258</v>
      </c>
      <c r="L2" s="9" t="s">
        <v>261</v>
      </c>
    </row>
    <row r="3" spans="1:12">
      <c r="A3" s="23" t="s">
        <v>364</v>
      </c>
      <c r="B3" s="4" t="s">
        <v>19</v>
      </c>
      <c r="C3" s="7" t="s">
        <v>134</v>
      </c>
      <c r="D3" s="7" t="s">
        <v>135</v>
      </c>
      <c r="E3" s="7" t="s">
        <v>33</v>
      </c>
      <c r="F3" s="4" t="s">
        <v>0</v>
      </c>
      <c r="G3" s="8"/>
      <c r="H3" s="4" t="s">
        <v>136</v>
      </c>
      <c r="I3" s="4"/>
      <c r="J3" s="9"/>
      <c r="K3" s="9"/>
      <c r="L3" s="9"/>
    </row>
    <row r="4" spans="1:12">
      <c r="A4" s="21"/>
      <c r="B4" s="4" t="s">
        <v>29</v>
      </c>
      <c r="C4" s="7" t="s">
        <v>168</v>
      </c>
      <c r="D4" s="7" t="s">
        <v>169</v>
      </c>
      <c r="E4" s="7" t="s">
        <v>170</v>
      </c>
      <c r="F4" s="4" t="s">
        <v>0</v>
      </c>
      <c r="G4" s="8"/>
      <c r="H4" s="4" t="s">
        <v>160</v>
      </c>
      <c r="I4" s="4"/>
      <c r="J4" s="9"/>
      <c r="K4" s="9"/>
      <c r="L4" s="9"/>
    </row>
    <row r="5" spans="1:12">
      <c r="A5" s="21"/>
      <c r="B5" s="4" t="s">
        <v>29</v>
      </c>
      <c r="C5" s="7" t="s">
        <v>159</v>
      </c>
      <c r="D5" s="7" t="s">
        <v>183</v>
      </c>
      <c r="E5" s="7" t="s">
        <v>184</v>
      </c>
      <c r="F5" s="4" t="s">
        <v>0</v>
      </c>
      <c r="G5" s="8"/>
      <c r="H5" s="4" t="s">
        <v>156</v>
      </c>
      <c r="I5" s="4"/>
      <c r="J5" s="9"/>
      <c r="K5" s="9"/>
      <c r="L5" s="9"/>
    </row>
    <row r="6" spans="1:12">
      <c r="A6" s="21"/>
      <c r="B6" s="10" t="s">
        <v>34</v>
      </c>
      <c r="C6" s="11" t="s">
        <v>191</v>
      </c>
      <c r="D6" s="11" t="s">
        <v>192</v>
      </c>
      <c r="E6" s="11" t="s">
        <v>193</v>
      </c>
      <c r="F6" s="10" t="s">
        <v>0</v>
      </c>
      <c r="G6" s="12"/>
      <c r="H6" s="10" t="s">
        <v>156</v>
      </c>
      <c r="I6" s="4"/>
      <c r="J6" s="9"/>
      <c r="K6" s="9"/>
      <c r="L6" s="9"/>
    </row>
    <row r="7" spans="1:12">
      <c r="A7" s="21"/>
      <c r="B7" s="4" t="s">
        <v>65</v>
      </c>
      <c r="C7" s="9" t="s">
        <v>66</v>
      </c>
      <c r="D7" s="9" t="s">
        <v>67</v>
      </c>
      <c r="E7" s="19" t="s">
        <v>232</v>
      </c>
      <c r="F7" s="14" t="s">
        <v>0</v>
      </c>
      <c r="G7" s="15"/>
      <c r="H7" s="14" t="s">
        <v>156</v>
      </c>
      <c r="I7" s="4"/>
      <c r="J7" s="9"/>
      <c r="K7" s="9"/>
      <c r="L7" s="9"/>
    </row>
    <row r="8" spans="1:12">
      <c r="A8" s="21"/>
      <c r="B8" s="4" t="s">
        <v>65</v>
      </c>
      <c r="C8" s="9" t="s">
        <v>233</v>
      </c>
      <c r="D8" s="9" t="s">
        <v>234</v>
      </c>
      <c r="E8" s="7" t="s">
        <v>235</v>
      </c>
      <c r="F8" s="4" t="s">
        <v>0</v>
      </c>
      <c r="G8" s="8"/>
      <c r="H8" s="4" t="s">
        <v>156</v>
      </c>
      <c r="I8" s="4"/>
      <c r="J8" s="9"/>
      <c r="K8" s="9"/>
      <c r="L8" s="9"/>
    </row>
    <row r="9" spans="1:12">
      <c r="A9" s="22"/>
      <c r="B9" s="4" t="s">
        <v>72</v>
      </c>
      <c r="C9" s="9" t="s">
        <v>241</v>
      </c>
      <c r="D9" s="9" t="s">
        <v>242</v>
      </c>
      <c r="E9" s="7" t="s">
        <v>22</v>
      </c>
      <c r="F9" s="4" t="s">
        <v>0</v>
      </c>
      <c r="G9" s="8"/>
      <c r="H9" s="4" t="s">
        <v>156</v>
      </c>
      <c r="I9" s="4"/>
      <c r="J9" s="9"/>
      <c r="K9" s="9"/>
      <c r="L9" s="9"/>
    </row>
    <row r="10" spans="1:12" s="17" customFormat="1">
      <c r="A10" s="21" t="s">
        <v>365</v>
      </c>
      <c r="B10" s="4" t="s">
        <v>268</v>
      </c>
      <c r="C10" s="7" t="s">
        <v>269</v>
      </c>
      <c r="D10" s="7" t="s">
        <v>270</v>
      </c>
      <c r="E10" s="7" t="s">
        <v>271</v>
      </c>
      <c r="F10" s="4" t="s">
        <v>0</v>
      </c>
      <c r="G10" s="8"/>
      <c r="H10" s="4" t="s">
        <v>272</v>
      </c>
      <c r="I10" s="4"/>
      <c r="J10" s="11"/>
      <c r="K10" s="11" t="s">
        <v>273</v>
      </c>
      <c r="L10" s="20" t="s">
        <v>274</v>
      </c>
    </row>
    <row r="11" spans="1:12" s="17" customFormat="1">
      <c r="A11" s="21"/>
      <c r="B11" s="4" t="s">
        <v>268</v>
      </c>
      <c r="C11" s="7" t="s">
        <v>275</v>
      </c>
      <c r="D11" s="7" t="s">
        <v>276</v>
      </c>
      <c r="E11" s="7" t="s">
        <v>277</v>
      </c>
      <c r="F11" s="4" t="s">
        <v>0</v>
      </c>
      <c r="G11" s="8"/>
      <c r="H11" s="4" t="s">
        <v>272</v>
      </c>
      <c r="I11" s="4"/>
      <c r="J11" s="11"/>
      <c r="K11" s="11" t="s">
        <v>278</v>
      </c>
      <c r="L11" s="20" t="s">
        <v>279</v>
      </c>
    </row>
    <row r="12" spans="1:12" s="17" customFormat="1">
      <c r="A12" s="21"/>
      <c r="B12" s="4" t="s">
        <v>280</v>
      </c>
      <c r="C12" s="7" t="s">
        <v>281</v>
      </c>
      <c r="D12" s="7" t="s">
        <v>282</v>
      </c>
      <c r="E12" s="7" t="s">
        <v>277</v>
      </c>
      <c r="F12" s="4" t="s">
        <v>0</v>
      </c>
      <c r="G12" s="8"/>
      <c r="H12" s="4" t="s">
        <v>283</v>
      </c>
      <c r="I12" s="4"/>
      <c r="J12" s="11"/>
      <c r="K12" s="11" t="s">
        <v>284</v>
      </c>
      <c r="L12" s="20" t="s">
        <v>285</v>
      </c>
    </row>
    <row r="13" spans="1:12" s="17" customFormat="1">
      <c r="A13" s="21"/>
      <c r="B13" s="4" t="s">
        <v>286</v>
      </c>
      <c r="C13" s="7" t="s">
        <v>287</v>
      </c>
      <c r="D13" s="7" t="s">
        <v>288</v>
      </c>
      <c r="E13" s="7" t="s">
        <v>271</v>
      </c>
      <c r="F13" s="4" t="s">
        <v>0</v>
      </c>
      <c r="G13" s="8"/>
      <c r="H13" s="4" t="s">
        <v>272</v>
      </c>
      <c r="I13" s="4"/>
      <c r="J13" s="11"/>
      <c r="K13" s="11" t="s">
        <v>289</v>
      </c>
      <c r="L13" s="20" t="s">
        <v>290</v>
      </c>
    </row>
    <row r="14" spans="1:12" s="17" customFormat="1">
      <c r="A14" s="21"/>
      <c r="B14" s="4" t="s">
        <v>291</v>
      </c>
      <c r="C14" s="7" t="s">
        <v>292</v>
      </c>
      <c r="D14" s="7" t="s">
        <v>293</v>
      </c>
      <c r="E14" s="7" t="s">
        <v>0</v>
      </c>
      <c r="F14" s="4" t="s">
        <v>294</v>
      </c>
      <c r="G14" s="8"/>
      <c r="H14" s="4" t="s">
        <v>272</v>
      </c>
      <c r="I14" s="4"/>
      <c r="J14" s="11"/>
      <c r="K14" s="11" t="s">
        <v>295</v>
      </c>
      <c r="L14" s="20" t="s">
        <v>296</v>
      </c>
    </row>
    <row r="15" spans="1:12" s="17" customFormat="1">
      <c r="A15" s="21"/>
      <c r="B15" s="4" t="s">
        <v>297</v>
      </c>
      <c r="C15" s="13" t="s">
        <v>298</v>
      </c>
      <c r="D15" s="7" t="s">
        <v>299</v>
      </c>
      <c r="E15" s="7" t="s">
        <v>277</v>
      </c>
      <c r="F15" s="4" t="s">
        <v>294</v>
      </c>
      <c r="G15" s="8"/>
      <c r="H15" s="4" t="s">
        <v>272</v>
      </c>
      <c r="I15" s="4"/>
      <c r="J15" s="11"/>
      <c r="K15" s="11" t="s">
        <v>300</v>
      </c>
      <c r="L15" s="20" t="s">
        <v>301</v>
      </c>
    </row>
    <row r="16" spans="1:12" s="17" customFormat="1">
      <c r="A16" s="21"/>
      <c r="B16" s="4" t="s">
        <v>302</v>
      </c>
      <c r="C16" s="7" t="s">
        <v>303</v>
      </c>
      <c r="D16" s="7" t="s">
        <v>304</v>
      </c>
      <c r="E16" s="7" t="s">
        <v>305</v>
      </c>
      <c r="F16" s="4" t="s">
        <v>0</v>
      </c>
      <c r="G16" s="8"/>
      <c r="H16" s="4" t="s">
        <v>306</v>
      </c>
      <c r="I16" s="4"/>
      <c r="J16" s="11"/>
      <c r="K16" s="11" t="s">
        <v>307</v>
      </c>
      <c r="L16" s="20" t="s">
        <v>285</v>
      </c>
    </row>
    <row r="17" spans="1:12" s="17" customFormat="1">
      <c r="A17" s="21"/>
      <c r="B17" s="4" t="s">
        <v>291</v>
      </c>
      <c r="C17" s="7" t="s">
        <v>308</v>
      </c>
      <c r="D17" s="7" t="s">
        <v>309</v>
      </c>
      <c r="E17" s="7" t="s">
        <v>271</v>
      </c>
      <c r="F17" s="4" t="s">
        <v>294</v>
      </c>
      <c r="G17" s="8"/>
      <c r="H17" s="4" t="s">
        <v>272</v>
      </c>
      <c r="I17" s="4"/>
      <c r="J17" s="11"/>
      <c r="K17" s="11" t="s">
        <v>310</v>
      </c>
      <c r="L17" s="20" t="s">
        <v>274</v>
      </c>
    </row>
    <row r="18" spans="1:12" s="17" customFormat="1">
      <c r="A18" s="21"/>
      <c r="B18" s="4" t="s">
        <v>291</v>
      </c>
      <c r="C18" s="7" t="s">
        <v>311</v>
      </c>
      <c r="D18" s="7" t="s">
        <v>312</v>
      </c>
      <c r="E18" s="7" t="s">
        <v>271</v>
      </c>
      <c r="F18" s="4" t="s">
        <v>294</v>
      </c>
      <c r="G18" s="8"/>
      <c r="H18" s="4" t="s">
        <v>272</v>
      </c>
      <c r="I18" s="4"/>
      <c r="J18" s="11"/>
      <c r="K18" s="11" t="s">
        <v>313</v>
      </c>
      <c r="L18" s="20" t="s">
        <v>274</v>
      </c>
    </row>
    <row r="19" spans="1:12" s="17" customFormat="1">
      <c r="A19" s="21"/>
      <c r="B19" s="4" t="s">
        <v>314</v>
      </c>
      <c r="C19" s="7" t="s">
        <v>315</v>
      </c>
      <c r="D19" s="7" t="s">
        <v>316</v>
      </c>
      <c r="E19" s="7" t="s">
        <v>0</v>
      </c>
      <c r="F19" s="4" t="s">
        <v>294</v>
      </c>
      <c r="G19" s="8"/>
      <c r="H19" s="4" t="s">
        <v>272</v>
      </c>
      <c r="I19" s="4"/>
      <c r="J19" s="11"/>
      <c r="K19" s="11" t="s">
        <v>317</v>
      </c>
      <c r="L19" s="20" t="s">
        <v>318</v>
      </c>
    </row>
    <row r="20" spans="1:12" s="17" customFormat="1">
      <c r="A20" s="22"/>
      <c r="B20" s="4" t="s">
        <v>302</v>
      </c>
      <c r="C20" s="13" t="s">
        <v>319</v>
      </c>
      <c r="D20" s="7" t="s">
        <v>320</v>
      </c>
      <c r="E20" s="7" t="s">
        <v>271</v>
      </c>
      <c r="F20" s="4" t="s">
        <v>294</v>
      </c>
      <c r="G20" s="8"/>
      <c r="H20" s="2" t="s">
        <v>321</v>
      </c>
      <c r="I20" s="4"/>
      <c r="J20" s="11"/>
      <c r="K20" s="11" t="s">
        <v>322</v>
      </c>
      <c r="L20" s="20" t="s">
        <v>285</v>
      </c>
    </row>
    <row r="21" spans="1:12">
      <c r="A21" s="23" t="s">
        <v>366</v>
      </c>
      <c r="B21" s="4" t="s">
        <v>323</v>
      </c>
      <c r="C21" s="7" t="s">
        <v>324</v>
      </c>
      <c r="D21" s="7" t="s">
        <v>325</v>
      </c>
      <c r="E21" s="7" t="s">
        <v>326</v>
      </c>
      <c r="F21" s="4" t="s">
        <v>0</v>
      </c>
      <c r="G21" s="8">
        <v>150</v>
      </c>
      <c r="H21" s="4" t="s">
        <v>327</v>
      </c>
      <c r="I21" s="4" t="s">
        <v>328</v>
      </c>
      <c r="J21" s="10" t="s">
        <v>329</v>
      </c>
      <c r="K21" s="20" t="s">
        <v>330</v>
      </c>
      <c r="L21" s="20" t="s">
        <v>331</v>
      </c>
    </row>
    <row r="22" spans="1:12">
      <c r="A22" s="21"/>
      <c r="B22" s="4" t="s">
        <v>332</v>
      </c>
      <c r="C22" s="7" t="s">
        <v>333</v>
      </c>
      <c r="D22" s="7" t="s">
        <v>334</v>
      </c>
      <c r="E22" s="7" t="s">
        <v>335</v>
      </c>
      <c r="F22" s="4" t="s">
        <v>294</v>
      </c>
      <c r="G22" s="8">
        <v>100</v>
      </c>
      <c r="H22" s="4" t="s">
        <v>336</v>
      </c>
      <c r="I22" s="4" t="s">
        <v>337</v>
      </c>
      <c r="J22" s="10" t="s">
        <v>338</v>
      </c>
      <c r="K22" s="20" t="s">
        <v>339</v>
      </c>
      <c r="L22" s="20" t="s">
        <v>340</v>
      </c>
    </row>
    <row r="23" spans="1:12">
      <c r="A23" s="21"/>
      <c r="B23" s="4" t="s">
        <v>341</v>
      </c>
      <c r="C23" s="7" t="s">
        <v>342</v>
      </c>
      <c r="D23" s="7" t="s">
        <v>343</v>
      </c>
      <c r="E23" s="7" t="s">
        <v>344</v>
      </c>
      <c r="F23" s="4" t="s">
        <v>294</v>
      </c>
      <c r="G23" s="8">
        <v>100</v>
      </c>
      <c r="H23" s="4" t="s">
        <v>345</v>
      </c>
      <c r="I23" s="4" t="s">
        <v>346</v>
      </c>
      <c r="J23" s="10" t="s">
        <v>347</v>
      </c>
      <c r="K23" s="20" t="s">
        <v>348</v>
      </c>
      <c r="L23" s="20" t="s">
        <v>349</v>
      </c>
    </row>
    <row r="24" spans="1:12">
      <c r="A24" s="21"/>
      <c r="B24" s="4" t="s">
        <v>350</v>
      </c>
      <c r="C24" s="7" t="s">
        <v>351</v>
      </c>
      <c r="D24" s="7" t="s">
        <v>352</v>
      </c>
      <c r="E24" s="7" t="s">
        <v>353</v>
      </c>
      <c r="F24" s="4" t="s">
        <v>294</v>
      </c>
      <c r="G24" s="8">
        <v>100</v>
      </c>
      <c r="H24" s="4" t="s">
        <v>354</v>
      </c>
      <c r="I24" s="4" t="s">
        <v>346</v>
      </c>
      <c r="J24" s="10"/>
      <c r="K24" s="20"/>
      <c r="L24" s="20" t="s">
        <v>355</v>
      </c>
    </row>
    <row r="25" spans="1:12">
      <c r="A25" s="22"/>
      <c r="B25" s="4" t="s">
        <v>356</v>
      </c>
      <c r="C25" s="7" t="s">
        <v>357</v>
      </c>
      <c r="D25" s="7" t="s">
        <v>358</v>
      </c>
      <c r="E25" s="7" t="s">
        <v>359</v>
      </c>
      <c r="F25" s="4" t="s">
        <v>294</v>
      </c>
      <c r="G25" s="8">
        <v>10</v>
      </c>
      <c r="H25" s="4" t="s">
        <v>327</v>
      </c>
      <c r="I25" s="4" t="s">
        <v>337</v>
      </c>
      <c r="J25" s="10" t="s">
        <v>360</v>
      </c>
      <c r="K25" s="20" t="s">
        <v>361</v>
      </c>
      <c r="L25" s="20" t="s">
        <v>362</v>
      </c>
    </row>
  </sheetData>
  <autoFilter ref="A2:L9" xr:uid="{708D657F-6F85-4910-B87D-C8D5BA1419F3}"/>
  <mergeCells count="3">
    <mergeCell ref="A10:A20"/>
    <mergeCell ref="A3:A9"/>
    <mergeCell ref="A21:A25"/>
  </mergeCells>
  <phoneticPr fontId="2" type="noConversion"/>
  <pageMargins left="0.75" right="0.75" top="1" bottom="1" header="0.5" footer="0.5"/>
  <pageSetup scale="6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B97F-9CE2-4D32-B8BE-1AF0CBB77192}">
  <dimension ref="A1:M81"/>
  <sheetViews>
    <sheetView tabSelected="1" zoomScale="110" zoomScaleNormal="110" workbookViewId="0">
      <pane ySplit="2" topLeftCell="A3" activePane="bottomLeft" state="frozen"/>
      <selection pane="bottomLeft" activeCell="F9" sqref="F9"/>
    </sheetView>
  </sheetViews>
  <sheetFormatPr baseColWidth="10" defaultColWidth="21" defaultRowHeight="26" customHeight="1"/>
  <cols>
    <col min="1" max="1" width="6.83203125" style="28" customWidth="1"/>
    <col min="2" max="2" width="15.83203125" style="28" customWidth="1"/>
    <col min="3" max="3" width="42.6640625" style="28" customWidth="1"/>
    <col min="4" max="4" width="49.1640625" style="35" customWidth="1"/>
    <col min="5" max="5" width="13.1640625" style="28" customWidth="1"/>
    <col min="6" max="6" width="36.33203125" style="28" customWidth="1"/>
    <col min="7" max="7" width="19" style="28" customWidth="1"/>
    <col min="8" max="8" width="13.1640625" style="29" customWidth="1"/>
    <col min="9" max="9" width="14.5" style="28" customWidth="1"/>
    <col min="10" max="13" width="13.1640625" style="28" customWidth="1"/>
    <col min="14" max="16384" width="21" style="28"/>
  </cols>
  <sheetData>
    <row r="1" spans="1:13" ht="26" customHeight="1">
      <c r="A1" s="38" t="s">
        <v>265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8" t="s">
        <v>1</v>
      </c>
    </row>
    <row r="2" spans="1:13" ht="26" customHeight="1">
      <c r="A2" s="24" t="s">
        <v>2</v>
      </c>
      <c r="B2" s="24" t="s">
        <v>3</v>
      </c>
      <c r="C2" s="24" t="s">
        <v>4</v>
      </c>
      <c r="D2" s="36" t="s">
        <v>5</v>
      </c>
      <c r="E2" s="24"/>
      <c r="F2" s="24" t="s">
        <v>6</v>
      </c>
      <c r="G2" s="24" t="s">
        <v>7</v>
      </c>
      <c r="H2" s="30" t="s">
        <v>8</v>
      </c>
      <c r="I2" s="24" t="s">
        <v>9</v>
      </c>
      <c r="J2" s="24" t="s">
        <v>10</v>
      </c>
      <c r="K2" s="24" t="s">
        <v>260</v>
      </c>
      <c r="L2" s="24" t="s">
        <v>258</v>
      </c>
      <c r="M2" s="24" t="s">
        <v>261</v>
      </c>
    </row>
    <row r="3" spans="1:13" s="26" customFormat="1" ht="26" customHeight="1">
      <c r="A3" s="24">
        <v>1</v>
      </c>
      <c r="B3" s="24" t="s">
        <v>11</v>
      </c>
      <c r="C3" s="24" t="s">
        <v>12</v>
      </c>
      <c r="D3" s="36" t="s">
        <v>13</v>
      </c>
      <c r="E3" s="24"/>
      <c r="F3" s="24" t="s">
        <v>14</v>
      </c>
      <c r="G3" s="24" t="s">
        <v>0</v>
      </c>
      <c r="H3" s="30"/>
      <c r="I3" s="24" t="s">
        <v>15</v>
      </c>
      <c r="J3" s="24"/>
      <c r="K3" s="25"/>
      <c r="L3" s="25"/>
      <c r="M3" s="25"/>
    </row>
    <row r="4" spans="1:13" s="26" customFormat="1" ht="26" customHeight="1">
      <c r="A4" s="24">
        <f t="shared" ref="A4:A67" si="0">A3+1</f>
        <v>2</v>
      </c>
      <c r="B4" s="24" t="s">
        <v>16</v>
      </c>
      <c r="C4" s="24" t="s">
        <v>20</v>
      </c>
      <c r="D4" s="36" t="s">
        <v>21</v>
      </c>
      <c r="E4" s="24"/>
      <c r="F4" s="24" t="s">
        <v>22</v>
      </c>
      <c r="G4" s="24" t="s">
        <v>0</v>
      </c>
      <c r="H4" s="30"/>
      <c r="I4" s="24"/>
      <c r="J4" s="24" t="s">
        <v>23</v>
      </c>
      <c r="K4" s="25"/>
      <c r="L4" s="25"/>
      <c r="M4" s="25"/>
    </row>
    <row r="5" spans="1:13" s="26" customFormat="1" ht="26" customHeight="1">
      <c r="A5" s="24">
        <f t="shared" si="0"/>
        <v>3</v>
      </c>
      <c r="B5" s="24" t="s">
        <v>25</v>
      </c>
      <c r="C5" s="31" t="s">
        <v>30</v>
      </c>
      <c r="D5" s="36" t="s">
        <v>31</v>
      </c>
      <c r="E5" s="24"/>
      <c r="F5" s="24" t="s">
        <v>22</v>
      </c>
      <c r="G5" s="24" t="s">
        <v>0</v>
      </c>
      <c r="H5" s="30"/>
      <c r="I5" s="24"/>
      <c r="J5" s="24"/>
      <c r="K5" s="25"/>
      <c r="L5" s="25"/>
      <c r="M5" s="25" t="s">
        <v>262</v>
      </c>
    </row>
    <row r="6" spans="1:13" s="26" customFormat="1" ht="26" customHeight="1">
      <c r="A6" s="24">
        <f t="shared" si="0"/>
        <v>4</v>
      </c>
      <c r="B6" s="24" t="s">
        <v>25</v>
      </c>
      <c r="C6" s="24" t="s">
        <v>32</v>
      </c>
      <c r="D6" s="36" t="s">
        <v>26</v>
      </c>
      <c r="E6" s="24"/>
      <c r="F6" s="24" t="s">
        <v>33</v>
      </c>
      <c r="G6" s="24" t="s">
        <v>0</v>
      </c>
      <c r="H6" s="30"/>
      <c r="I6" s="24" t="s">
        <v>15</v>
      </c>
      <c r="J6" s="24"/>
      <c r="K6" s="25"/>
      <c r="L6" s="25"/>
      <c r="M6" s="25"/>
    </row>
    <row r="7" spans="1:13" s="26" customFormat="1" ht="26" customHeight="1">
      <c r="A7" s="24">
        <f t="shared" si="0"/>
        <v>5</v>
      </c>
      <c r="B7" s="24" t="s">
        <v>25</v>
      </c>
      <c r="C7" s="24" t="s">
        <v>368</v>
      </c>
      <c r="D7" s="36" t="s">
        <v>26</v>
      </c>
      <c r="E7" s="24"/>
      <c r="F7" s="24" t="s">
        <v>36</v>
      </c>
      <c r="G7" s="24" t="s">
        <v>0</v>
      </c>
      <c r="H7" s="30"/>
      <c r="I7" s="24"/>
      <c r="J7" s="24"/>
      <c r="K7" s="25"/>
      <c r="L7" s="25"/>
      <c r="M7" s="25"/>
    </row>
    <row r="8" spans="1:13" s="26" customFormat="1" ht="26" customHeight="1">
      <c r="A8" s="24">
        <f t="shared" si="0"/>
        <v>6</v>
      </c>
      <c r="B8" s="24" t="s">
        <v>39</v>
      </c>
      <c r="C8" s="24" t="s">
        <v>40</v>
      </c>
      <c r="D8" s="36" t="s">
        <v>41</v>
      </c>
      <c r="E8" s="24"/>
      <c r="F8" s="24" t="s">
        <v>42</v>
      </c>
      <c r="G8" s="24" t="s">
        <v>0</v>
      </c>
      <c r="H8" s="30"/>
      <c r="I8" s="24"/>
      <c r="J8" s="24" t="s">
        <v>23</v>
      </c>
      <c r="K8" s="25"/>
      <c r="L8" s="25"/>
      <c r="M8" s="25"/>
    </row>
    <row r="9" spans="1:13" s="26" customFormat="1" ht="26" customHeight="1">
      <c r="A9" s="24">
        <f t="shared" si="0"/>
        <v>7</v>
      </c>
      <c r="B9" s="24" t="s">
        <v>39</v>
      </c>
      <c r="C9" s="24" t="s">
        <v>43</v>
      </c>
      <c r="D9" s="36" t="s">
        <v>44</v>
      </c>
      <c r="E9" s="24"/>
      <c r="F9" s="24" t="s">
        <v>45</v>
      </c>
      <c r="G9" s="24" t="s">
        <v>0</v>
      </c>
      <c r="H9" s="30"/>
      <c r="I9" s="24"/>
      <c r="J9" s="24" t="s">
        <v>23</v>
      </c>
      <c r="K9" s="25"/>
      <c r="L9" s="25"/>
      <c r="M9" s="25"/>
    </row>
    <row r="10" spans="1:13" s="26" customFormat="1" ht="26" customHeight="1">
      <c r="A10" s="24">
        <f t="shared" si="0"/>
        <v>8</v>
      </c>
      <c r="B10" s="24" t="s">
        <v>46</v>
      </c>
      <c r="C10" s="24" t="s">
        <v>47</v>
      </c>
      <c r="D10" s="36" t="s">
        <v>48</v>
      </c>
      <c r="E10" s="24"/>
      <c r="F10" s="24" t="s">
        <v>45</v>
      </c>
      <c r="G10" s="24" t="s">
        <v>0</v>
      </c>
      <c r="H10" s="30"/>
      <c r="I10" s="24"/>
      <c r="J10" s="24"/>
      <c r="K10" s="25"/>
      <c r="L10" s="25"/>
      <c r="M10" s="25"/>
    </row>
    <row r="11" spans="1:13" s="26" customFormat="1" ht="26" customHeight="1">
      <c r="A11" s="24">
        <f t="shared" si="0"/>
        <v>9</v>
      </c>
      <c r="B11" s="24" t="s">
        <v>46</v>
      </c>
      <c r="C11" s="24" t="s">
        <v>51</v>
      </c>
      <c r="D11" s="36" t="s">
        <v>49</v>
      </c>
      <c r="E11" s="24"/>
      <c r="F11" s="24" t="s">
        <v>52</v>
      </c>
      <c r="G11" s="24" t="s">
        <v>0</v>
      </c>
      <c r="H11" s="30"/>
      <c r="I11" s="24" t="s">
        <v>15</v>
      </c>
      <c r="J11" s="24"/>
      <c r="K11" s="25"/>
      <c r="L11" s="25"/>
      <c r="M11" s="25"/>
    </row>
    <row r="12" spans="1:13" s="26" customFormat="1" ht="26" customHeight="1">
      <c r="A12" s="24">
        <f t="shared" si="0"/>
        <v>10</v>
      </c>
      <c r="B12" s="24" t="s">
        <v>27</v>
      </c>
      <c r="C12" s="24" t="s">
        <v>54</v>
      </c>
      <c r="D12" s="36" t="s">
        <v>53</v>
      </c>
      <c r="E12" s="24"/>
      <c r="F12" s="24" t="s">
        <v>55</v>
      </c>
      <c r="G12" s="24" t="s">
        <v>0</v>
      </c>
      <c r="H12" s="30"/>
      <c r="I12" s="24"/>
      <c r="J12" s="24"/>
      <c r="K12" s="25"/>
      <c r="L12" s="25"/>
      <c r="M12" s="25"/>
    </row>
    <row r="13" spans="1:13" s="26" customFormat="1" ht="26" customHeight="1">
      <c r="A13" s="24">
        <f t="shared" si="0"/>
        <v>11</v>
      </c>
      <c r="B13" s="24" t="s">
        <v>27</v>
      </c>
      <c r="C13" s="24" t="s">
        <v>56</v>
      </c>
      <c r="D13" s="36" t="s">
        <v>28</v>
      </c>
      <c r="E13" s="24"/>
      <c r="F13" s="24" t="s">
        <v>22</v>
      </c>
      <c r="G13" s="24" t="s">
        <v>0</v>
      </c>
      <c r="H13" s="30"/>
      <c r="I13" s="28"/>
      <c r="J13" s="24" t="s">
        <v>23</v>
      </c>
      <c r="K13" s="25"/>
      <c r="L13" s="25"/>
      <c r="M13" s="25"/>
    </row>
    <row r="14" spans="1:13" s="26" customFormat="1" ht="26" customHeight="1">
      <c r="A14" s="24">
        <f t="shared" si="0"/>
        <v>12</v>
      </c>
      <c r="B14" s="24" t="s">
        <v>38</v>
      </c>
      <c r="C14" s="24" t="s">
        <v>59</v>
      </c>
      <c r="D14" s="36" t="s">
        <v>60</v>
      </c>
      <c r="E14" s="24"/>
      <c r="F14" s="24" t="s">
        <v>61</v>
      </c>
      <c r="G14" s="24" t="s">
        <v>0</v>
      </c>
      <c r="H14" s="30"/>
      <c r="I14" s="24"/>
      <c r="J14" s="24"/>
      <c r="K14" s="25"/>
      <c r="L14" s="25"/>
      <c r="M14" s="25"/>
    </row>
    <row r="15" spans="1:13" s="26" customFormat="1" ht="26" customHeight="1">
      <c r="A15" s="24">
        <f t="shared" si="0"/>
        <v>13</v>
      </c>
      <c r="B15" s="24" t="s">
        <v>62</v>
      </c>
      <c r="C15" s="24" t="s">
        <v>63</v>
      </c>
      <c r="D15" s="36" t="s">
        <v>64</v>
      </c>
      <c r="E15" s="24"/>
      <c r="F15" s="24" t="s">
        <v>17</v>
      </c>
      <c r="G15" s="24" t="s">
        <v>0</v>
      </c>
      <c r="H15" s="30"/>
      <c r="I15" s="24"/>
      <c r="J15" s="24"/>
      <c r="K15" s="25"/>
      <c r="L15" s="25"/>
      <c r="M15" s="25"/>
    </row>
    <row r="16" spans="1:13" ht="26" customHeight="1">
      <c r="A16" s="24">
        <f t="shared" si="0"/>
        <v>14</v>
      </c>
      <c r="B16" s="24" t="s">
        <v>68</v>
      </c>
      <c r="C16" s="24" t="s">
        <v>69</v>
      </c>
      <c r="D16" s="36" t="s">
        <v>70</v>
      </c>
      <c r="E16" s="24"/>
      <c r="F16" s="24" t="s">
        <v>22</v>
      </c>
      <c r="G16" s="24" t="s">
        <v>0</v>
      </c>
      <c r="H16" s="30"/>
      <c r="I16" s="24"/>
      <c r="J16" s="24"/>
      <c r="K16" s="24"/>
      <c r="L16" s="24"/>
      <c r="M16" s="24"/>
    </row>
    <row r="17" spans="1:13" ht="26" customHeight="1">
      <c r="A17" s="24">
        <f t="shared" si="0"/>
        <v>15</v>
      </c>
      <c r="B17" s="24" t="s">
        <v>71</v>
      </c>
      <c r="C17" s="24" t="s">
        <v>73</v>
      </c>
      <c r="D17" s="36" t="s">
        <v>74</v>
      </c>
      <c r="E17" s="24"/>
      <c r="F17" s="24" t="s">
        <v>75</v>
      </c>
      <c r="G17" s="24" t="s">
        <v>0</v>
      </c>
      <c r="H17" s="30"/>
      <c r="I17" s="24"/>
      <c r="J17" s="24" t="s">
        <v>23</v>
      </c>
      <c r="K17" s="24"/>
      <c r="L17" s="24"/>
      <c r="M17" s="24"/>
    </row>
    <row r="18" spans="1:13" ht="26" customHeight="1">
      <c r="A18" s="24">
        <f t="shared" si="0"/>
        <v>16</v>
      </c>
      <c r="B18" s="24" t="s">
        <v>71</v>
      </c>
      <c r="C18" s="31" t="s">
        <v>76</v>
      </c>
      <c r="D18" s="36" t="s">
        <v>77</v>
      </c>
      <c r="E18" s="24"/>
      <c r="F18" s="24" t="s">
        <v>78</v>
      </c>
      <c r="G18" s="24" t="s">
        <v>0</v>
      </c>
      <c r="H18" s="30"/>
      <c r="I18" s="24" t="s">
        <v>37</v>
      </c>
      <c r="J18" s="24"/>
      <c r="K18" s="24"/>
      <c r="L18" s="24"/>
      <c r="M18" s="24"/>
    </row>
    <row r="19" spans="1:13" ht="26" customHeight="1">
      <c r="A19" s="24">
        <f t="shared" si="0"/>
        <v>17</v>
      </c>
      <c r="B19" s="24" t="s">
        <v>71</v>
      </c>
      <c r="C19" s="24" t="s">
        <v>79</v>
      </c>
      <c r="D19" s="36" t="s">
        <v>80</v>
      </c>
      <c r="E19" s="24"/>
      <c r="F19" s="24" t="s">
        <v>81</v>
      </c>
      <c r="G19" s="24" t="s">
        <v>0</v>
      </c>
      <c r="H19" s="30"/>
      <c r="I19" s="24"/>
      <c r="J19" s="24" t="s">
        <v>23</v>
      </c>
      <c r="K19" s="24"/>
      <c r="L19" s="24"/>
      <c r="M19" s="24"/>
    </row>
    <row r="20" spans="1:13" ht="26" customHeight="1">
      <c r="A20" s="24">
        <f t="shared" si="0"/>
        <v>18</v>
      </c>
      <c r="B20" s="24" t="s">
        <v>71</v>
      </c>
      <c r="C20" s="24" t="s">
        <v>82</v>
      </c>
      <c r="D20" s="36" t="s">
        <v>83</v>
      </c>
      <c r="E20" s="24"/>
      <c r="F20" s="24" t="s">
        <v>84</v>
      </c>
      <c r="G20" s="24" t="s">
        <v>0</v>
      </c>
      <c r="H20" s="30"/>
      <c r="I20" s="24"/>
      <c r="J20" s="24"/>
      <c r="K20" s="24"/>
      <c r="L20" s="24"/>
      <c r="M20" s="24"/>
    </row>
    <row r="21" spans="1:13" ht="26" customHeight="1">
      <c r="A21" s="24">
        <f t="shared" si="0"/>
        <v>19</v>
      </c>
      <c r="B21" s="24" t="s">
        <v>71</v>
      </c>
      <c r="C21" s="31" t="s">
        <v>85</v>
      </c>
      <c r="D21" s="36" t="s">
        <v>86</v>
      </c>
      <c r="E21" s="24"/>
      <c r="F21" s="24" t="s">
        <v>87</v>
      </c>
      <c r="G21" s="24" t="s">
        <v>0</v>
      </c>
      <c r="H21" s="30"/>
      <c r="I21" s="24" t="s">
        <v>259</v>
      </c>
      <c r="J21" s="24"/>
      <c r="K21" s="24"/>
      <c r="L21" s="24"/>
      <c r="M21" s="24"/>
    </row>
    <row r="22" spans="1:13" ht="26" customHeight="1">
      <c r="A22" s="24">
        <f t="shared" si="0"/>
        <v>20</v>
      </c>
      <c r="B22" s="24" t="s">
        <v>57</v>
      </c>
      <c r="C22" s="31" t="s">
        <v>88</v>
      </c>
      <c r="D22" s="36" t="s">
        <v>89</v>
      </c>
      <c r="E22" s="24"/>
      <c r="F22" s="24" t="s">
        <v>90</v>
      </c>
      <c r="G22" s="24" t="s">
        <v>0</v>
      </c>
      <c r="H22" s="30"/>
      <c r="I22" s="24"/>
      <c r="J22" s="24"/>
      <c r="K22" s="24"/>
      <c r="L22" s="24"/>
      <c r="M22" s="24"/>
    </row>
    <row r="23" spans="1:13" ht="26" customHeight="1">
      <c r="A23" s="24">
        <f t="shared" si="0"/>
        <v>21</v>
      </c>
      <c r="B23" s="24" t="s">
        <v>57</v>
      </c>
      <c r="C23" s="31" t="s">
        <v>91</v>
      </c>
      <c r="D23" s="36" t="s">
        <v>92</v>
      </c>
      <c r="E23" s="24"/>
      <c r="F23" s="24" t="s">
        <v>93</v>
      </c>
      <c r="G23" s="24" t="s">
        <v>0</v>
      </c>
      <c r="H23" s="30"/>
      <c r="I23" s="24"/>
      <c r="J23" s="24"/>
      <c r="K23" s="24"/>
      <c r="L23" s="24"/>
      <c r="M23" s="24"/>
    </row>
    <row r="24" spans="1:13" ht="26" customHeight="1">
      <c r="A24" s="24">
        <f t="shared" si="0"/>
        <v>22</v>
      </c>
      <c r="B24" s="24" t="s">
        <v>57</v>
      </c>
      <c r="C24" s="31" t="s">
        <v>94</v>
      </c>
      <c r="D24" s="36" t="s">
        <v>95</v>
      </c>
      <c r="E24" s="24"/>
      <c r="F24" s="24" t="s">
        <v>96</v>
      </c>
      <c r="G24" s="24" t="s">
        <v>0</v>
      </c>
      <c r="H24" s="30"/>
      <c r="I24" s="24"/>
      <c r="J24" s="24"/>
      <c r="K24" s="24"/>
      <c r="L24" s="24"/>
      <c r="M24" s="24"/>
    </row>
    <row r="25" spans="1:13" ht="26" customHeight="1">
      <c r="A25" s="24">
        <f t="shared" si="0"/>
        <v>23</v>
      </c>
      <c r="B25" s="24" t="s">
        <v>50</v>
      </c>
      <c r="C25" s="24" t="s">
        <v>97</v>
      </c>
      <c r="D25" s="36" t="s">
        <v>98</v>
      </c>
      <c r="E25" s="24"/>
      <c r="F25" s="24" t="s">
        <v>99</v>
      </c>
      <c r="G25" s="24" t="s">
        <v>0</v>
      </c>
      <c r="H25" s="30"/>
      <c r="I25" s="24"/>
      <c r="J25" s="24" t="s">
        <v>23</v>
      </c>
      <c r="K25" s="24"/>
      <c r="L25" s="24"/>
      <c r="M25" s="24"/>
    </row>
    <row r="26" spans="1:13" ht="26" customHeight="1">
      <c r="A26" s="24">
        <f t="shared" si="0"/>
        <v>24</v>
      </c>
      <c r="B26" s="24" t="s">
        <v>50</v>
      </c>
      <c r="C26" s="24" t="s">
        <v>100</v>
      </c>
      <c r="D26" s="36" t="s">
        <v>101</v>
      </c>
      <c r="E26" s="24"/>
      <c r="F26" s="24" t="s">
        <v>102</v>
      </c>
      <c r="G26" s="24" t="s">
        <v>0</v>
      </c>
      <c r="H26" s="30"/>
      <c r="I26" s="24"/>
      <c r="J26" s="24"/>
      <c r="K26" s="24"/>
      <c r="L26" s="24"/>
      <c r="M26" s="24"/>
    </row>
    <row r="27" spans="1:13" ht="26" customHeight="1" thickBot="1">
      <c r="A27" s="39">
        <f t="shared" si="0"/>
        <v>25</v>
      </c>
      <c r="B27" s="39" t="s">
        <v>50</v>
      </c>
      <c r="C27" s="39" t="s">
        <v>103</v>
      </c>
      <c r="D27" s="40" t="s">
        <v>104</v>
      </c>
      <c r="E27" s="39"/>
      <c r="F27" s="39" t="s">
        <v>105</v>
      </c>
      <c r="G27" s="39" t="s">
        <v>0</v>
      </c>
      <c r="H27" s="41"/>
      <c r="I27" s="39"/>
      <c r="J27" s="39" t="s">
        <v>23</v>
      </c>
      <c r="K27" s="39"/>
      <c r="L27" s="39"/>
      <c r="M27" s="39"/>
    </row>
    <row r="28" spans="1:13" ht="26" customHeight="1">
      <c r="A28" s="45">
        <f t="shared" si="0"/>
        <v>26</v>
      </c>
      <c r="B28" s="46" t="s">
        <v>24</v>
      </c>
      <c r="C28" s="46" t="s">
        <v>106</v>
      </c>
      <c r="D28" s="48" t="s">
        <v>107</v>
      </c>
      <c r="E28" s="46"/>
      <c r="F28" s="46" t="s">
        <v>22</v>
      </c>
      <c r="G28" s="46" t="s">
        <v>0</v>
      </c>
      <c r="H28" s="49"/>
      <c r="I28" s="46"/>
      <c r="J28" s="46"/>
      <c r="K28" s="46"/>
      <c r="L28" s="46"/>
      <c r="M28" s="50"/>
    </row>
    <row r="29" spans="1:13" ht="26" customHeight="1">
      <c r="A29" s="51">
        <f t="shared" si="0"/>
        <v>27</v>
      </c>
      <c r="B29" s="24" t="s">
        <v>24</v>
      </c>
      <c r="C29" s="24" t="s">
        <v>109</v>
      </c>
      <c r="D29" s="36" t="s">
        <v>108</v>
      </c>
      <c r="E29" s="24"/>
      <c r="F29" s="24" t="s">
        <v>110</v>
      </c>
      <c r="G29" s="24" t="s">
        <v>0</v>
      </c>
      <c r="H29" s="30"/>
      <c r="I29" s="24"/>
      <c r="J29" s="24"/>
      <c r="K29" s="24"/>
      <c r="L29" s="24"/>
      <c r="M29" s="52"/>
    </row>
    <row r="30" spans="1:13" ht="26" customHeight="1">
      <c r="A30" s="51">
        <f t="shared" si="0"/>
        <v>28</v>
      </c>
      <c r="B30" s="24" t="s">
        <v>24</v>
      </c>
      <c r="C30" s="24" t="s">
        <v>111</v>
      </c>
      <c r="D30" s="36" t="s">
        <v>112</v>
      </c>
      <c r="E30" s="24"/>
      <c r="F30" s="24" t="s">
        <v>22</v>
      </c>
      <c r="G30" s="24" t="s">
        <v>0</v>
      </c>
      <c r="H30" s="30"/>
      <c r="I30" s="24"/>
      <c r="J30" s="24"/>
      <c r="K30" s="24"/>
      <c r="L30" s="24"/>
      <c r="M30" s="52"/>
    </row>
    <row r="31" spans="1:13" ht="26" customHeight="1">
      <c r="A31" s="51">
        <f t="shared" si="0"/>
        <v>29</v>
      </c>
      <c r="B31" s="24" t="s">
        <v>24</v>
      </c>
      <c r="C31" s="24" t="s">
        <v>113</v>
      </c>
      <c r="D31" s="36" t="s">
        <v>114</v>
      </c>
      <c r="E31" s="24"/>
      <c r="F31" s="24" t="s">
        <v>110</v>
      </c>
      <c r="G31" s="24" t="s">
        <v>0</v>
      </c>
      <c r="H31" s="30"/>
      <c r="I31" s="24" t="s">
        <v>115</v>
      </c>
      <c r="J31" s="24"/>
      <c r="K31" s="24"/>
      <c r="L31" s="24"/>
      <c r="M31" s="52"/>
    </row>
    <row r="32" spans="1:13" ht="26" customHeight="1">
      <c r="A32" s="51">
        <f t="shared" si="0"/>
        <v>30</v>
      </c>
      <c r="B32" s="24" t="s">
        <v>24</v>
      </c>
      <c r="C32" s="24" t="s">
        <v>117</v>
      </c>
      <c r="D32" s="36" t="s">
        <v>116</v>
      </c>
      <c r="E32" s="24"/>
      <c r="F32" s="24" t="s">
        <v>22</v>
      </c>
      <c r="G32" s="24" t="s">
        <v>0</v>
      </c>
      <c r="H32" s="30">
        <v>5000</v>
      </c>
      <c r="I32" s="24" t="s">
        <v>118</v>
      </c>
      <c r="J32" s="24"/>
      <c r="K32" s="24"/>
      <c r="L32" s="24"/>
      <c r="M32" s="52"/>
    </row>
    <row r="33" spans="1:13" ht="26" customHeight="1">
      <c r="A33" s="51">
        <f t="shared" si="0"/>
        <v>31</v>
      </c>
      <c r="B33" s="24" t="s">
        <v>119</v>
      </c>
      <c r="C33" s="24" t="s">
        <v>120</v>
      </c>
      <c r="D33" s="36" t="s">
        <v>121</v>
      </c>
      <c r="E33" s="24"/>
      <c r="F33" s="24" t="s">
        <v>22</v>
      </c>
      <c r="G33" s="24" t="s">
        <v>0</v>
      </c>
      <c r="H33" s="30"/>
      <c r="I33" s="24"/>
      <c r="J33" s="24"/>
      <c r="K33" s="24"/>
      <c r="L33" s="24"/>
      <c r="M33" s="52"/>
    </row>
    <row r="34" spans="1:13" ht="26" customHeight="1" thickBot="1">
      <c r="A34" s="54">
        <f t="shared" si="0"/>
        <v>32</v>
      </c>
      <c r="B34" s="55" t="s">
        <v>19</v>
      </c>
      <c r="C34" s="55" t="s">
        <v>122</v>
      </c>
      <c r="D34" s="57" t="s">
        <v>123</v>
      </c>
      <c r="E34" s="55"/>
      <c r="F34" s="55" t="s">
        <v>105</v>
      </c>
      <c r="G34" s="55" t="s">
        <v>0</v>
      </c>
      <c r="H34" s="58">
        <v>0</v>
      </c>
      <c r="I34" s="55" t="s">
        <v>124</v>
      </c>
      <c r="J34" s="55" t="s">
        <v>125</v>
      </c>
      <c r="K34" s="55"/>
      <c r="L34" s="55"/>
      <c r="M34" s="60"/>
    </row>
    <row r="35" spans="1:13" ht="26" customHeight="1">
      <c r="A35" s="45">
        <f t="shared" si="0"/>
        <v>33</v>
      </c>
      <c r="B35" s="46" t="s">
        <v>19</v>
      </c>
      <c r="C35" s="47" t="s">
        <v>126</v>
      </c>
      <c r="D35" s="48" t="s">
        <v>127</v>
      </c>
      <c r="E35" s="46"/>
      <c r="F35" s="46" t="s">
        <v>128</v>
      </c>
      <c r="G35" s="46" t="s">
        <v>0</v>
      </c>
      <c r="H35" s="49"/>
      <c r="I35" s="46"/>
      <c r="J35" s="46"/>
      <c r="K35" s="46"/>
      <c r="L35" s="46"/>
      <c r="M35" s="50"/>
    </row>
    <row r="36" spans="1:13" ht="26" customHeight="1">
      <c r="A36" s="51">
        <f t="shared" si="0"/>
        <v>34</v>
      </c>
      <c r="B36" s="24" t="s">
        <v>19</v>
      </c>
      <c r="C36" s="24" t="s">
        <v>129</v>
      </c>
      <c r="D36" s="36" t="s">
        <v>130</v>
      </c>
      <c r="E36" s="24"/>
      <c r="F36" s="24" t="s">
        <v>131</v>
      </c>
      <c r="G36" s="24" t="s">
        <v>0</v>
      </c>
      <c r="H36" s="30"/>
      <c r="I36" s="24"/>
      <c r="J36" s="24" t="s">
        <v>23</v>
      </c>
      <c r="K36" s="24"/>
      <c r="L36" s="24"/>
      <c r="M36" s="52"/>
    </row>
    <row r="37" spans="1:13" ht="26" customHeight="1">
      <c r="A37" s="51">
        <f t="shared" si="0"/>
        <v>35</v>
      </c>
      <c r="B37" s="24" t="s">
        <v>19</v>
      </c>
      <c r="C37" s="31" t="s">
        <v>132</v>
      </c>
      <c r="D37" s="36" t="s">
        <v>133</v>
      </c>
      <c r="E37" s="24"/>
      <c r="F37" s="24" t="s">
        <v>14</v>
      </c>
      <c r="G37" s="24" t="s">
        <v>0</v>
      </c>
      <c r="H37" s="30"/>
      <c r="I37" s="31" t="s">
        <v>37</v>
      </c>
      <c r="J37" s="24"/>
      <c r="K37" s="24"/>
      <c r="L37" s="24"/>
      <c r="M37" s="53" t="s">
        <v>266</v>
      </c>
    </row>
    <row r="38" spans="1:13" ht="26" customHeight="1">
      <c r="A38" s="51">
        <f t="shared" si="0"/>
        <v>36</v>
      </c>
      <c r="B38" s="24" t="s">
        <v>19</v>
      </c>
      <c r="C38" s="24" t="s">
        <v>134</v>
      </c>
      <c r="D38" s="36" t="s">
        <v>135</v>
      </c>
      <c r="E38" s="24"/>
      <c r="F38" s="24" t="s">
        <v>33</v>
      </c>
      <c r="G38" s="24" t="s">
        <v>0</v>
      </c>
      <c r="H38" s="30"/>
      <c r="I38" s="24" t="s">
        <v>136</v>
      </c>
      <c r="J38" s="24"/>
      <c r="K38" s="24"/>
      <c r="L38" s="24"/>
      <c r="M38" s="52"/>
    </row>
    <row r="39" spans="1:13" ht="26" customHeight="1">
      <c r="A39" s="51">
        <f t="shared" si="0"/>
        <v>37</v>
      </c>
      <c r="B39" s="24" t="s">
        <v>19</v>
      </c>
      <c r="C39" s="24" t="s">
        <v>137</v>
      </c>
      <c r="D39" s="36" t="s">
        <v>138</v>
      </c>
      <c r="E39" s="24" t="s">
        <v>369</v>
      </c>
      <c r="F39" s="24" t="s">
        <v>139</v>
      </c>
      <c r="G39" s="24" t="s">
        <v>0</v>
      </c>
      <c r="H39" s="30"/>
      <c r="I39" s="24"/>
      <c r="J39" s="24"/>
      <c r="K39" s="24"/>
      <c r="L39" s="24"/>
      <c r="M39" s="52"/>
    </row>
    <row r="40" spans="1:13" ht="26" customHeight="1">
      <c r="A40" s="51">
        <f t="shared" si="0"/>
        <v>38</v>
      </c>
      <c r="B40" s="24" t="s">
        <v>19</v>
      </c>
      <c r="C40" s="24" t="s">
        <v>140</v>
      </c>
      <c r="D40" s="36" t="s">
        <v>141</v>
      </c>
      <c r="E40" s="24"/>
      <c r="F40" s="24" t="s">
        <v>105</v>
      </c>
      <c r="G40" s="24" t="s">
        <v>0</v>
      </c>
      <c r="H40" s="30"/>
      <c r="I40" s="24" t="s">
        <v>15</v>
      </c>
      <c r="J40" s="24"/>
      <c r="K40" s="24"/>
      <c r="L40" s="24"/>
      <c r="M40" s="52"/>
    </row>
    <row r="41" spans="1:13" ht="26" customHeight="1">
      <c r="A41" s="51">
        <f t="shared" si="0"/>
        <v>39</v>
      </c>
      <c r="B41" s="24" t="s">
        <v>19</v>
      </c>
      <c r="C41" s="24" t="s">
        <v>142</v>
      </c>
      <c r="D41" s="36" t="s">
        <v>143</v>
      </c>
      <c r="E41" s="24"/>
      <c r="F41" s="24" t="s">
        <v>144</v>
      </c>
      <c r="G41" s="24" t="s">
        <v>0</v>
      </c>
      <c r="H41" s="30"/>
      <c r="I41" s="24" t="s">
        <v>153</v>
      </c>
      <c r="J41" s="24"/>
      <c r="K41" s="24"/>
      <c r="L41" s="24"/>
      <c r="M41" s="52"/>
    </row>
    <row r="42" spans="1:13" ht="26" customHeight="1">
      <c r="A42" s="51">
        <f t="shared" si="0"/>
        <v>40</v>
      </c>
      <c r="B42" s="24" t="s">
        <v>19</v>
      </c>
      <c r="C42" s="24" t="s">
        <v>145</v>
      </c>
      <c r="D42" s="36" t="s">
        <v>146</v>
      </c>
      <c r="E42" s="24"/>
      <c r="F42" s="24" t="s">
        <v>147</v>
      </c>
      <c r="G42" s="24" t="s">
        <v>0</v>
      </c>
      <c r="H42" s="30"/>
      <c r="I42" s="24" t="s">
        <v>15</v>
      </c>
      <c r="J42" s="24"/>
      <c r="K42" s="24"/>
      <c r="L42" s="24"/>
      <c r="M42" s="52"/>
    </row>
    <row r="43" spans="1:13" ht="26" customHeight="1">
      <c r="A43" s="51">
        <f t="shared" si="0"/>
        <v>41</v>
      </c>
      <c r="B43" s="24" t="s">
        <v>19</v>
      </c>
      <c r="C43" s="24" t="s">
        <v>149</v>
      </c>
      <c r="D43" s="36" t="s">
        <v>150</v>
      </c>
      <c r="E43" s="24"/>
      <c r="F43" s="24" t="s">
        <v>52</v>
      </c>
      <c r="G43" s="24" t="s">
        <v>0</v>
      </c>
      <c r="H43" s="30"/>
      <c r="I43" s="24" t="s">
        <v>15</v>
      </c>
      <c r="J43" s="24"/>
      <c r="K43" s="24"/>
      <c r="L43" s="24"/>
      <c r="M43" s="52"/>
    </row>
    <row r="44" spans="1:13" ht="26" customHeight="1">
      <c r="A44" s="51">
        <f t="shared" si="0"/>
        <v>42</v>
      </c>
      <c r="B44" s="24" t="s">
        <v>19</v>
      </c>
      <c r="C44" s="24" t="s">
        <v>151</v>
      </c>
      <c r="D44" s="36" t="s">
        <v>152</v>
      </c>
      <c r="E44" s="24"/>
      <c r="F44" s="24" t="s">
        <v>144</v>
      </c>
      <c r="G44" s="24" t="s">
        <v>0</v>
      </c>
      <c r="H44" s="30"/>
      <c r="I44" s="24" t="s">
        <v>153</v>
      </c>
      <c r="J44" s="24"/>
      <c r="K44" s="24"/>
      <c r="L44" s="24"/>
      <c r="M44" s="52"/>
    </row>
    <row r="45" spans="1:13" ht="26" customHeight="1">
      <c r="A45" s="51">
        <f t="shared" si="0"/>
        <v>43</v>
      </c>
      <c r="B45" s="24" t="s">
        <v>19</v>
      </c>
      <c r="C45" s="24" t="s">
        <v>154</v>
      </c>
      <c r="D45" s="36" t="s">
        <v>155</v>
      </c>
      <c r="E45" s="24"/>
      <c r="F45" s="24" t="s">
        <v>144</v>
      </c>
      <c r="G45" s="24" t="s">
        <v>0</v>
      </c>
      <c r="H45" s="30"/>
      <c r="I45" s="24" t="s">
        <v>263</v>
      </c>
      <c r="J45" s="24"/>
      <c r="K45" s="24"/>
      <c r="L45" s="24"/>
      <c r="M45" s="52"/>
    </row>
    <row r="46" spans="1:13" ht="26" customHeight="1" thickBot="1">
      <c r="A46" s="54">
        <f t="shared" si="0"/>
        <v>44</v>
      </c>
      <c r="B46" s="55" t="s">
        <v>19</v>
      </c>
      <c r="C46" s="56" t="s">
        <v>157</v>
      </c>
      <c r="D46" s="57" t="s">
        <v>158</v>
      </c>
      <c r="E46" s="55"/>
      <c r="F46" s="55" t="s">
        <v>144</v>
      </c>
      <c r="G46" s="55" t="s">
        <v>0</v>
      </c>
      <c r="H46" s="58"/>
      <c r="I46" s="56" t="s">
        <v>153</v>
      </c>
      <c r="J46" s="55"/>
      <c r="K46" s="55"/>
      <c r="L46" s="55"/>
      <c r="M46" s="59" t="s">
        <v>267</v>
      </c>
    </row>
    <row r="47" spans="1:13" ht="26" customHeight="1">
      <c r="A47" s="42">
        <f t="shared" si="0"/>
        <v>45</v>
      </c>
      <c r="B47" s="42" t="s">
        <v>29</v>
      </c>
      <c r="C47" s="42" t="s">
        <v>168</v>
      </c>
      <c r="D47" s="43" t="s">
        <v>169</v>
      </c>
      <c r="E47" s="42"/>
      <c r="F47" s="42" t="s">
        <v>170</v>
      </c>
      <c r="G47" s="42" t="s">
        <v>0</v>
      </c>
      <c r="H47" s="44"/>
      <c r="I47" s="42" t="s">
        <v>160</v>
      </c>
      <c r="J47" s="42"/>
      <c r="K47" s="42"/>
      <c r="L47" s="42"/>
      <c r="M47" s="42"/>
    </row>
    <row r="48" spans="1:13" ht="26" customHeight="1">
      <c r="A48" s="24">
        <f t="shared" si="0"/>
        <v>46</v>
      </c>
      <c r="B48" s="24" t="s">
        <v>29</v>
      </c>
      <c r="C48" s="24" t="s">
        <v>171</v>
      </c>
      <c r="D48" s="36" t="s">
        <v>172</v>
      </c>
      <c r="E48" s="24"/>
      <c r="F48" s="24" t="s">
        <v>173</v>
      </c>
      <c r="G48" s="24" t="s">
        <v>0</v>
      </c>
      <c r="H48" s="30"/>
      <c r="I48" s="24"/>
      <c r="J48" s="24"/>
      <c r="K48" s="24"/>
      <c r="L48" s="24"/>
      <c r="M48" s="24"/>
    </row>
    <row r="49" spans="1:13" ht="26" customHeight="1">
      <c r="A49" s="24">
        <f t="shared" si="0"/>
        <v>47</v>
      </c>
      <c r="B49" s="24" t="s">
        <v>29</v>
      </c>
      <c r="C49" s="24" t="s">
        <v>174</v>
      </c>
      <c r="D49" s="36" t="s">
        <v>175</v>
      </c>
      <c r="E49" s="24"/>
      <c r="F49" s="24" t="s">
        <v>176</v>
      </c>
      <c r="G49" s="24" t="s">
        <v>0</v>
      </c>
      <c r="H49" s="30"/>
      <c r="I49" s="24"/>
      <c r="J49" s="24"/>
      <c r="K49" s="24"/>
      <c r="L49" s="24"/>
      <c r="M49" s="24"/>
    </row>
    <row r="50" spans="1:13" ht="26" customHeight="1">
      <c r="A50" s="24">
        <f t="shared" si="0"/>
        <v>48</v>
      </c>
      <c r="B50" s="24" t="s">
        <v>29</v>
      </c>
      <c r="C50" s="24" t="s">
        <v>159</v>
      </c>
      <c r="D50" s="36" t="s">
        <v>183</v>
      </c>
      <c r="E50" s="24"/>
      <c r="F50" s="24" t="s">
        <v>184</v>
      </c>
      <c r="G50" s="24" t="s">
        <v>0</v>
      </c>
      <c r="H50" s="30"/>
      <c r="I50" s="24" t="s">
        <v>156</v>
      </c>
      <c r="J50" s="24"/>
      <c r="K50" s="24"/>
      <c r="L50" s="24"/>
      <c r="M50" s="24"/>
    </row>
    <row r="51" spans="1:13" ht="26" customHeight="1">
      <c r="A51" s="24">
        <f t="shared" si="0"/>
        <v>49</v>
      </c>
      <c r="B51" s="24" t="s">
        <v>29</v>
      </c>
      <c r="C51" s="24" t="s">
        <v>185</v>
      </c>
      <c r="D51" s="36" t="s">
        <v>186</v>
      </c>
      <c r="E51" s="24"/>
      <c r="F51" s="24" t="s">
        <v>187</v>
      </c>
      <c r="G51" s="24" t="s">
        <v>0</v>
      </c>
      <c r="H51" s="30"/>
      <c r="I51" s="24"/>
      <c r="J51" s="24"/>
      <c r="K51" s="24"/>
      <c r="L51" s="24"/>
      <c r="M51" s="24"/>
    </row>
    <row r="52" spans="1:13" ht="26" customHeight="1">
      <c r="A52" s="24">
        <f t="shared" si="0"/>
        <v>50</v>
      </c>
      <c r="B52" s="25" t="s">
        <v>34</v>
      </c>
      <c r="C52" s="25" t="s">
        <v>188</v>
      </c>
      <c r="D52" s="37" t="s">
        <v>189</v>
      </c>
      <c r="E52" s="25"/>
      <c r="F52" s="25" t="s">
        <v>190</v>
      </c>
      <c r="G52" s="25" t="s">
        <v>0</v>
      </c>
      <c r="H52" s="27"/>
      <c r="I52" s="25"/>
      <c r="J52" s="25"/>
      <c r="K52" s="24"/>
      <c r="L52" s="24"/>
      <c r="M52" s="24"/>
    </row>
    <row r="53" spans="1:13" ht="26" customHeight="1">
      <c r="A53" s="24">
        <f t="shared" si="0"/>
        <v>51</v>
      </c>
      <c r="B53" s="25" t="s">
        <v>34</v>
      </c>
      <c r="C53" s="25" t="s">
        <v>191</v>
      </c>
      <c r="D53" s="37" t="s">
        <v>192</v>
      </c>
      <c r="E53" s="25"/>
      <c r="F53" s="25" t="s">
        <v>193</v>
      </c>
      <c r="G53" s="25" t="s">
        <v>0</v>
      </c>
      <c r="H53" s="27"/>
      <c r="I53" s="25" t="s">
        <v>156</v>
      </c>
      <c r="J53" s="24"/>
      <c r="K53" s="24"/>
      <c r="L53" s="24"/>
      <c r="M53" s="24"/>
    </row>
    <row r="54" spans="1:13" ht="26" customHeight="1">
      <c r="A54" s="24">
        <f t="shared" si="0"/>
        <v>52</v>
      </c>
      <c r="B54" s="25" t="s">
        <v>34</v>
      </c>
      <c r="C54" s="25" t="s">
        <v>194</v>
      </c>
      <c r="D54" s="37" t="s">
        <v>195</v>
      </c>
      <c r="E54" s="25"/>
      <c r="F54" s="25" t="s">
        <v>196</v>
      </c>
      <c r="G54" s="25" t="s">
        <v>0</v>
      </c>
      <c r="H54" s="27"/>
      <c r="I54" s="25"/>
      <c r="J54" s="25"/>
      <c r="K54" s="24"/>
      <c r="L54" s="24"/>
      <c r="M54" s="24"/>
    </row>
    <row r="55" spans="1:13" ht="26" customHeight="1">
      <c r="A55" s="24">
        <f t="shared" si="0"/>
        <v>53</v>
      </c>
      <c r="B55" s="25" t="s">
        <v>34</v>
      </c>
      <c r="C55" s="25" t="s">
        <v>197</v>
      </c>
      <c r="D55" s="37" t="s">
        <v>198</v>
      </c>
      <c r="E55" s="25"/>
      <c r="F55" s="25" t="s">
        <v>199</v>
      </c>
      <c r="G55" s="25" t="s">
        <v>0</v>
      </c>
      <c r="H55" s="27"/>
      <c r="I55" s="25"/>
      <c r="J55" s="25"/>
      <c r="K55" s="24"/>
      <c r="L55" s="24"/>
      <c r="M55" s="24"/>
    </row>
    <row r="56" spans="1:13" ht="26" customHeight="1">
      <c r="A56" s="24">
        <f t="shared" si="0"/>
        <v>54</v>
      </c>
      <c r="B56" s="25" t="s">
        <v>34</v>
      </c>
      <c r="C56" s="25" t="s">
        <v>200</v>
      </c>
      <c r="D56" s="37" t="s">
        <v>201</v>
      </c>
      <c r="E56" s="25"/>
      <c r="F56" s="25" t="s">
        <v>202</v>
      </c>
      <c r="G56" s="25" t="s">
        <v>0</v>
      </c>
      <c r="H56" s="27"/>
      <c r="I56" s="25"/>
      <c r="J56" s="25"/>
      <c r="K56" s="24"/>
      <c r="L56" s="24"/>
      <c r="M56" s="24"/>
    </row>
    <row r="57" spans="1:13" ht="26" customHeight="1">
      <c r="A57" s="24">
        <f t="shared" si="0"/>
        <v>55</v>
      </c>
      <c r="B57" s="25" t="s">
        <v>34</v>
      </c>
      <c r="C57" s="25" t="s">
        <v>203</v>
      </c>
      <c r="D57" s="37" t="s">
        <v>204</v>
      </c>
      <c r="E57" s="25"/>
      <c r="F57" s="25" t="s">
        <v>205</v>
      </c>
      <c r="G57" s="25" t="s">
        <v>0</v>
      </c>
      <c r="H57" s="27"/>
      <c r="I57" s="25"/>
      <c r="J57" s="25"/>
      <c r="K57" s="24"/>
      <c r="L57" s="24"/>
      <c r="M57" s="24"/>
    </row>
    <row r="58" spans="1:13" ht="26" customHeight="1">
      <c r="A58" s="24">
        <f t="shared" si="0"/>
        <v>56</v>
      </c>
      <c r="B58" s="24" t="s">
        <v>35</v>
      </c>
      <c r="C58" s="31" t="s">
        <v>206</v>
      </c>
      <c r="D58" s="36" t="s">
        <v>207</v>
      </c>
      <c r="E58" s="24"/>
      <c r="F58" s="24" t="s">
        <v>208</v>
      </c>
      <c r="G58" s="24" t="s">
        <v>0</v>
      </c>
      <c r="H58" s="30"/>
      <c r="I58" s="24" t="s">
        <v>37</v>
      </c>
      <c r="J58" s="24"/>
      <c r="K58" s="24"/>
      <c r="L58" s="24"/>
      <c r="M58" s="24"/>
    </row>
    <row r="59" spans="1:13" ht="26" customHeight="1">
      <c r="A59" s="24">
        <f t="shared" si="0"/>
        <v>57</v>
      </c>
      <c r="B59" s="24" t="s">
        <v>35</v>
      </c>
      <c r="C59" s="24" t="s">
        <v>209</v>
      </c>
      <c r="D59" s="36" t="s">
        <v>210</v>
      </c>
      <c r="E59" s="24"/>
      <c r="F59" s="24" t="s">
        <v>211</v>
      </c>
      <c r="G59" s="24" t="s">
        <v>0</v>
      </c>
      <c r="H59" s="30"/>
      <c r="I59" s="24"/>
      <c r="J59" s="24"/>
      <c r="K59" s="24"/>
      <c r="L59" s="24"/>
      <c r="M59" s="24"/>
    </row>
    <row r="60" spans="1:13" ht="26" customHeight="1">
      <c r="A60" s="24">
        <f t="shared" si="0"/>
        <v>58</v>
      </c>
      <c r="B60" s="24" t="s">
        <v>35</v>
      </c>
      <c r="C60" s="24" t="s">
        <v>212</v>
      </c>
      <c r="D60" s="36" t="s">
        <v>213</v>
      </c>
      <c r="E60" s="24"/>
      <c r="F60" s="24" t="s">
        <v>214</v>
      </c>
      <c r="G60" s="24" t="s">
        <v>0</v>
      </c>
      <c r="H60" s="30"/>
      <c r="I60" s="24"/>
      <c r="J60" s="24"/>
      <c r="K60" s="24"/>
      <c r="L60" s="24"/>
      <c r="M60" s="24"/>
    </row>
    <row r="61" spans="1:13" ht="26" customHeight="1">
      <c r="A61" s="24">
        <f t="shared" si="0"/>
        <v>59</v>
      </c>
      <c r="B61" s="24" t="s">
        <v>35</v>
      </c>
      <c r="C61" s="24" t="s">
        <v>215</v>
      </c>
      <c r="D61" s="36" t="s">
        <v>216</v>
      </c>
      <c r="E61" s="24"/>
      <c r="F61" s="24" t="s">
        <v>217</v>
      </c>
      <c r="G61" s="24" t="s">
        <v>0</v>
      </c>
      <c r="H61" s="30"/>
      <c r="I61" s="24"/>
      <c r="J61" s="24"/>
      <c r="K61" s="24"/>
      <c r="L61" s="24"/>
      <c r="M61" s="24"/>
    </row>
    <row r="62" spans="1:13" ht="26" customHeight="1">
      <c r="A62" s="24">
        <f t="shared" si="0"/>
        <v>60</v>
      </c>
      <c r="B62" s="24" t="s">
        <v>35</v>
      </c>
      <c r="C62" s="24" t="s">
        <v>218</v>
      </c>
      <c r="D62" s="36" t="s">
        <v>219</v>
      </c>
      <c r="E62" s="24"/>
      <c r="F62" s="24" t="s">
        <v>220</v>
      </c>
      <c r="G62" s="24" t="s">
        <v>0</v>
      </c>
      <c r="H62" s="30"/>
      <c r="I62" s="24"/>
      <c r="J62" s="24"/>
      <c r="K62" s="24"/>
      <c r="L62" s="24"/>
      <c r="M62" s="24"/>
    </row>
    <row r="63" spans="1:13" ht="26" customHeight="1">
      <c r="A63" s="24">
        <f t="shared" si="0"/>
        <v>61</v>
      </c>
      <c r="B63" s="24" t="s">
        <v>35</v>
      </c>
      <c r="C63" s="24" t="s">
        <v>221</v>
      </c>
      <c r="D63" s="36" t="s">
        <v>222</v>
      </c>
      <c r="E63" s="24"/>
      <c r="F63" s="24" t="s">
        <v>223</v>
      </c>
      <c r="G63" s="24" t="s">
        <v>0</v>
      </c>
      <c r="H63" s="30"/>
      <c r="I63" s="24"/>
      <c r="J63" s="24"/>
      <c r="K63" s="24"/>
      <c r="L63" s="24"/>
      <c r="M63" s="24"/>
    </row>
    <row r="64" spans="1:13" ht="26" customHeight="1">
      <c r="A64" s="24">
        <f t="shared" si="0"/>
        <v>62</v>
      </c>
      <c r="B64" s="24" t="s">
        <v>35</v>
      </c>
      <c r="C64" s="24" t="s">
        <v>177</v>
      </c>
      <c r="D64" s="36" t="s">
        <v>178</v>
      </c>
      <c r="E64" s="24"/>
      <c r="F64" s="24" t="s">
        <v>179</v>
      </c>
      <c r="G64" s="24" t="s">
        <v>0</v>
      </c>
      <c r="H64" s="30"/>
      <c r="I64" s="24" t="s">
        <v>18</v>
      </c>
      <c r="J64" s="24"/>
      <c r="K64" s="24"/>
      <c r="L64" s="24"/>
      <c r="M64" s="24"/>
    </row>
    <row r="65" spans="1:13" ht="26" customHeight="1">
      <c r="A65" s="24">
        <f t="shared" si="0"/>
        <v>63</v>
      </c>
      <c r="B65" s="24" t="s">
        <v>35</v>
      </c>
      <c r="C65" s="24" t="s">
        <v>224</v>
      </c>
      <c r="D65" s="36" t="s">
        <v>225</v>
      </c>
      <c r="E65" s="24"/>
      <c r="F65" s="24" t="s">
        <v>226</v>
      </c>
      <c r="G65" s="24" t="s">
        <v>0</v>
      </c>
      <c r="H65" s="30"/>
      <c r="I65" s="24"/>
      <c r="J65" s="24"/>
      <c r="K65" s="24"/>
      <c r="L65" s="24"/>
      <c r="M65" s="24"/>
    </row>
    <row r="66" spans="1:13" ht="26" customHeight="1">
      <c r="A66" s="24">
        <f t="shared" si="0"/>
        <v>64</v>
      </c>
      <c r="B66" s="24" t="s">
        <v>35</v>
      </c>
      <c r="C66" s="24" t="s">
        <v>161</v>
      </c>
      <c r="D66" s="36" t="s">
        <v>162</v>
      </c>
      <c r="E66" s="24"/>
      <c r="F66" s="24" t="s">
        <v>217</v>
      </c>
      <c r="G66" s="24" t="s">
        <v>0</v>
      </c>
      <c r="H66" s="30"/>
      <c r="I66" s="24"/>
      <c r="J66" s="24"/>
      <c r="K66" s="24"/>
      <c r="L66" s="24"/>
      <c r="M66" s="24"/>
    </row>
    <row r="67" spans="1:13" ht="26" customHeight="1">
      <c r="A67" s="24">
        <f t="shared" si="0"/>
        <v>65</v>
      </c>
      <c r="B67" s="24" t="s">
        <v>35</v>
      </c>
      <c r="C67" s="24" t="s">
        <v>163</v>
      </c>
      <c r="D67" s="36" t="s">
        <v>148</v>
      </c>
      <c r="E67" s="24"/>
      <c r="F67" s="24" t="s">
        <v>164</v>
      </c>
      <c r="G67" s="24" t="s">
        <v>0</v>
      </c>
      <c r="H67" s="30"/>
      <c r="I67" s="24"/>
      <c r="J67" s="24"/>
      <c r="K67" s="24"/>
      <c r="L67" s="24"/>
      <c r="M67" s="24"/>
    </row>
    <row r="68" spans="1:13" ht="26" customHeight="1">
      <c r="A68" s="24">
        <f t="shared" ref="A68:A81" si="1">A67+1</f>
        <v>66</v>
      </c>
      <c r="B68" s="24" t="s">
        <v>35</v>
      </c>
      <c r="C68" s="24" t="s">
        <v>227</v>
      </c>
      <c r="D68" s="36" t="s">
        <v>228</v>
      </c>
      <c r="E68" s="32"/>
      <c r="F68" s="32" t="s">
        <v>229</v>
      </c>
      <c r="G68" s="33" t="s">
        <v>0</v>
      </c>
      <c r="H68" s="34"/>
      <c r="I68" s="33"/>
      <c r="J68" s="24"/>
      <c r="K68" s="24"/>
      <c r="L68" s="24"/>
      <c r="M68" s="24"/>
    </row>
    <row r="69" spans="1:13" ht="26" customHeight="1">
      <c r="A69" s="24">
        <f t="shared" si="1"/>
        <v>67</v>
      </c>
      <c r="B69" s="24" t="s">
        <v>65</v>
      </c>
      <c r="C69" s="24" t="s">
        <v>66</v>
      </c>
      <c r="D69" s="36" t="s">
        <v>67</v>
      </c>
      <c r="E69" s="32"/>
      <c r="F69" s="32" t="s">
        <v>232</v>
      </c>
      <c r="G69" s="33" t="s">
        <v>0</v>
      </c>
      <c r="H69" s="34"/>
      <c r="I69" s="33" t="s">
        <v>156</v>
      </c>
      <c r="J69" s="24"/>
      <c r="K69" s="24"/>
      <c r="L69" s="24"/>
      <c r="M69" s="24"/>
    </row>
    <row r="70" spans="1:13" ht="26" customHeight="1">
      <c r="A70" s="24">
        <f t="shared" si="1"/>
        <v>68</v>
      </c>
      <c r="B70" s="24" t="s">
        <v>65</v>
      </c>
      <c r="C70" s="24" t="s">
        <v>233</v>
      </c>
      <c r="D70" s="36" t="s">
        <v>234</v>
      </c>
      <c r="E70" s="24"/>
      <c r="F70" s="24" t="s">
        <v>235</v>
      </c>
      <c r="G70" s="24" t="s">
        <v>0</v>
      </c>
      <c r="H70" s="30"/>
      <c r="I70" s="24" t="s">
        <v>156</v>
      </c>
      <c r="J70" s="24"/>
      <c r="K70" s="24"/>
      <c r="L70" s="24"/>
      <c r="M70" s="24"/>
    </row>
    <row r="71" spans="1:13" ht="26" customHeight="1">
      <c r="A71" s="24">
        <f t="shared" si="1"/>
        <v>69</v>
      </c>
      <c r="B71" s="24" t="s">
        <v>72</v>
      </c>
      <c r="C71" s="24" t="s">
        <v>236</v>
      </c>
      <c r="D71" s="36" t="s">
        <v>237</v>
      </c>
      <c r="E71" s="24"/>
      <c r="F71" s="24" t="s">
        <v>238</v>
      </c>
      <c r="G71" s="24" t="s">
        <v>0</v>
      </c>
      <c r="H71" s="30"/>
      <c r="I71" s="24"/>
      <c r="J71" s="24"/>
      <c r="K71" s="24"/>
      <c r="L71" s="24"/>
      <c r="M71" s="24"/>
    </row>
    <row r="72" spans="1:13" ht="26" customHeight="1">
      <c r="A72" s="24">
        <f t="shared" si="1"/>
        <v>70</v>
      </c>
      <c r="B72" s="24" t="s">
        <v>72</v>
      </c>
      <c r="C72" s="31" t="s">
        <v>239</v>
      </c>
      <c r="D72" s="36" t="s">
        <v>240</v>
      </c>
      <c r="E72" s="24"/>
      <c r="F72" s="24" t="s">
        <v>264</v>
      </c>
      <c r="G72" s="24" t="s">
        <v>0</v>
      </c>
      <c r="H72" s="30"/>
      <c r="I72" s="24"/>
      <c r="J72" s="24"/>
      <c r="K72" s="24"/>
      <c r="L72" s="24"/>
      <c r="M72" s="24"/>
    </row>
    <row r="73" spans="1:13" ht="26" customHeight="1">
      <c r="A73" s="24">
        <f t="shared" si="1"/>
        <v>71</v>
      </c>
      <c r="B73" s="24" t="s">
        <v>72</v>
      </c>
      <c r="C73" s="24" t="s">
        <v>241</v>
      </c>
      <c r="D73" s="36" t="s">
        <v>242</v>
      </c>
      <c r="E73" s="24"/>
      <c r="F73" s="24" t="s">
        <v>22</v>
      </c>
      <c r="G73" s="24" t="s">
        <v>0</v>
      </c>
      <c r="H73" s="30"/>
      <c r="I73" s="24" t="s">
        <v>156</v>
      </c>
      <c r="J73" s="24"/>
      <c r="K73" s="24"/>
      <c r="L73" s="24"/>
      <c r="M73" s="24"/>
    </row>
    <row r="74" spans="1:13" ht="26" customHeight="1">
      <c r="A74" s="24">
        <f t="shared" si="1"/>
        <v>72</v>
      </c>
      <c r="B74" s="24" t="s">
        <v>72</v>
      </c>
      <c r="C74" s="24" t="s">
        <v>243</v>
      </c>
      <c r="D74" s="36" t="s">
        <v>244</v>
      </c>
      <c r="E74" s="24"/>
      <c r="F74" s="24" t="s">
        <v>245</v>
      </c>
      <c r="G74" s="24" t="s">
        <v>0</v>
      </c>
      <c r="H74" s="30"/>
      <c r="I74" s="24"/>
      <c r="J74" s="24"/>
      <c r="K74" s="24"/>
      <c r="L74" s="24"/>
      <c r="M74" s="24"/>
    </row>
    <row r="75" spans="1:13" ht="26" customHeight="1">
      <c r="A75" s="24">
        <f t="shared" si="1"/>
        <v>73</v>
      </c>
      <c r="B75" s="24" t="s">
        <v>72</v>
      </c>
      <c r="C75" s="24" t="s">
        <v>246</v>
      </c>
      <c r="D75" s="36" t="s">
        <v>247</v>
      </c>
      <c r="E75" s="24"/>
      <c r="F75" s="24" t="s">
        <v>248</v>
      </c>
      <c r="G75" s="24" t="s">
        <v>0</v>
      </c>
      <c r="H75" s="30"/>
      <c r="I75" s="24"/>
      <c r="J75" s="24" t="s">
        <v>23</v>
      </c>
      <c r="K75" s="24"/>
      <c r="L75" s="24"/>
      <c r="M75" s="24"/>
    </row>
    <row r="76" spans="1:13" ht="26" customHeight="1">
      <c r="A76" s="24">
        <f t="shared" si="1"/>
        <v>74</v>
      </c>
      <c r="B76" s="24" t="s">
        <v>72</v>
      </c>
      <c r="C76" s="24" t="s">
        <v>180</v>
      </c>
      <c r="D76" s="36" t="s">
        <v>181</v>
      </c>
      <c r="E76" s="24"/>
      <c r="F76" s="24" t="s">
        <v>182</v>
      </c>
      <c r="G76" s="24" t="s">
        <v>0</v>
      </c>
      <c r="H76" s="30"/>
      <c r="I76" s="24"/>
      <c r="J76" s="24"/>
      <c r="K76" s="24"/>
      <c r="L76" s="24"/>
      <c r="M76" s="24"/>
    </row>
    <row r="77" spans="1:13" ht="26" customHeight="1">
      <c r="A77" s="24">
        <f t="shared" si="1"/>
        <v>75</v>
      </c>
      <c r="B77" s="24" t="s">
        <v>72</v>
      </c>
      <c r="C77" s="24" t="s">
        <v>165</v>
      </c>
      <c r="D77" s="36" t="s">
        <v>166</v>
      </c>
      <c r="E77" s="24"/>
      <c r="F77" s="24" t="s">
        <v>167</v>
      </c>
      <c r="G77" s="24" t="s">
        <v>0</v>
      </c>
      <c r="H77" s="30"/>
      <c r="I77" s="24"/>
      <c r="J77" s="24"/>
      <c r="K77" s="24"/>
      <c r="L77" s="24"/>
      <c r="M77" s="24"/>
    </row>
    <row r="78" spans="1:13" ht="26" customHeight="1">
      <c r="A78" s="24">
        <f t="shared" si="1"/>
        <v>76</v>
      </c>
      <c r="B78" s="24" t="s">
        <v>58</v>
      </c>
      <c r="C78" s="24" t="s">
        <v>249</v>
      </c>
      <c r="D78" s="36" t="s">
        <v>250</v>
      </c>
      <c r="E78" s="24"/>
      <c r="F78" s="24" t="s">
        <v>251</v>
      </c>
      <c r="G78" s="24" t="s">
        <v>0</v>
      </c>
      <c r="H78" s="30"/>
      <c r="I78" s="24" t="s">
        <v>37</v>
      </c>
      <c r="J78" s="24"/>
      <c r="K78" s="24"/>
      <c r="L78" s="24"/>
      <c r="M78" s="24"/>
    </row>
    <row r="79" spans="1:13" ht="26" customHeight="1">
      <c r="A79" s="24">
        <f t="shared" si="1"/>
        <v>77</v>
      </c>
      <c r="B79" s="24" t="s">
        <v>58</v>
      </c>
      <c r="C79" s="24" t="s">
        <v>252</v>
      </c>
      <c r="D79" s="36" t="s">
        <v>253</v>
      </c>
      <c r="E79" s="24"/>
      <c r="F79" s="24" t="s">
        <v>254</v>
      </c>
      <c r="G79" s="24" t="s">
        <v>0</v>
      </c>
      <c r="H79" s="30"/>
      <c r="I79" s="24"/>
      <c r="J79" s="24"/>
      <c r="K79" s="24"/>
      <c r="L79" s="24"/>
      <c r="M79" s="24"/>
    </row>
    <row r="80" spans="1:13" ht="26" customHeight="1">
      <c r="A80" s="24">
        <f t="shared" si="1"/>
        <v>78</v>
      </c>
      <c r="B80" s="24" t="s">
        <v>58</v>
      </c>
      <c r="C80" s="24" t="s">
        <v>255</v>
      </c>
      <c r="D80" s="36" t="s">
        <v>256</v>
      </c>
      <c r="E80" s="24"/>
      <c r="F80" s="24" t="s">
        <v>257</v>
      </c>
      <c r="G80" s="24" t="s">
        <v>0</v>
      </c>
      <c r="H80" s="30"/>
      <c r="I80" s="24" t="s">
        <v>18</v>
      </c>
      <c r="J80" s="24"/>
      <c r="K80" s="24"/>
      <c r="L80" s="24"/>
      <c r="M80" s="24"/>
    </row>
    <row r="81" spans="1:13" ht="26" customHeight="1">
      <c r="A81" s="24">
        <f t="shared" si="1"/>
        <v>79</v>
      </c>
      <c r="B81" s="24" t="s">
        <v>58</v>
      </c>
      <c r="C81" s="24" t="s">
        <v>230</v>
      </c>
      <c r="D81" s="36" t="s">
        <v>231</v>
      </c>
      <c r="E81" s="24"/>
      <c r="F81" s="24" t="s">
        <v>61</v>
      </c>
      <c r="G81" s="24" t="s">
        <v>0</v>
      </c>
      <c r="H81" s="30"/>
      <c r="I81" s="24"/>
      <c r="J81" s="24"/>
      <c r="K81" s="24"/>
      <c r="L81" s="24"/>
      <c r="M81" s="24"/>
    </row>
  </sheetData>
  <autoFilter ref="A2:M81" xr:uid="{708D657F-6F85-4910-B87D-C8D5BA1419F3}"/>
  <mergeCells count="1">
    <mergeCell ref="A1:K1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5A56-55E3-49D2-8BE2-E6D8DF91B52E}">
  <dimension ref="A1:L81"/>
  <sheetViews>
    <sheetView topLeftCell="B1" workbookViewId="0">
      <selection activeCell="D35" sqref="D35"/>
    </sheetView>
  </sheetViews>
  <sheetFormatPr baseColWidth="10" defaultColWidth="8.83203125" defaultRowHeight="15"/>
  <cols>
    <col min="1" max="1" width="6.33203125" style="1" customWidth="1"/>
    <col min="2" max="2" width="13.33203125" style="1" customWidth="1"/>
    <col min="3" max="3" width="36.6640625" style="1" bestFit="1" customWidth="1"/>
    <col min="4" max="4" width="34.1640625" style="1" customWidth="1"/>
    <col min="5" max="5" width="33.5" style="1" customWidth="1"/>
    <col min="6" max="6" width="6.6640625" style="2" customWidth="1"/>
    <col min="7" max="7" width="13.83203125" style="3" customWidth="1"/>
    <col min="8" max="8" width="20.1640625" style="1" customWidth="1"/>
    <col min="9" max="9" width="20.1640625" style="2" customWidth="1"/>
    <col min="10" max="10" width="12.6640625" style="1" customWidth="1"/>
    <col min="11" max="11" width="16.1640625" style="1" customWidth="1"/>
    <col min="12" max="12" width="17.1640625" style="1" customWidth="1"/>
    <col min="13" max="257" width="8.6640625" style="1"/>
    <col min="258" max="258" width="13.33203125" style="1" customWidth="1"/>
    <col min="259" max="259" width="36.83203125" style="1" customWidth="1"/>
    <col min="260" max="260" width="57.6640625" style="1" customWidth="1"/>
    <col min="261" max="261" width="40.1640625" style="1" customWidth="1"/>
    <col min="262" max="263" width="13.33203125" style="1" customWidth="1"/>
    <col min="264" max="513" width="8.6640625" style="1"/>
    <col min="514" max="514" width="13.33203125" style="1" customWidth="1"/>
    <col min="515" max="515" width="36.83203125" style="1" customWidth="1"/>
    <col min="516" max="516" width="57.6640625" style="1" customWidth="1"/>
    <col min="517" max="517" width="40.1640625" style="1" customWidth="1"/>
    <col min="518" max="519" width="13.33203125" style="1" customWidth="1"/>
    <col min="520" max="769" width="8.6640625" style="1"/>
    <col min="770" max="770" width="13.33203125" style="1" customWidth="1"/>
    <col min="771" max="771" width="36.83203125" style="1" customWidth="1"/>
    <col min="772" max="772" width="57.6640625" style="1" customWidth="1"/>
    <col min="773" max="773" width="40.1640625" style="1" customWidth="1"/>
    <col min="774" max="775" width="13.33203125" style="1" customWidth="1"/>
    <col min="776" max="1025" width="8.6640625" style="1"/>
    <col min="1026" max="1026" width="13.33203125" style="1" customWidth="1"/>
    <col min="1027" max="1027" width="36.83203125" style="1" customWidth="1"/>
    <col min="1028" max="1028" width="57.6640625" style="1" customWidth="1"/>
    <col min="1029" max="1029" width="40.1640625" style="1" customWidth="1"/>
    <col min="1030" max="1031" width="13.33203125" style="1" customWidth="1"/>
    <col min="1032" max="1281" width="8.6640625" style="1"/>
    <col min="1282" max="1282" width="13.33203125" style="1" customWidth="1"/>
    <col min="1283" max="1283" width="36.83203125" style="1" customWidth="1"/>
    <col min="1284" max="1284" width="57.6640625" style="1" customWidth="1"/>
    <col min="1285" max="1285" width="40.1640625" style="1" customWidth="1"/>
    <col min="1286" max="1287" width="13.33203125" style="1" customWidth="1"/>
    <col min="1288" max="1537" width="8.6640625" style="1"/>
    <col min="1538" max="1538" width="13.33203125" style="1" customWidth="1"/>
    <col min="1539" max="1539" width="36.83203125" style="1" customWidth="1"/>
    <col min="1540" max="1540" width="57.6640625" style="1" customWidth="1"/>
    <col min="1541" max="1541" width="40.1640625" style="1" customWidth="1"/>
    <col min="1542" max="1543" width="13.33203125" style="1" customWidth="1"/>
    <col min="1544" max="1793" width="8.6640625" style="1"/>
    <col min="1794" max="1794" width="13.33203125" style="1" customWidth="1"/>
    <col min="1795" max="1795" width="36.83203125" style="1" customWidth="1"/>
    <col min="1796" max="1796" width="57.6640625" style="1" customWidth="1"/>
    <col min="1797" max="1797" width="40.1640625" style="1" customWidth="1"/>
    <col min="1798" max="1799" width="13.33203125" style="1" customWidth="1"/>
    <col min="1800" max="2049" width="8.6640625" style="1"/>
    <col min="2050" max="2050" width="13.33203125" style="1" customWidth="1"/>
    <col min="2051" max="2051" width="36.83203125" style="1" customWidth="1"/>
    <col min="2052" max="2052" width="57.6640625" style="1" customWidth="1"/>
    <col min="2053" max="2053" width="40.1640625" style="1" customWidth="1"/>
    <col min="2054" max="2055" width="13.33203125" style="1" customWidth="1"/>
    <col min="2056" max="2305" width="8.6640625" style="1"/>
    <col min="2306" max="2306" width="13.33203125" style="1" customWidth="1"/>
    <col min="2307" max="2307" width="36.83203125" style="1" customWidth="1"/>
    <col min="2308" max="2308" width="57.6640625" style="1" customWidth="1"/>
    <col min="2309" max="2309" width="40.1640625" style="1" customWidth="1"/>
    <col min="2310" max="2311" width="13.33203125" style="1" customWidth="1"/>
    <col min="2312" max="2561" width="8.6640625" style="1"/>
    <col min="2562" max="2562" width="13.33203125" style="1" customWidth="1"/>
    <col min="2563" max="2563" width="36.83203125" style="1" customWidth="1"/>
    <col min="2564" max="2564" width="57.6640625" style="1" customWidth="1"/>
    <col min="2565" max="2565" width="40.1640625" style="1" customWidth="1"/>
    <col min="2566" max="2567" width="13.33203125" style="1" customWidth="1"/>
    <col min="2568" max="2817" width="8.6640625" style="1"/>
    <col min="2818" max="2818" width="13.33203125" style="1" customWidth="1"/>
    <col min="2819" max="2819" width="36.83203125" style="1" customWidth="1"/>
    <col min="2820" max="2820" width="57.6640625" style="1" customWidth="1"/>
    <col min="2821" max="2821" width="40.1640625" style="1" customWidth="1"/>
    <col min="2822" max="2823" width="13.33203125" style="1" customWidth="1"/>
    <col min="2824" max="3073" width="8.6640625" style="1"/>
    <col min="3074" max="3074" width="13.33203125" style="1" customWidth="1"/>
    <col min="3075" max="3075" width="36.83203125" style="1" customWidth="1"/>
    <col min="3076" max="3076" width="57.6640625" style="1" customWidth="1"/>
    <col min="3077" max="3077" width="40.1640625" style="1" customWidth="1"/>
    <col min="3078" max="3079" width="13.33203125" style="1" customWidth="1"/>
    <col min="3080" max="3329" width="8.6640625" style="1"/>
    <col min="3330" max="3330" width="13.33203125" style="1" customWidth="1"/>
    <col min="3331" max="3331" width="36.83203125" style="1" customWidth="1"/>
    <col min="3332" max="3332" width="57.6640625" style="1" customWidth="1"/>
    <col min="3333" max="3333" width="40.1640625" style="1" customWidth="1"/>
    <col min="3334" max="3335" width="13.33203125" style="1" customWidth="1"/>
    <col min="3336" max="3585" width="8.6640625" style="1"/>
    <col min="3586" max="3586" width="13.33203125" style="1" customWidth="1"/>
    <col min="3587" max="3587" width="36.83203125" style="1" customWidth="1"/>
    <col min="3588" max="3588" width="57.6640625" style="1" customWidth="1"/>
    <col min="3589" max="3589" width="40.1640625" style="1" customWidth="1"/>
    <col min="3590" max="3591" width="13.33203125" style="1" customWidth="1"/>
    <col min="3592" max="3841" width="8.6640625" style="1"/>
    <col min="3842" max="3842" width="13.33203125" style="1" customWidth="1"/>
    <col min="3843" max="3843" width="36.83203125" style="1" customWidth="1"/>
    <col min="3844" max="3844" width="57.6640625" style="1" customWidth="1"/>
    <col min="3845" max="3845" width="40.1640625" style="1" customWidth="1"/>
    <col min="3846" max="3847" width="13.33203125" style="1" customWidth="1"/>
    <col min="3848" max="4097" width="8.6640625" style="1"/>
    <col min="4098" max="4098" width="13.33203125" style="1" customWidth="1"/>
    <col min="4099" max="4099" width="36.83203125" style="1" customWidth="1"/>
    <col min="4100" max="4100" width="57.6640625" style="1" customWidth="1"/>
    <col min="4101" max="4101" width="40.1640625" style="1" customWidth="1"/>
    <col min="4102" max="4103" width="13.33203125" style="1" customWidth="1"/>
    <col min="4104" max="4353" width="8.6640625" style="1"/>
    <col min="4354" max="4354" width="13.33203125" style="1" customWidth="1"/>
    <col min="4355" max="4355" width="36.83203125" style="1" customWidth="1"/>
    <col min="4356" max="4356" width="57.6640625" style="1" customWidth="1"/>
    <col min="4357" max="4357" width="40.1640625" style="1" customWidth="1"/>
    <col min="4358" max="4359" width="13.33203125" style="1" customWidth="1"/>
    <col min="4360" max="4609" width="8.6640625" style="1"/>
    <col min="4610" max="4610" width="13.33203125" style="1" customWidth="1"/>
    <col min="4611" max="4611" width="36.83203125" style="1" customWidth="1"/>
    <col min="4612" max="4612" width="57.6640625" style="1" customWidth="1"/>
    <col min="4613" max="4613" width="40.1640625" style="1" customWidth="1"/>
    <col min="4614" max="4615" width="13.33203125" style="1" customWidth="1"/>
    <col min="4616" max="4865" width="8.6640625" style="1"/>
    <col min="4866" max="4866" width="13.33203125" style="1" customWidth="1"/>
    <col min="4867" max="4867" width="36.83203125" style="1" customWidth="1"/>
    <col min="4868" max="4868" width="57.6640625" style="1" customWidth="1"/>
    <col min="4869" max="4869" width="40.1640625" style="1" customWidth="1"/>
    <col min="4870" max="4871" width="13.33203125" style="1" customWidth="1"/>
    <col min="4872" max="5121" width="8.6640625" style="1"/>
    <col min="5122" max="5122" width="13.33203125" style="1" customWidth="1"/>
    <col min="5123" max="5123" width="36.83203125" style="1" customWidth="1"/>
    <col min="5124" max="5124" width="57.6640625" style="1" customWidth="1"/>
    <col min="5125" max="5125" width="40.1640625" style="1" customWidth="1"/>
    <col min="5126" max="5127" width="13.33203125" style="1" customWidth="1"/>
    <col min="5128" max="5377" width="8.6640625" style="1"/>
    <col min="5378" max="5378" width="13.33203125" style="1" customWidth="1"/>
    <col min="5379" max="5379" width="36.83203125" style="1" customWidth="1"/>
    <col min="5380" max="5380" width="57.6640625" style="1" customWidth="1"/>
    <col min="5381" max="5381" width="40.1640625" style="1" customWidth="1"/>
    <col min="5382" max="5383" width="13.33203125" style="1" customWidth="1"/>
    <col min="5384" max="5633" width="8.6640625" style="1"/>
    <col min="5634" max="5634" width="13.33203125" style="1" customWidth="1"/>
    <col min="5635" max="5635" width="36.83203125" style="1" customWidth="1"/>
    <col min="5636" max="5636" width="57.6640625" style="1" customWidth="1"/>
    <col min="5637" max="5637" width="40.1640625" style="1" customWidth="1"/>
    <col min="5638" max="5639" width="13.33203125" style="1" customWidth="1"/>
    <col min="5640" max="5889" width="8.6640625" style="1"/>
    <col min="5890" max="5890" width="13.33203125" style="1" customWidth="1"/>
    <col min="5891" max="5891" width="36.83203125" style="1" customWidth="1"/>
    <col min="5892" max="5892" width="57.6640625" style="1" customWidth="1"/>
    <col min="5893" max="5893" width="40.1640625" style="1" customWidth="1"/>
    <col min="5894" max="5895" width="13.33203125" style="1" customWidth="1"/>
    <col min="5896" max="6145" width="8.6640625" style="1"/>
    <col min="6146" max="6146" width="13.33203125" style="1" customWidth="1"/>
    <col min="6147" max="6147" width="36.83203125" style="1" customWidth="1"/>
    <col min="6148" max="6148" width="57.6640625" style="1" customWidth="1"/>
    <col min="6149" max="6149" width="40.1640625" style="1" customWidth="1"/>
    <col min="6150" max="6151" width="13.33203125" style="1" customWidth="1"/>
    <col min="6152" max="6401" width="8.6640625" style="1"/>
    <col min="6402" max="6402" width="13.33203125" style="1" customWidth="1"/>
    <col min="6403" max="6403" width="36.83203125" style="1" customWidth="1"/>
    <col min="6404" max="6404" width="57.6640625" style="1" customWidth="1"/>
    <col min="6405" max="6405" width="40.1640625" style="1" customWidth="1"/>
    <col min="6406" max="6407" width="13.33203125" style="1" customWidth="1"/>
    <col min="6408" max="6657" width="8.6640625" style="1"/>
    <col min="6658" max="6658" width="13.33203125" style="1" customWidth="1"/>
    <col min="6659" max="6659" width="36.83203125" style="1" customWidth="1"/>
    <col min="6660" max="6660" width="57.6640625" style="1" customWidth="1"/>
    <col min="6661" max="6661" width="40.1640625" style="1" customWidth="1"/>
    <col min="6662" max="6663" width="13.33203125" style="1" customWidth="1"/>
    <col min="6664" max="6913" width="8.6640625" style="1"/>
    <col min="6914" max="6914" width="13.33203125" style="1" customWidth="1"/>
    <col min="6915" max="6915" width="36.83203125" style="1" customWidth="1"/>
    <col min="6916" max="6916" width="57.6640625" style="1" customWidth="1"/>
    <col min="6917" max="6917" width="40.1640625" style="1" customWidth="1"/>
    <col min="6918" max="6919" width="13.33203125" style="1" customWidth="1"/>
    <col min="6920" max="7169" width="8.6640625" style="1"/>
    <col min="7170" max="7170" width="13.33203125" style="1" customWidth="1"/>
    <col min="7171" max="7171" width="36.83203125" style="1" customWidth="1"/>
    <col min="7172" max="7172" width="57.6640625" style="1" customWidth="1"/>
    <col min="7173" max="7173" width="40.1640625" style="1" customWidth="1"/>
    <col min="7174" max="7175" width="13.33203125" style="1" customWidth="1"/>
    <col min="7176" max="7425" width="8.6640625" style="1"/>
    <col min="7426" max="7426" width="13.33203125" style="1" customWidth="1"/>
    <col min="7427" max="7427" width="36.83203125" style="1" customWidth="1"/>
    <col min="7428" max="7428" width="57.6640625" style="1" customWidth="1"/>
    <col min="7429" max="7429" width="40.1640625" style="1" customWidth="1"/>
    <col min="7430" max="7431" width="13.33203125" style="1" customWidth="1"/>
    <col min="7432" max="7681" width="8.6640625" style="1"/>
    <col min="7682" max="7682" width="13.33203125" style="1" customWidth="1"/>
    <col min="7683" max="7683" width="36.83203125" style="1" customWidth="1"/>
    <col min="7684" max="7684" width="57.6640625" style="1" customWidth="1"/>
    <col min="7685" max="7685" width="40.1640625" style="1" customWidth="1"/>
    <col min="7686" max="7687" width="13.33203125" style="1" customWidth="1"/>
    <col min="7688" max="7937" width="8.6640625" style="1"/>
    <col min="7938" max="7938" width="13.33203125" style="1" customWidth="1"/>
    <col min="7939" max="7939" width="36.83203125" style="1" customWidth="1"/>
    <col min="7940" max="7940" width="57.6640625" style="1" customWidth="1"/>
    <col min="7941" max="7941" width="40.1640625" style="1" customWidth="1"/>
    <col min="7942" max="7943" width="13.33203125" style="1" customWidth="1"/>
    <col min="7944" max="8193" width="8.6640625" style="1"/>
    <col min="8194" max="8194" width="13.33203125" style="1" customWidth="1"/>
    <col min="8195" max="8195" width="36.83203125" style="1" customWidth="1"/>
    <col min="8196" max="8196" width="57.6640625" style="1" customWidth="1"/>
    <col min="8197" max="8197" width="40.1640625" style="1" customWidth="1"/>
    <col min="8198" max="8199" width="13.33203125" style="1" customWidth="1"/>
    <col min="8200" max="8449" width="8.6640625" style="1"/>
    <col min="8450" max="8450" width="13.33203125" style="1" customWidth="1"/>
    <col min="8451" max="8451" width="36.83203125" style="1" customWidth="1"/>
    <col min="8452" max="8452" width="57.6640625" style="1" customWidth="1"/>
    <col min="8453" max="8453" width="40.1640625" style="1" customWidth="1"/>
    <col min="8454" max="8455" width="13.33203125" style="1" customWidth="1"/>
    <col min="8456" max="8705" width="8.6640625" style="1"/>
    <col min="8706" max="8706" width="13.33203125" style="1" customWidth="1"/>
    <col min="8707" max="8707" width="36.83203125" style="1" customWidth="1"/>
    <col min="8708" max="8708" width="57.6640625" style="1" customWidth="1"/>
    <col min="8709" max="8709" width="40.1640625" style="1" customWidth="1"/>
    <col min="8710" max="8711" width="13.33203125" style="1" customWidth="1"/>
    <col min="8712" max="8961" width="8.6640625" style="1"/>
    <col min="8962" max="8962" width="13.33203125" style="1" customWidth="1"/>
    <col min="8963" max="8963" width="36.83203125" style="1" customWidth="1"/>
    <col min="8964" max="8964" width="57.6640625" style="1" customWidth="1"/>
    <col min="8965" max="8965" width="40.1640625" style="1" customWidth="1"/>
    <col min="8966" max="8967" width="13.33203125" style="1" customWidth="1"/>
    <col min="8968" max="9217" width="8.6640625" style="1"/>
    <col min="9218" max="9218" width="13.33203125" style="1" customWidth="1"/>
    <col min="9219" max="9219" width="36.83203125" style="1" customWidth="1"/>
    <col min="9220" max="9220" width="57.6640625" style="1" customWidth="1"/>
    <col min="9221" max="9221" width="40.1640625" style="1" customWidth="1"/>
    <col min="9222" max="9223" width="13.33203125" style="1" customWidth="1"/>
    <col min="9224" max="9473" width="8.6640625" style="1"/>
    <col min="9474" max="9474" width="13.33203125" style="1" customWidth="1"/>
    <col min="9475" max="9475" width="36.83203125" style="1" customWidth="1"/>
    <col min="9476" max="9476" width="57.6640625" style="1" customWidth="1"/>
    <col min="9477" max="9477" width="40.1640625" style="1" customWidth="1"/>
    <col min="9478" max="9479" width="13.33203125" style="1" customWidth="1"/>
    <col min="9480" max="9729" width="8.6640625" style="1"/>
    <col min="9730" max="9730" width="13.33203125" style="1" customWidth="1"/>
    <col min="9731" max="9731" width="36.83203125" style="1" customWidth="1"/>
    <col min="9732" max="9732" width="57.6640625" style="1" customWidth="1"/>
    <col min="9733" max="9733" width="40.1640625" style="1" customWidth="1"/>
    <col min="9734" max="9735" width="13.33203125" style="1" customWidth="1"/>
    <col min="9736" max="9985" width="8.6640625" style="1"/>
    <col min="9986" max="9986" width="13.33203125" style="1" customWidth="1"/>
    <col min="9987" max="9987" width="36.83203125" style="1" customWidth="1"/>
    <col min="9988" max="9988" width="57.6640625" style="1" customWidth="1"/>
    <col min="9989" max="9989" width="40.1640625" style="1" customWidth="1"/>
    <col min="9990" max="9991" width="13.33203125" style="1" customWidth="1"/>
    <col min="9992" max="10241" width="8.6640625" style="1"/>
    <col min="10242" max="10242" width="13.33203125" style="1" customWidth="1"/>
    <col min="10243" max="10243" width="36.83203125" style="1" customWidth="1"/>
    <col min="10244" max="10244" width="57.6640625" style="1" customWidth="1"/>
    <col min="10245" max="10245" width="40.1640625" style="1" customWidth="1"/>
    <col min="10246" max="10247" width="13.33203125" style="1" customWidth="1"/>
    <col min="10248" max="10497" width="8.6640625" style="1"/>
    <col min="10498" max="10498" width="13.33203125" style="1" customWidth="1"/>
    <col min="10499" max="10499" width="36.83203125" style="1" customWidth="1"/>
    <col min="10500" max="10500" width="57.6640625" style="1" customWidth="1"/>
    <col min="10501" max="10501" width="40.1640625" style="1" customWidth="1"/>
    <col min="10502" max="10503" width="13.33203125" style="1" customWidth="1"/>
    <col min="10504" max="10753" width="8.6640625" style="1"/>
    <col min="10754" max="10754" width="13.33203125" style="1" customWidth="1"/>
    <col min="10755" max="10755" width="36.83203125" style="1" customWidth="1"/>
    <col min="10756" max="10756" width="57.6640625" style="1" customWidth="1"/>
    <col min="10757" max="10757" width="40.1640625" style="1" customWidth="1"/>
    <col min="10758" max="10759" width="13.33203125" style="1" customWidth="1"/>
    <col min="10760" max="11009" width="8.6640625" style="1"/>
    <col min="11010" max="11010" width="13.33203125" style="1" customWidth="1"/>
    <col min="11011" max="11011" width="36.83203125" style="1" customWidth="1"/>
    <col min="11012" max="11012" width="57.6640625" style="1" customWidth="1"/>
    <col min="11013" max="11013" width="40.1640625" style="1" customWidth="1"/>
    <col min="11014" max="11015" width="13.33203125" style="1" customWidth="1"/>
    <col min="11016" max="11265" width="8.6640625" style="1"/>
    <col min="11266" max="11266" width="13.33203125" style="1" customWidth="1"/>
    <col min="11267" max="11267" width="36.83203125" style="1" customWidth="1"/>
    <col min="11268" max="11268" width="57.6640625" style="1" customWidth="1"/>
    <col min="11269" max="11269" width="40.1640625" style="1" customWidth="1"/>
    <col min="11270" max="11271" width="13.33203125" style="1" customWidth="1"/>
    <col min="11272" max="11521" width="8.6640625" style="1"/>
    <col min="11522" max="11522" width="13.33203125" style="1" customWidth="1"/>
    <col min="11523" max="11523" width="36.83203125" style="1" customWidth="1"/>
    <col min="11524" max="11524" width="57.6640625" style="1" customWidth="1"/>
    <col min="11525" max="11525" width="40.1640625" style="1" customWidth="1"/>
    <col min="11526" max="11527" width="13.33203125" style="1" customWidth="1"/>
    <col min="11528" max="11777" width="8.6640625" style="1"/>
    <col min="11778" max="11778" width="13.33203125" style="1" customWidth="1"/>
    <col min="11779" max="11779" width="36.83203125" style="1" customWidth="1"/>
    <col min="11780" max="11780" width="57.6640625" style="1" customWidth="1"/>
    <col min="11781" max="11781" width="40.1640625" style="1" customWidth="1"/>
    <col min="11782" max="11783" width="13.33203125" style="1" customWidth="1"/>
    <col min="11784" max="12033" width="8.6640625" style="1"/>
    <col min="12034" max="12034" width="13.33203125" style="1" customWidth="1"/>
    <col min="12035" max="12035" width="36.83203125" style="1" customWidth="1"/>
    <col min="12036" max="12036" width="57.6640625" style="1" customWidth="1"/>
    <col min="12037" max="12037" width="40.1640625" style="1" customWidth="1"/>
    <col min="12038" max="12039" width="13.33203125" style="1" customWidth="1"/>
    <col min="12040" max="12289" width="8.6640625" style="1"/>
    <col min="12290" max="12290" width="13.33203125" style="1" customWidth="1"/>
    <col min="12291" max="12291" width="36.83203125" style="1" customWidth="1"/>
    <col min="12292" max="12292" width="57.6640625" style="1" customWidth="1"/>
    <col min="12293" max="12293" width="40.1640625" style="1" customWidth="1"/>
    <col min="12294" max="12295" width="13.33203125" style="1" customWidth="1"/>
    <col min="12296" max="12545" width="8.6640625" style="1"/>
    <col min="12546" max="12546" width="13.33203125" style="1" customWidth="1"/>
    <col min="12547" max="12547" width="36.83203125" style="1" customWidth="1"/>
    <col min="12548" max="12548" width="57.6640625" style="1" customWidth="1"/>
    <col min="12549" max="12549" width="40.1640625" style="1" customWidth="1"/>
    <col min="12550" max="12551" width="13.33203125" style="1" customWidth="1"/>
    <col min="12552" max="12801" width="8.6640625" style="1"/>
    <col min="12802" max="12802" width="13.33203125" style="1" customWidth="1"/>
    <col min="12803" max="12803" width="36.83203125" style="1" customWidth="1"/>
    <col min="12804" max="12804" width="57.6640625" style="1" customWidth="1"/>
    <col min="12805" max="12805" width="40.1640625" style="1" customWidth="1"/>
    <col min="12806" max="12807" width="13.33203125" style="1" customWidth="1"/>
    <col min="12808" max="13057" width="8.6640625" style="1"/>
    <col min="13058" max="13058" width="13.33203125" style="1" customWidth="1"/>
    <col min="13059" max="13059" width="36.83203125" style="1" customWidth="1"/>
    <col min="13060" max="13060" width="57.6640625" style="1" customWidth="1"/>
    <col min="13061" max="13061" width="40.1640625" style="1" customWidth="1"/>
    <col min="13062" max="13063" width="13.33203125" style="1" customWidth="1"/>
    <col min="13064" max="13313" width="8.6640625" style="1"/>
    <col min="13314" max="13314" width="13.33203125" style="1" customWidth="1"/>
    <col min="13315" max="13315" width="36.83203125" style="1" customWidth="1"/>
    <col min="13316" max="13316" width="57.6640625" style="1" customWidth="1"/>
    <col min="13317" max="13317" width="40.1640625" style="1" customWidth="1"/>
    <col min="13318" max="13319" width="13.33203125" style="1" customWidth="1"/>
    <col min="13320" max="13569" width="8.6640625" style="1"/>
    <col min="13570" max="13570" width="13.33203125" style="1" customWidth="1"/>
    <col min="13571" max="13571" width="36.83203125" style="1" customWidth="1"/>
    <col min="13572" max="13572" width="57.6640625" style="1" customWidth="1"/>
    <col min="13573" max="13573" width="40.1640625" style="1" customWidth="1"/>
    <col min="13574" max="13575" width="13.33203125" style="1" customWidth="1"/>
    <col min="13576" max="13825" width="8.6640625" style="1"/>
    <col min="13826" max="13826" width="13.33203125" style="1" customWidth="1"/>
    <col min="13827" max="13827" width="36.83203125" style="1" customWidth="1"/>
    <col min="13828" max="13828" width="57.6640625" style="1" customWidth="1"/>
    <col min="13829" max="13829" width="40.1640625" style="1" customWidth="1"/>
    <col min="13830" max="13831" width="13.33203125" style="1" customWidth="1"/>
    <col min="13832" max="14081" width="8.6640625" style="1"/>
    <col min="14082" max="14082" width="13.33203125" style="1" customWidth="1"/>
    <col min="14083" max="14083" width="36.83203125" style="1" customWidth="1"/>
    <col min="14084" max="14084" width="57.6640625" style="1" customWidth="1"/>
    <col min="14085" max="14085" width="40.1640625" style="1" customWidth="1"/>
    <col min="14086" max="14087" width="13.33203125" style="1" customWidth="1"/>
    <col min="14088" max="14337" width="8.6640625" style="1"/>
    <col min="14338" max="14338" width="13.33203125" style="1" customWidth="1"/>
    <col min="14339" max="14339" width="36.83203125" style="1" customWidth="1"/>
    <col min="14340" max="14340" width="57.6640625" style="1" customWidth="1"/>
    <col min="14341" max="14341" width="40.1640625" style="1" customWidth="1"/>
    <col min="14342" max="14343" width="13.33203125" style="1" customWidth="1"/>
    <col min="14344" max="14593" width="8.6640625" style="1"/>
    <col min="14594" max="14594" width="13.33203125" style="1" customWidth="1"/>
    <col min="14595" max="14595" width="36.83203125" style="1" customWidth="1"/>
    <col min="14596" max="14596" width="57.6640625" style="1" customWidth="1"/>
    <col min="14597" max="14597" width="40.1640625" style="1" customWidth="1"/>
    <col min="14598" max="14599" width="13.33203125" style="1" customWidth="1"/>
    <col min="14600" max="14849" width="8.6640625" style="1"/>
    <col min="14850" max="14850" width="13.33203125" style="1" customWidth="1"/>
    <col min="14851" max="14851" width="36.83203125" style="1" customWidth="1"/>
    <col min="14852" max="14852" width="57.6640625" style="1" customWidth="1"/>
    <col min="14853" max="14853" width="40.1640625" style="1" customWidth="1"/>
    <col min="14854" max="14855" width="13.33203125" style="1" customWidth="1"/>
    <col min="14856" max="15105" width="8.6640625" style="1"/>
    <col min="15106" max="15106" width="13.33203125" style="1" customWidth="1"/>
    <col min="15107" max="15107" width="36.83203125" style="1" customWidth="1"/>
    <col min="15108" max="15108" width="57.6640625" style="1" customWidth="1"/>
    <col min="15109" max="15109" width="40.1640625" style="1" customWidth="1"/>
    <col min="15110" max="15111" width="13.33203125" style="1" customWidth="1"/>
    <col min="15112" max="15361" width="8.6640625" style="1"/>
    <col min="15362" max="15362" width="13.33203125" style="1" customWidth="1"/>
    <col min="15363" max="15363" width="36.83203125" style="1" customWidth="1"/>
    <col min="15364" max="15364" width="57.6640625" style="1" customWidth="1"/>
    <col min="15365" max="15365" width="40.1640625" style="1" customWidth="1"/>
    <col min="15366" max="15367" width="13.33203125" style="1" customWidth="1"/>
    <col min="15368" max="15617" width="8.6640625" style="1"/>
    <col min="15618" max="15618" width="13.33203125" style="1" customWidth="1"/>
    <col min="15619" max="15619" width="36.83203125" style="1" customWidth="1"/>
    <col min="15620" max="15620" width="57.6640625" style="1" customWidth="1"/>
    <col min="15621" max="15621" width="40.1640625" style="1" customWidth="1"/>
    <col min="15622" max="15623" width="13.33203125" style="1" customWidth="1"/>
    <col min="15624" max="15873" width="8.6640625" style="1"/>
    <col min="15874" max="15874" width="13.33203125" style="1" customWidth="1"/>
    <col min="15875" max="15875" width="36.83203125" style="1" customWidth="1"/>
    <col min="15876" max="15876" width="57.6640625" style="1" customWidth="1"/>
    <col min="15877" max="15877" width="40.1640625" style="1" customWidth="1"/>
    <col min="15878" max="15879" width="13.33203125" style="1" customWidth="1"/>
    <col min="15880" max="16129" width="8.6640625" style="1"/>
    <col min="16130" max="16130" width="13.33203125" style="1" customWidth="1"/>
    <col min="16131" max="16131" width="36.83203125" style="1" customWidth="1"/>
    <col min="16132" max="16132" width="57.6640625" style="1" customWidth="1"/>
    <col min="16133" max="16133" width="40.1640625" style="1" customWidth="1"/>
    <col min="16134" max="16135" width="13.33203125" style="1" customWidth="1"/>
    <col min="16136" max="16384" width="8.6640625" style="1"/>
  </cols>
  <sheetData>
    <row r="1" spans="1:12">
      <c r="A1" s="1" t="s">
        <v>265</v>
      </c>
      <c r="J1" s="2"/>
      <c r="K1" s="2" t="s">
        <v>1</v>
      </c>
    </row>
    <row r="2" spans="1:1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4" t="s">
        <v>10</v>
      </c>
      <c r="J2" s="4" t="s">
        <v>260</v>
      </c>
      <c r="K2" s="4" t="s">
        <v>258</v>
      </c>
      <c r="L2" s="9" t="s">
        <v>261</v>
      </c>
    </row>
    <row r="3" spans="1:12" s="17" customFormat="1">
      <c r="A3" s="6">
        <v>1</v>
      </c>
      <c r="B3" s="4" t="s">
        <v>268</v>
      </c>
      <c r="C3" s="7" t="s">
        <v>269</v>
      </c>
      <c r="D3" s="7" t="s">
        <v>270</v>
      </c>
      <c r="E3" s="7" t="s">
        <v>271</v>
      </c>
      <c r="F3" s="4" t="s">
        <v>0</v>
      </c>
      <c r="G3" s="8"/>
      <c r="H3" s="9" t="s">
        <v>272</v>
      </c>
      <c r="I3" s="4"/>
      <c r="J3" s="11"/>
      <c r="K3" s="11" t="s">
        <v>273</v>
      </c>
      <c r="L3" s="11" t="s">
        <v>274</v>
      </c>
    </row>
    <row r="4" spans="1:12" s="17" customFormat="1">
      <c r="A4" s="6">
        <v>2</v>
      </c>
      <c r="B4" s="4" t="s">
        <v>268</v>
      </c>
      <c r="C4" s="7" t="s">
        <v>275</v>
      </c>
      <c r="D4" s="7" t="s">
        <v>276</v>
      </c>
      <c r="E4" s="7" t="s">
        <v>277</v>
      </c>
      <c r="F4" s="4" t="s">
        <v>0</v>
      </c>
      <c r="G4" s="8"/>
      <c r="H4" s="9" t="s">
        <v>272</v>
      </c>
      <c r="I4" s="4"/>
      <c r="J4" s="11"/>
      <c r="K4" s="11" t="s">
        <v>278</v>
      </c>
      <c r="L4" s="11" t="s">
        <v>279</v>
      </c>
    </row>
    <row r="5" spans="1:12" s="17" customFormat="1">
      <c r="A5" s="6">
        <v>3</v>
      </c>
      <c r="B5" s="4" t="s">
        <v>280</v>
      </c>
      <c r="C5" s="7" t="s">
        <v>281</v>
      </c>
      <c r="D5" s="7" t="s">
        <v>282</v>
      </c>
      <c r="E5" s="7" t="s">
        <v>277</v>
      </c>
      <c r="F5" s="4" t="s">
        <v>0</v>
      </c>
      <c r="G5" s="8"/>
      <c r="H5" s="9" t="s">
        <v>283</v>
      </c>
      <c r="I5" s="4"/>
      <c r="J5" s="11"/>
      <c r="K5" s="11" t="s">
        <v>284</v>
      </c>
      <c r="L5" s="11" t="s">
        <v>285</v>
      </c>
    </row>
    <row r="6" spans="1:12" s="17" customFormat="1">
      <c r="A6" s="6">
        <v>4</v>
      </c>
      <c r="B6" s="4" t="s">
        <v>286</v>
      </c>
      <c r="C6" s="7" t="s">
        <v>287</v>
      </c>
      <c r="D6" s="7" t="s">
        <v>288</v>
      </c>
      <c r="E6" s="7" t="s">
        <v>271</v>
      </c>
      <c r="F6" s="4" t="s">
        <v>0</v>
      </c>
      <c r="G6" s="8"/>
      <c r="H6" s="9" t="s">
        <v>272</v>
      </c>
      <c r="I6" s="4"/>
      <c r="J6" s="11"/>
      <c r="K6" s="11" t="s">
        <v>289</v>
      </c>
      <c r="L6" s="11" t="s">
        <v>290</v>
      </c>
    </row>
    <row r="7" spans="1:12" s="17" customFormat="1">
      <c r="A7" s="6">
        <v>5</v>
      </c>
      <c r="B7" s="4" t="s">
        <v>291</v>
      </c>
      <c r="C7" s="7" t="s">
        <v>292</v>
      </c>
      <c r="D7" s="7" t="s">
        <v>293</v>
      </c>
      <c r="E7" s="7" t="s">
        <v>0</v>
      </c>
      <c r="F7" s="4" t="s">
        <v>294</v>
      </c>
      <c r="G7" s="8"/>
      <c r="H7" s="9" t="s">
        <v>272</v>
      </c>
      <c r="I7" s="4"/>
      <c r="J7" s="11"/>
      <c r="K7" s="11" t="s">
        <v>295</v>
      </c>
      <c r="L7" s="11" t="s">
        <v>296</v>
      </c>
    </row>
    <row r="8" spans="1:12" s="17" customFormat="1">
      <c r="A8" s="6">
        <v>6</v>
      </c>
      <c r="B8" s="4" t="s">
        <v>297</v>
      </c>
      <c r="C8" s="13" t="s">
        <v>298</v>
      </c>
      <c r="D8" s="7" t="s">
        <v>299</v>
      </c>
      <c r="E8" s="7" t="s">
        <v>277</v>
      </c>
      <c r="F8" s="4" t="s">
        <v>294</v>
      </c>
      <c r="G8" s="8"/>
      <c r="H8" s="9" t="s">
        <v>272</v>
      </c>
      <c r="I8" s="4"/>
      <c r="J8" s="11"/>
      <c r="K8" s="11" t="s">
        <v>300</v>
      </c>
      <c r="L8" s="11" t="s">
        <v>301</v>
      </c>
    </row>
    <row r="9" spans="1:12" s="17" customFormat="1">
      <c r="A9" s="6">
        <v>7</v>
      </c>
      <c r="B9" s="4" t="s">
        <v>302</v>
      </c>
      <c r="C9" s="7" t="s">
        <v>303</v>
      </c>
      <c r="D9" s="7" t="s">
        <v>304</v>
      </c>
      <c r="E9" s="7" t="s">
        <v>305</v>
      </c>
      <c r="F9" s="4" t="s">
        <v>0</v>
      </c>
      <c r="G9" s="8"/>
      <c r="H9" s="9" t="s">
        <v>306</v>
      </c>
      <c r="I9" s="4"/>
      <c r="J9" s="11"/>
      <c r="K9" s="11" t="s">
        <v>307</v>
      </c>
      <c r="L9" s="11" t="s">
        <v>285</v>
      </c>
    </row>
    <row r="10" spans="1:12" s="17" customFormat="1">
      <c r="A10" s="6">
        <v>8</v>
      </c>
      <c r="B10" s="4" t="s">
        <v>291</v>
      </c>
      <c r="C10" s="7" t="s">
        <v>308</v>
      </c>
      <c r="D10" s="7" t="s">
        <v>309</v>
      </c>
      <c r="E10" s="7" t="s">
        <v>271</v>
      </c>
      <c r="F10" s="4" t="s">
        <v>294</v>
      </c>
      <c r="G10" s="8"/>
      <c r="H10" s="9" t="s">
        <v>272</v>
      </c>
      <c r="I10" s="4"/>
      <c r="J10" s="11"/>
      <c r="K10" s="11" t="s">
        <v>310</v>
      </c>
      <c r="L10" s="11" t="s">
        <v>274</v>
      </c>
    </row>
    <row r="11" spans="1:12" s="17" customFormat="1">
      <c r="A11" s="6">
        <v>9</v>
      </c>
      <c r="B11" s="4" t="s">
        <v>291</v>
      </c>
      <c r="C11" s="7" t="s">
        <v>311</v>
      </c>
      <c r="D11" s="7" t="s">
        <v>312</v>
      </c>
      <c r="E11" s="7" t="s">
        <v>271</v>
      </c>
      <c r="F11" s="4" t="s">
        <v>294</v>
      </c>
      <c r="G11" s="8"/>
      <c r="H11" s="9" t="s">
        <v>272</v>
      </c>
      <c r="I11" s="4"/>
      <c r="J11" s="11"/>
      <c r="K11" s="11" t="s">
        <v>313</v>
      </c>
      <c r="L11" s="11" t="s">
        <v>274</v>
      </c>
    </row>
    <row r="12" spans="1:12" s="17" customFormat="1">
      <c r="A12" s="6">
        <v>10</v>
      </c>
      <c r="B12" s="4" t="s">
        <v>314</v>
      </c>
      <c r="C12" s="7" t="s">
        <v>315</v>
      </c>
      <c r="D12" s="7" t="s">
        <v>316</v>
      </c>
      <c r="E12" s="7" t="s">
        <v>0</v>
      </c>
      <c r="F12" s="4" t="s">
        <v>294</v>
      </c>
      <c r="G12" s="8"/>
      <c r="H12" s="9" t="s">
        <v>272</v>
      </c>
      <c r="I12" s="4"/>
      <c r="J12" s="11"/>
      <c r="K12" s="11" t="s">
        <v>317</v>
      </c>
      <c r="L12" s="11" t="s">
        <v>318</v>
      </c>
    </row>
    <row r="13" spans="1:12" s="17" customFormat="1">
      <c r="A13" s="6">
        <v>11</v>
      </c>
      <c r="B13" s="4" t="s">
        <v>302</v>
      </c>
      <c r="C13" s="13" t="s">
        <v>319</v>
      </c>
      <c r="D13" s="7" t="s">
        <v>320</v>
      </c>
      <c r="E13" s="7" t="s">
        <v>271</v>
      </c>
      <c r="F13" s="4" t="s">
        <v>294</v>
      </c>
      <c r="G13" s="8"/>
      <c r="H13" s="1" t="s">
        <v>321</v>
      </c>
      <c r="I13" s="4"/>
      <c r="J13" s="11"/>
      <c r="K13" s="11" t="s">
        <v>322</v>
      </c>
      <c r="L13" s="11" t="s">
        <v>285</v>
      </c>
    </row>
    <row r="14" spans="1:12" s="17" customFormat="1">
      <c r="A14" s="6"/>
      <c r="B14" s="4"/>
      <c r="C14" s="7"/>
      <c r="D14" s="7"/>
      <c r="E14" s="7"/>
      <c r="F14" s="4"/>
      <c r="G14" s="8"/>
      <c r="H14" s="9"/>
      <c r="I14" s="4"/>
      <c r="J14" s="11"/>
      <c r="K14" s="11"/>
      <c r="L14" s="11"/>
    </row>
    <row r="15" spans="1:12" s="17" customFormat="1">
      <c r="A15" s="6"/>
      <c r="B15" s="4"/>
      <c r="C15" s="7"/>
      <c r="D15" s="7"/>
      <c r="E15" s="7"/>
      <c r="F15" s="4"/>
      <c r="G15" s="8"/>
      <c r="H15" s="9"/>
      <c r="I15" s="4"/>
      <c r="J15" s="11"/>
      <c r="K15" s="11"/>
      <c r="L15" s="11"/>
    </row>
    <row r="16" spans="1:12">
      <c r="A16" s="6"/>
      <c r="B16" s="4"/>
      <c r="C16" s="7"/>
      <c r="D16" s="7"/>
      <c r="E16" s="7"/>
      <c r="F16" s="4"/>
      <c r="G16" s="8"/>
      <c r="H16" s="9"/>
      <c r="I16" s="4"/>
      <c r="J16" s="9"/>
      <c r="K16" s="9"/>
      <c r="L16" s="9"/>
    </row>
    <row r="17" spans="1:12">
      <c r="A17" s="6"/>
      <c r="B17" s="4"/>
      <c r="C17" s="13"/>
      <c r="D17" s="7"/>
      <c r="E17" s="7"/>
      <c r="F17" s="4"/>
      <c r="G17" s="8"/>
      <c r="H17" s="9"/>
      <c r="I17" s="4"/>
      <c r="J17" s="9"/>
      <c r="K17" s="9"/>
      <c r="L17" s="9"/>
    </row>
    <row r="18" spans="1:12">
      <c r="A18" s="6"/>
      <c r="B18" s="4"/>
      <c r="C18" s="7"/>
      <c r="D18" s="7"/>
      <c r="E18" s="7"/>
      <c r="F18" s="4"/>
      <c r="G18" s="8"/>
      <c r="H18" s="9"/>
      <c r="I18" s="4"/>
      <c r="J18" s="9"/>
      <c r="K18" s="9"/>
      <c r="L18" s="9"/>
    </row>
    <row r="19" spans="1:12">
      <c r="A19" s="6"/>
      <c r="B19" s="4"/>
      <c r="C19" s="7"/>
      <c r="D19" s="7"/>
      <c r="E19" s="7"/>
      <c r="F19" s="4"/>
      <c r="G19" s="8"/>
      <c r="H19" s="9"/>
      <c r="I19" s="4"/>
      <c r="J19" s="9"/>
      <c r="K19" s="9"/>
      <c r="L19" s="9"/>
    </row>
    <row r="20" spans="1:12">
      <c r="A20" s="6"/>
      <c r="B20" s="4"/>
      <c r="C20" s="7"/>
      <c r="D20" s="7"/>
      <c r="E20" s="7"/>
      <c r="F20" s="4"/>
      <c r="G20" s="8"/>
      <c r="H20" s="9"/>
      <c r="I20" s="4"/>
      <c r="J20" s="9"/>
      <c r="K20" s="9"/>
      <c r="L20" s="9"/>
    </row>
    <row r="21" spans="1:12">
      <c r="A21" s="6"/>
      <c r="B21" s="4"/>
      <c r="C21" s="7"/>
      <c r="D21" s="7"/>
      <c r="E21" s="7"/>
      <c r="F21" s="4"/>
      <c r="G21" s="8"/>
      <c r="H21" s="9"/>
      <c r="I21" s="4"/>
      <c r="J21" s="9"/>
      <c r="K21" s="9"/>
      <c r="L21" s="9"/>
    </row>
    <row r="22" spans="1:12">
      <c r="A22" s="6"/>
      <c r="B22" s="4"/>
      <c r="C22" s="7"/>
      <c r="D22" s="7"/>
      <c r="E22" s="7"/>
      <c r="F22" s="4"/>
      <c r="G22" s="8"/>
      <c r="H22" s="9"/>
      <c r="I22" s="4"/>
      <c r="J22" s="9"/>
      <c r="K22" s="9"/>
      <c r="L22" s="9"/>
    </row>
    <row r="23" spans="1:12">
      <c r="A23" s="6"/>
      <c r="B23" s="4"/>
      <c r="C23" s="7"/>
      <c r="D23" s="7"/>
      <c r="E23" s="7"/>
      <c r="F23" s="4"/>
      <c r="G23" s="8"/>
      <c r="H23" s="9"/>
      <c r="I23" s="4"/>
      <c r="J23" s="9"/>
      <c r="K23" s="9"/>
      <c r="L23" s="9"/>
    </row>
    <row r="24" spans="1:12">
      <c r="A24" s="6"/>
      <c r="B24" s="4"/>
      <c r="C24" s="7"/>
      <c r="D24" s="7"/>
      <c r="E24" s="7"/>
      <c r="F24" s="4"/>
      <c r="G24" s="8"/>
      <c r="H24" s="9"/>
      <c r="I24" s="4"/>
      <c r="J24" s="9"/>
      <c r="K24" s="9"/>
      <c r="L24" s="9"/>
    </row>
    <row r="25" spans="1:12">
      <c r="A25" s="6"/>
      <c r="B25" s="4"/>
      <c r="C25" s="7"/>
      <c r="D25" s="7"/>
      <c r="E25" s="7"/>
      <c r="F25" s="4"/>
      <c r="G25" s="8"/>
      <c r="H25" s="9"/>
      <c r="I25" s="4"/>
      <c r="J25" s="9"/>
      <c r="K25" s="9"/>
      <c r="L25" s="9"/>
    </row>
    <row r="26" spans="1:12">
      <c r="A26" s="6"/>
      <c r="B26" s="4"/>
      <c r="C26" s="7"/>
      <c r="D26" s="7"/>
      <c r="E26" s="7"/>
      <c r="F26" s="4"/>
      <c r="G26" s="8"/>
      <c r="H26" s="9"/>
      <c r="I26" s="4"/>
      <c r="J26" s="9"/>
      <c r="K26" s="9"/>
      <c r="L26" s="9"/>
    </row>
    <row r="27" spans="1:12">
      <c r="A27" s="6"/>
      <c r="B27" s="4"/>
      <c r="C27" s="7"/>
      <c r="D27" s="7"/>
      <c r="E27" s="7"/>
      <c r="F27" s="4"/>
      <c r="G27" s="8"/>
      <c r="H27" s="9"/>
      <c r="I27" s="4"/>
      <c r="J27" s="9"/>
      <c r="K27" s="9"/>
      <c r="L27" s="9"/>
    </row>
    <row r="28" spans="1:12">
      <c r="A28" s="6"/>
      <c r="B28" s="4"/>
      <c r="C28" s="7"/>
      <c r="D28" s="7"/>
      <c r="E28" s="7"/>
      <c r="F28" s="4"/>
      <c r="G28" s="8"/>
      <c r="H28" s="9"/>
      <c r="I28" s="4"/>
      <c r="J28" s="9"/>
      <c r="K28" s="9"/>
      <c r="L28" s="9"/>
    </row>
    <row r="29" spans="1:12">
      <c r="A29" s="6"/>
      <c r="B29" s="4"/>
      <c r="C29" s="7"/>
      <c r="D29" s="7"/>
      <c r="E29" s="7"/>
      <c r="F29" s="4"/>
      <c r="G29" s="8"/>
      <c r="H29" s="9"/>
      <c r="I29" s="4"/>
      <c r="J29" s="9"/>
      <c r="K29" s="9"/>
      <c r="L29" s="9"/>
    </row>
    <row r="30" spans="1:12">
      <c r="A30" s="6"/>
      <c r="B30" s="4"/>
      <c r="C30" s="7"/>
      <c r="D30" s="7"/>
      <c r="E30" s="7"/>
      <c r="F30" s="4"/>
      <c r="G30" s="8"/>
      <c r="H30" s="9"/>
      <c r="I30" s="4"/>
      <c r="J30" s="9"/>
      <c r="K30" s="9"/>
      <c r="L30" s="9"/>
    </row>
    <row r="31" spans="1:12">
      <c r="A31" s="6"/>
      <c r="B31" s="4"/>
      <c r="C31" s="7"/>
      <c r="D31" s="7"/>
      <c r="E31" s="7"/>
      <c r="F31" s="4"/>
      <c r="G31" s="8"/>
      <c r="H31" s="9"/>
      <c r="I31" s="4"/>
      <c r="J31" s="9"/>
      <c r="K31" s="9"/>
      <c r="L31" s="9"/>
    </row>
    <row r="32" spans="1:12">
      <c r="A32" s="6"/>
      <c r="B32" s="4"/>
      <c r="C32" s="13"/>
      <c r="D32" s="7"/>
      <c r="E32" s="7"/>
      <c r="F32" s="4"/>
      <c r="G32" s="8"/>
      <c r="H32" s="9"/>
      <c r="I32" s="4"/>
      <c r="J32" s="9"/>
      <c r="K32" s="9"/>
      <c r="L32" s="9"/>
    </row>
    <row r="33" spans="1:12">
      <c r="A33" s="6"/>
      <c r="B33" s="4"/>
      <c r="C33" s="13"/>
      <c r="D33" s="7"/>
      <c r="E33" s="7"/>
      <c r="F33" s="4"/>
      <c r="G33" s="8"/>
      <c r="H33" s="9"/>
      <c r="I33" s="4"/>
      <c r="J33" s="9"/>
      <c r="K33" s="9"/>
      <c r="L33" s="9"/>
    </row>
    <row r="34" spans="1:12">
      <c r="A34" s="6"/>
      <c r="B34" s="4"/>
      <c r="C34" s="7"/>
      <c r="D34" s="7"/>
      <c r="E34" s="7"/>
      <c r="F34" s="4"/>
      <c r="G34" s="8"/>
      <c r="H34" s="9"/>
      <c r="I34" s="4"/>
      <c r="J34" s="9"/>
      <c r="K34" s="9"/>
      <c r="L34" s="9"/>
    </row>
    <row r="35" spans="1:12">
      <c r="A35" s="6"/>
      <c r="B35" s="4"/>
      <c r="C35" s="7"/>
      <c r="D35" s="7"/>
      <c r="E35" s="7"/>
      <c r="F35" s="4"/>
      <c r="G35" s="8"/>
      <c r="H35" s="9"/>
      <c r="I35" s="4"/>
      <c r="J35" s="9"/>
      <c r="K35" s="9"/>
      <c r="L35" s="9"/>
    </row>
    <row r="36" spans="1:12">
      <c r="A36" s="6"/>
      <c r="B36" s="4"/>
      <c r="C36" s="7"/>
      <c r="D36" s="7"/>
      <c r="E36" s="7"/>
      <c r="F36" s="4"/>
      <c r="G36" s="8"/>
      <c r="H36" s="9"/>
      <c r="I36" s="4"/>
      <c r="J36" s="9"/>
      <c r="K36" s="9"/>
      <c r="L36" s="9"/>
    </row>
    <row r="37" spans="1:12">
      <c r="A37" s="6"/>
      <c r="B37" s="4"/>
      <c r="C37" s="7"/>
      <c r="D37" s="7"/>
      <c r="E37" s="7"/>
      <c r="F37" s="4"/>
      <c r="G37" s="8"/>
      <c r="H37" s="9"/>
      <c r="I37" s="4"/>
      <c r="J37" s="9"/>
      <c r="K37" s="9"/>
      <c r="L37" s="9"/>
    </row>
    <row r="38" spans="1:12">
      <c r="A38" s="6"/>
      <c r="B38" s="4"/>
      <c r="C38" s="7"/>
      <c r="D38" s="7"/>
      <c r="E38" s="7"/>
      <c r="F38" s="4"/>
      <c r="G38" s="8"/>
      <c r="H38" s="9"/>
      <c r="I38" s="4"/>
      <c r="J38" s="9"/>
      <c r="K38" s="9"/>
      <c r="L38" s="9"/>
    </row>
    <row r="39" spans="1:12">
      <c r="A39" s="6"/>
      <c r="B39" s="4"/>
      <c r="C39" s="7"/>
      <c r="D39" s="7"/>
      <c r="E39" s="7"/>
      <c r="F39" s="4"/>
      <c r="G39" s="8"/>
      <c r="H39" s="9"/>
      <c r="I39" s="4"/>
      <c r="J39" s="9"/>
      <c r="K39" s="9"/>
      <c r="L39" s="9"/>
    </row>
    <row r="40" spans="1:12">
      <c r="A40" s="6"/>
      <c r="B40" s="4"/>
      <c r="C40" s="13"/>
      <c r="D40" s="7"/>
      <c r="E40" s="7"/>
      <c r="F40" s="4"/>
      <c r="G40" s="8"/>
      <c r="H40" s="9"/>
      <c r="I40" s="4"/>
      <c r="J40" s="9"/>
      <c r="K40" s="9"/>
      <c r="L40" s="9"/>
    </row>
    <row r="41" spans="1:12">
      <c r="A41" s="6"/>
      <c r="B41" s="4"/>
      <c r="C41" s="7"/>
      <c r="D41" s="7"/>
      <c r="E41" s="7"/>
      <c r="F41" s="4"/>
      <c r="G41" s="8"/>
      <c r="H41" s="9"/>
      <c r="I41" s="4"/>
      <c r="J41" s="9"/>
      <c r="K41" s="9"/>
      <c r="L41" s="9"/>
    </row>
    <row r="42" spans="1:12">
      <c r="A42" s="6"/>
      <c r="B42" s="4"/>
      <c r="C42" s="7"/>
      <c r="D42" s="7"/>
      <c r="E42" s="7"/>
      <c r="F42" s="4"/>
      <c r="G42" s="8"/>
      <c r="H42" s="9"/>
      <c r="I42" s="4"/>
      <c r="J42" s="9"/>
      <c r="K42" s="9"/>
      <c r="L42" s="9"/>
    </row>
    <row r="43" spans="1:12">
      <c r="A43" s="6"/>
      <c r="B43" s="4"/>
      <c r="C43" s="7"/>
      <c r="D43" s="7"/>
      <c r="E43" s="7"/>
      <c r="F43" s="4"/>
      <c r="G43" s="8"/>
      <c r="H43" s="9"/>
      <c r="I43" s="4"/>
      <c r="J43" s="9"/>
      <c r="K43" s="9"/>
      <c r="L43" s="9"/>
    </row>
    <row r="44" spans="1:12">
      <c r="A44" s="6"/>
      <c r="B44" s="4"/>
      <c r="C44" s="7"/>
      <c r="D44" s="7"/>
      <c r="E44" s="7"/>
      <c r="F44" s="4"/>
      <c r="G44" s="8"/>
      <c r="H44" s="9"/>
      <c r="I44" s="4"/>
      <c r="J44" s="9"/>
      <c r="K44" s="9"/>
      <c r="L44" s="9"/>
    </row>
    <row r="45" spans="1:12">
      <c r="A45" s="6"/>
      <c r="B45" s="4"/>
      <c r="C45" s="7"/>
      <c r="D45" s="7"/>
      <c r="E45" s="7"/>
      <c r="F45" s="4"/>
      <c r="G45" s="8"/>
      <c r="H45" s="9"/>
      <c r="I45" s="4"/>
      <c r="J45" s="9"/>
      <c r="K45" s="9"/>
      <c r="L45" s="9"/>
    </row>
    <row r="46" spans="1:12">
      <c r="A46" s="6"/>
      <c r="B46" s="4"/>
      <c r="C46" s="7"/>
      <c r="D46" s="7"/>
      <c r="E46" s="7"/>
      <c r="F46" s="4"/>
      <c r="G46" s="8"/>
      <c r="H46" s="9"/>
      <c r="I46" s="4"/>
      <c r="J46" s="9"/>
      <c r="K46" s="9"/>
      <c r="L46" s="9"/>
    </row>
    <row r="47" spans="1:12">
      <c r="A47" s="6"/>
      <c r="B47" s="4"/>
      <c r="C47" s="7"/>
      <c r="D47" s="7"/>
      <c r="E47" s="7"/>
      <c r="F47" s="4"/>
      <c r="G47" s="8"/>
      <c r="H47" s="9"/>
      <c r="I47" s="4"/>
      <c r="J47" s="9"/>
      <c r="K47" s="9"/>
      <c r="L47" s="9"/>
    </row>
    <row r="48" spans="1:12">
      <c r="A48" s="6"/>
      <c r="B48" s="4"/>
      <c r="C48" s="7"/>
      <c r="D48" s="7"/>
      <c r="E48" s="7"/>
      <c r="F48" s="4"/>
      <c r="G48" s="8"/>
      <c r="H48" s="9"/>
      <c r="I48" s="4"/>
      <c r="J48" s="9"/>
      <c r="K48" s="9"/>
      <c r="L48" s="9"/>
    </row>
    <row r="49" spans="1:12">
      <c r="A49" s="6"/>
      <c r="B49" s="4"/>
      <c r="C49" s="7"/>
      <c r="D49" s="7"/>
      <c r="E49" s="7"/>
      <c r="F49" s="4"/>
      <c r="G49" s="8"/>
      <c r="H49" s="9"/>
      <c r="I49" s="4"/>
      <c r="J49" s="9"/>
      <c r="K49" s="9"/>
      <c r="L49" s="9"/>
    </row>
    <row r="50" spans="1:12">
      <c r="A50" s="6"/>
      <c r="B50" s="4"/>
      <c r="C50" s="7"/>
      <c r="D50" s="7"/>
      <c r="E50" s="7"/>
      <c r="F50" s="4"/>
      <c r="G50" s="8"/>
      <c r="H50" s="9"/>
      <c r="I50" s="4"/>
      <c r="J50" s="9"/>
      <c r="K50" s="9"/>
      <c r="L50" s="9"/>
    </row>
    <row r="51" spans="1:12">
      <c r="A51" s="6"/>
      <c r="B51" s="4"/>
      <c r="C51" s="7"/>
      <c r="D51" s="7"/>
      <c r="E51" s="7"/>
      <c r="F51" s="4"/>
      <c r="G51" s="8"/>
      <c r="H51" s="9"/>
      <c r="I51" s="4"/>
      <c r="J51" s="9"/>
      <c r="K51" s="9"/>
      <c r="L51" s="9"/>
    </row>
    <row r="52" spans="1:12">
      <c r="A52" s="6"/>
      <c r="B52" s="10"/>
      <c r="C52" s="11"/>
      <c r="D52" s="11"/>
      <c r="E52" s="11"/>
      <c r="F52" s="10"/>
      <c r="G52" s="12"/>
      <c r="H52" s="11"/>
      <c r="I52" s="10"/>
      <c r="J52" s="9"/>
      <c r="K52" s="9"/>
      <c r="L52" s="9"/>
    </row>
    <row r="53" spans="1:12">
      <c r="A53" s="6"/>
      <c r="B53" s="10"/>
      <c r="C53" s="11"/>
      <c r="D53" s="11"/>
      <c r="E53" s="11"/>
      <c r="F53" s="10"/>
      <c r="G53" s="12"/>
      <c r="H53" s="11"/>
      <c r="I53" s="4"/>
      <c r="J53" s="9"/>
      <c r="K53" s="9"/>
      <c r="L53" s="9"/>
    </row>
    <row r="54" spans="1:12">
      <c r="A54" s="6"/>
      <c r="B54" s="10"/>
      <c r="C54" s="11"/>
      <c r="D54" s="11"/>
      <c r="E54" s="11"/>
      <c r="F54" s="10"/>
      <c r="G54" s="12"/>
      <c r="H54" s="11"/>
      <c r="I54" s="10"/>
      <c r="J54" s="9"/>
      <c r="K54" s="9"/>
      <c r="L54" s="9"/>
    </row>
    <row r="55" spans="1:12">
      <c r="A55" s="6"/>
      <c r="B55" s="10"/>
      <c r="C55" s="11"/>
      <c r="D55" s="11"/>
      <c r="E55" s="11"/>
      <c r="F55" s="10"/>
      <c r="G55" s="12"/>
      <c r="H55" s="11"/>
      <c r="I55" s="10"/>
      <c r="J55" s="9"/>
      <c r="K55" s="9"/>
      <c r="L55" s="9"/>
    </row>
    <row r="56" spans="1:12">
      <c r="A56" s="6"/>
      <c r="B56" s="10"/>
      <c r="C56" s="11"/>
      <c r="D56" s="11"/>
      <c r="E56" s="11"/>
      <c r="F56" s="10"/>
      <c r="G56" s="12"/>
      <c r="H56" s="11"/>
      <c r="I56" s="10"/>
      <c r="J56" s="9"/>
      <c r="K56" s="9"/>
      <c r="L56" s="9"/>
    </row>
    <row r="57" spans="1:12">
      <c r="A57" s="6"/>
      <c r="B57" s="10"/>
      <c r="C57" s="11"/>
      <c r="D57" s="11"/>
      <c r="E57" s="11"/>
      <c r="F57" s="10"/>
      <c r="G57" s="12"/>
      <c r="H57" s="11"/>
      <c r="I57" s="10"/>
      <c r="J57" s="9"/>
      <c r="K57" s="9"/>
      <c r="L57" s="9"/>
    </row>
    <row r="58" spans="1:12">
      <c r="A58" s="6"/>
      <c r="B58" s="4"/>
      <c r="C58" s="9"/>
      <c r="D58" s="9"/>
      <c r="E58" s="9"/>
      <c r="F58" s="4"/>
      <c r="G58" s="8"/>
      <c r="H58" s="9"/>
      <c r="I58" s="4"/>
      <c r="J58" s="9"/>
      <c r="K58" s="9"/>
      <c r="L58" s="9"/>
    </row>
    <row r="59" spans="1:12">
      <c r="A59" s="6"/>
      <c r="B59" s="4"/>
      <c r="C59" s="9"/>
      <c r="D59" s="9"/>
      <c r="E59" s="9"/>
      <c r="F59" s="4"/>
      <c r="G59" s="8"/>
      <c r="H59" s="9"/>
      <c r="I59" s="4"/>
      <c r="J59" s="9"/>
      <c r="K59" s="9"/>
      <c r="L59" s="9"/>
    </row>
    <row r="60" spans="1:12">
      <c r="A60" s="6"/>
      <c r="B60" s="4"/>
      <c r="C60" s="9"/>
      <c r="D60" s="9"/>
      <c r="E60" s="9"/>
      <c r="F60" s="4"/>
      <c r="G60" s="8"/>
      <c r="H60" s="9"/>
      <c r="I60" s="4"/>
      <c r="J60" s="9"/>
      <c r="K60" s="9"/>
      <c r="L60" s="9"/>
    </row>
    <row r="61" spans="1:12">
      <c r="A61" s="6"/>
      <c r="B61" s="4"/>
      <c r="C61" s="9"/>
      <c r="D61" s="9"/>
      <c r="E61" s="9"/>
      <c r="F61" s="4"/>
      <c r="G61" s="8"/>
      <c r="H61" s="9"/>
      <c r="I61" s="4"/>
      <c r="J61" s="9"/>
      <c r="K61" s="9"/>
      <c r="L61" s="9"/>
    </row>
    <row r="62" spans="1:12">
      <c r="A62" s="6"/>
      <c r="B62" s="4"/>
      <c r="C62" s="9"/>
      <c r="D62" s="9"/>
      <c r="E62" s="9"/>
      <c r="F62" s="4"/>
      <c r="G62" s="8"/>
      <c r="H62" s="9"/>
      <c r="I62" s="4"/>
      <c r="J62" s="9"/>
      <c r="K62" s="9"/>
      <c r="L62" s="9"/>
    </row>
    <row r="63" spans="1:12">
      <c r="A63" s="6"/>
      <c r="B63" s="4"/>
      <c r="C63" s="9"/>
      <c r="D63" s="9"/>
      <c r="E63" s="9"/>
      <c r="F63" s="4"/>
      <c r="G63" s="8"/>
      <c r="H63" s="9"/>
      <c r="I63" s="4"/>
      <c r="J63" s="9"/>
      <c r="K63" s="9"/>
      <c r="L63" s="9"/>
    </row>
    <row r="64" spans="1:12">
      <c r="A64" s="6"/>
      <c r="B64" s="4"/>
      <c r="C64" s="9"/>
      <c r="D64" s="9"/>
      <c r="E64" s="9"/>
      <c r="F64" s="4"/>
      <c r="G64" s="8"/>
      <c r="H64" s="9"/>
      <c r="I64" s="4"/>
      <c r="J64" s="9"/>
      <c r="K64" s="9"/>
      <c r="L64" s="9"/>
    </row>
    <row r="65" spans="1:12">
      <c r="A65" s="6"/>
      <c r="B65" s="4"/>
      <c r="C65" s="9"/>
      <c r="D65" s="9"/>
      <c r="E65" s="9"/>
      <c r="F65" s="4"/>
      <c r="G65" s="8"/>
      <c r="H65" s="9"/>
      <c r="I65" s="4"/>
      <c r="J65" s="9"/>
      <c r="K65" s="9"/>
      <c r="L65" s="9"/>
    </row>
    <row r="66" spans="1:12">
      <c r="A66" s="6"/>
      <c r="B66" s="4"/>
      <c r="C66" s="9"/>
      <c r="D66" s="9"/>
      <c r="E66" s="9"/>
      <c r="F66" s="4"/>
      <c r="G66" s="8"/>
      <c r="H66" s="9"/>
      <c r="I66" s="4"/>
      <c r="J66" s="9"/>
      <c r="K66" s="9"/>
      <c r="L66" s="9"/>
    </row>
    <row r="67" spans="1:12">
      <c r="A67" s="6"/>
      <c r="B67" s="4"/>
      <c r="C67" s="9"/>
      <c r="D67" s="9"/>
      <c r="E67" s="9"/>
      <c r="F67" s="4"/>
      <c r="G67" s="8"/>
      <c r="H67" s="9"/>
      <c r="I67" s="4"/>
      <c r="J67" s="9"/>
      <c r="K67" s="9"/>
      <c r="L67" s="9"/>
    </row>
    <row r="68" spans="1:12">
      <c r="A68" s="6"/>
      <c r="B68" s="4"/>
      <c r="C68" s="9"/>
      <c r="D68" s="9"/>
      <c r="E68" s="18"/>
      <c r="F68" s="14"/>
      <c r="G68" s="15"/>
      <c r="H68" s="16"/>
      <c r="I68" s="4"/>
      <c r="J68" s="9"/>
      <c r="K68" s="9"/>
      <c r="L68" s="9"/>
    </row>
    <row r="69" spans="1:12">
      <c r="A69" s="6"/>
      <c r="B69" s="4"/>
      <c r="C69" s="9"/>
      <c r="D69" s="9"/>
      <c r="E69" s="19"/>
      <c r="F69" s="14"/>
      <c r="G69" s="15"/>
      <c r="H69" s="16"/>
      <c r="I69" s="4"/>
      <c r="J69" s="9"/>
      <c r="K69" s="9"/>
      <c r="L69" s="9"/>
    </row>
    <row r="70" spans="1:12">
      <c r="A70" s="6"/>
      <c r="B70" s="4"/>
      <c r="C70" s="9"/>
      <c r="D70" s="9"/>
      <c r="E70" s="7"/>
      <c r="F70" s="4"/>
      <c r="G70" s="8"/>
      <c r="H70" s="9"/>
      <c r="I70" s="4"/>
      <c r="J70" s="9"/>
      <c r="K70" s="9"/>
      <c r="L70" s="9"/>
    </row>
    <row r="71" spans="1:12">
      <c r="A71" s="6"/>
      <c r="B71" s="4"/>
      <c r="C71" s="9"/>
      <c r="D71" s="9"/>
      <c r="E71" s="7"/>
      <c r="F71" s="4"/>
      <c r="G71" s="8"/>
      <c r="H71" s="9"/>
      <c r="I71" s="4"/>
      <c r="J71" s="9"/>
      <c r="K71" s="9"/>
      <c r="L71" s="9"/>
    </row>
    <row r="72" spans="1:12">
      <c r="A72" s="6"/>
      <c r="B72" s="4"/>
      <c r="C72" s="9"/>
      <c r="D72" s="9"/>
      <c r="E72" s="7"/>
      <c r="F72" s="4"/>
      <c r="G72" s="8"/>
      <c r="H72" s="9"/>
      <c r="I72" s="4"/>
      <c r="J72" s="9"/>
      <c r="K72" s="9"/>
      <c r="L72" s="9"/>
    </row>
    <row r="73" spans="1:12">
      <c r="A73" s="6"/>
      <c r="B73" s="4"/>
      <c r="C73" s="9"/>
      <c r="D73" s="9"/>
      <c r="E73" s="7"/>
      <c r="F73" s="4"/>
      <c r="G73" s="8"/>
      <c r="H73" s="9"/>
      <c r="I73" s="4"/>
      <c r="J73" s="9"/>
      <c r="K73" s="9"/>
      <c r="L73" s="9"/>
    </row>
    <row r="74" spans="1:12">
      <c r="A74" s="6"/>
      <c r="B74" s="4"/>
      <c r="C74" s="9"/>
      <c r="D74" s="9"/>
      <c r="E74" s="7"/>
      <c r="F74" s="4"/>
      <c r="G74" s="8"/>
      <c r="H74" s="9"/>
      <c r="I74" s="4"/>
      <c r="J74" s="9"/>
      <c r="K74" s="9"/>
      <c r="L74" s="9"/>
    </row>
    <row r="75" spans="1:12">
      <c r="A75" s="6"/>
      <c r="B75" s="4"/>
      <c r="C75" s="9"/>
      <c r="D75" s="9"/>
      <c r="E75" s="7"/>
      <c r="F75" s="4"/>
      <c r="G75" s="8"/>
      <c r="H75" s="9"/>
      <c r="I75" s="4"/>
      <c r="J75" s="9"/>
      <c r="K75" s="9"/>
      <c r="L75" s="9"/>
    </row>
    <row r="76" spans="1:12">
      <c r="A76" s="6"/>
      <c r="B76" s="4"/>
      <c r="C76" s="9"/>
      <c r="D76" s="9"/>
      <c r="E76" s="7"/>
      <c r="F76" s="4"/>
      <c r="G76" s="8"/>
      <c r="H76" s="9"/>
      <c r="I76" s="4"/>
      <c r="J76" s="9"/>
      <c r="K76" s="9"/>
      <c r="L76" s="9"/>
    </row>
    <row r="77" spans="1:12">
      <c r="A77" s="6"/>
      <c r="B77" s="4"/>
      <c r="C77" s="9"/>
      <c r="D77" s="9"/>
      <c r="E77" s="7"/>
      <c r="F77" s="4"/>
      <c r="G77" s="8"/>
      <c r="H77" s="9"/>
      <c r="I77" s="4"/>
      <c r="J77" s="9"/>
      <c r="K77" s="9"/>
      <c r="L77" s="9"/>
    </row>
    <row r="78" spans="1:12">
      <c r="A78" s="6"/>
      <c r="B78" s="4"/>
      <c r="C78" s="9"/>
      <c r="D78" s="9"/>
      <c r="E78" s="7"/>
      <c r="F78" s="4"/>
      <c r="G78" s="8"/>
      <c r="H78" s="9"/>
      <c r="I78" s="4"/>
      <c r="J78" s="9"/>
      <c r="K78" s="9"/>
      <c r="L78" s="9"/>
    </row>
    <row r="79" spans="1:12">
      <c r="A79" s="6"/>
      <c r="B79" s="4"/>
      <c r="C79" s="9"/>
      <c r="D79" s="9"/>
      <c r="E79" s="7"/>
      <c r="F79" s="4"/>
      <c r="G79" s="8"/>
      <c r="H79" s="9"/>
      <c r="I79" s="4"/>
      <c r="J79" s="9"/>
      <c r="K79" s="9"/>
      <c r="L79" s="9"/>
    </row>
    <row r="80" spans="1:12">
      <c r="A80" s="6"/>
      <c r="B80" s="4"/>
      <c r="C80" s="9"/>
      <c r="D80" s="9"/>
      <c r="E80" s="7"/>
      <c r="F80" s="4"/>
      <c r="G80" s="8"/>
      <c r="H80" s="9"/>
      <c r="I80" s="4"/>
      <c r="J80" s="9"/>
      <c r="K80" s="9"/>
      <c r="L80" s="9"/>
    </row>
    <row r="81" spans="1:12">
      <c r="A81" s="6"/>
      <c r="B81" s="4"/>
      <c r="C81" s="9"/>
      <c r="D81" s="9"/>
      <c r="E81" s="7"/>
      <c r="F81" s="4"/>
      <c r="G81" s="8"/>
      <c r="H81" s="9"/>
      <c r="I81" s="4"/>
      <c r="J81" s="9"/>
      <c r="K81" s="9"/>
      <c r="L81" s="9"/>
    </row>
  </sheetData>
  <autoFilter ref="A2:L81" xr:uid="{708D657F-6F85-4910-B87D-C8D5BA1419F3}"/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DEBC-43A7-4D5C-ACD8-BB61F5532B20}">
  <dimension ref="A1:L81"/>
  <sheetViews>
    <sheetView workbookViewId="0">
      <selection activeCell="A3" sqref="A3:L7"/>
    </sheetView>
  </sheetViews>
  <sheetFormatPr baseColWidth="10" defaultColWidth="8.83203125" defaultRowHeight="15"/>
  <cols>
    <col min="1" max="1" width="6.33203125" style="1" customWidth="1"/>
    <col min="2" max="2" width="13.33203125" style="1" customWidth="1"/>
    <col min="3" max="3" width="36.6640625" style="2" bestFit="1" customWidth="1"/>
    <col min="4" max="4" width="34.1640625" style="1" customWidth="1"/>
    <col min="5" max="5" width="33.5" style="1" customWidth="1"/>
    <col min="6" max="6" width="6.6640625" style="2" customWidth="1"/>
    <col min="7" max="7" width="13.83203125" style="3" customWidth="1"/>
    <col min="8" max="9" width="20.1640625" style="2" customWidth="1"/>
    <col min="10" max="10" width="12.6640625" style="2" customWidth="1"/>
    <col min="11" max="11" width="16.1640625" style="2" customWidth="1"/>
    <col min="12" max="12" width="15.83203125" style="1" customWidth="1"/>
    <col min="13" max="257" width="8.6640625" style="1"/>
    <col min="258" max="258" width="13.33203125" style="1" customWidth="1"/>
    <col min="259" max="259" width="36.83203125" style="1" customWidth="1"/>
    <col min="260" max="260" width="57.6640625" style="1" customWidth="1"/>
    <col min="261" max="261" width="40.1640625" style="1" customWidth="1"/>
    <col min="262" max="263" width="13.33203125" style="1" customWidth="1"/>
    <col min="264" max="513" width="8.6640625" style="1"/>
    <col min="514" max="514" width="13.33203125" style="1" customWidth="1"/>
    <col min="515" max="515" width="36.83203125" style="1" customWidth="1"/>
    <col min="516" max="516" width="57.6640625" style="1" customWidth="1"/>
    <col min="517" max="517" width="40.1640625" style="1" customWidth="1"/>
    <col min="518" max="519" width="13.33203125" style="1" customWidth="1"/>
    <col min="520" max="769" width="8.6640625" style="1"/>
    <col min="770" max="770" width="13.33203125" style="1" customWidth="1"/>
    <col min="771" max="771" width="36.83203125" style="1" customWidth="1"/>
    <col min="772" max="772" width="57.6640625" style="1" customWidth="1"/>
    <col min="773" max="773" width="40.1640625" style="1" customWidth="1"/>
    <col min="774" max="775" width="13.33203125" style="1" customWidth="1"/>
    <col min="776" max="1025" width="8.6640625" style="1"/>
    <col min="1026" max="1026" width="13.33203125" style="1" customWidth="1"/>
    <col min="1027" max="1027" width="36.83203125" style="1" customWidth="1"/>
    <col min="1028" max="1028" width="57.6640625" style="1" customWidth="1"/>
    <col min="1029" max="1029" width="40.1640625" style="1" customWidth="1"/>
    <col min="1030" max="1031" width="13.33203125" style="1" customWidth="1"/>
    <col min="1032" max="1281" width="8.6640625" style="1"/>
    <col min="1282" max="1282" width="13.33203125" style="1" customWidth="1"/>
    <col min="1283" max="1283" width="36.83203125" style="1" customWidth="1"/>
    <col min="1284" max="1284" width="57.6640625" style="1" customWidth="1"/>
    <col min="1285" max="1285" width="40.1640625" style="1" customWidth="1"/>
    <col min="1286" max="1287" width="13.33203125" style="1" customWidth="1"/>
    <col min="1288" max="1537" width="8.6640625" style="1"/>
    <col min="1538" max="1538" width="13.33203125" style="1" customWidth="1"/>
    <col min="1539" max="1539" width="36.83203125" style="1" customWidth="1"/>
    <col min="1540" max="1540" width="57.6640625" style="1" customWidth="1"/>
    <col min="1541" max="1541" width="40.1640625" style="1" customWidth="1"/>
    <col min="1542" max="1543" width="13.33203125" style="1" customWidth="1"/>
    <col min="1544" max="1793" width="8.6640625" style="1"/>
    <col min="1794" max="1794" width="13.33203125" style="1" customWidth="1"/>
    <col min="1795" max="1795" width="36.83203125" style="1" customWidth="1"/>
    <col min="1796" max="1796" width="57.6640625" style="1" customWidth="1"/>
    <col min="1797" max="1797" width="40.1640625" style="1" customWidth="1"/>
    <col min="1798" max="1799" width="13.33203125" style="1" customWidth="1"/>
    <col min="1800" max="2049" width="8.6640625" style="1"/>
    <col min="2050" max="2050" width="13.33203125" style="1" customWidth="1"/>
    <col min="2051" max="2051" width="36.83203125" style="1" customWidth="1"/>
    <col min="2052" max="2052" width="57.6640625" style="1" customWidth="1"/>
    <col min="2053" max="2053" width="40.1640625" style="1" customWidth="1"/>
    <col min="2054" max="2055" width="13.33203125" style="1" customWidth="1"/>
    <col min="2056" max="2305" width="8.6640625" style="1"/>
    <col min="2306" max="2306" width="13.33203125" style="1" customWidth="1"/>
    <col min="2307" max="2307" width="36.83203125" style="1" customWidth="1"/>
    <col min="2308" max="2308" width="57.6640625" style="1" customWidth="1"/>
    <col min="2309" max="2309" width="40.1640625" style="1" customWidth="1"/>
    <col min="2310" max="2311" width="13.33203125" style="1" customWidth="1"/>
    <col min="2312" max="2561" width="8.6640625" style="1"/>
    <col min="2562" max="2562" width="13.33203125" style="1" customWidth="1"/>
    <col min="2563" max="2563" width="36.83203125" style="1" customWidth="1"/>
    <col min="2564" max="2564" width="57.6640625" style="1" customWidth="1"/>
    <col min="2565" max="2565" width="40.1640625" style="1" customWidth="1"/>
    <col min="2566" max="2567" width="13.33203125" style="1" customWidth="1"/>
    <col min="2568" max="2817" width="8.6640625" style="1"/>
    <col min="2818" max="2818" width="13.33203125" style="1" customWidth="1"/>
    <col min="2819" max="2819" width="36.83203125" style="1" customWidth="1"/>
    <col min="2820" max="2820" width="57.6640625" style="1" customWidth="1"/>
    <col min="2821" max="2821" width="40.1640625" style="1" customWidth="1"/>
    <col min="2822" max="2823" width="13.33203125" style="1" customWidth="1"/>
    <col min="2824" max="3073" width="8.6640625" style="1"/>
    <col min="3074" max="3074" width="13.33203125" style="1" customWidth="1"/>
    <col min="3075" max="3075" width="36.83203125" style="1" customWidth="1"/>
    <col min="3076" max="3076" width="57.6640625" style="1" customWidth="1"/>
    <col min="3077" max="3077" width="40.1640625" style="1" customWidth="1"/>
    <col min="3078" max="3079" width="13.33203125" style="1" customWidth="1"/>
    <col min="3080" max="3329" width="8.6640625" style="1"/>
    <col min="3330" max="3330" width="13.33203125" style="1" customWidth="1"/>
    <col min="3331" max="3331" width="36.83203125" style="1" customWidth="1"/>
    <col min="3332" max="3332" width="57.6640625" style="1" customWidth="1"/>
    <col min="3333" max="3333" width="40.1640625" style="1" customWidth="1"/>
    <col min="3334" max="3335" width="13.33203125" style="1" customWidth="1"/>
    <col min="3336" max="3585" width="8.6640625" style="1"/>
    <col min="3586" max="3586" width="13.33203125" style="1" customWidth="1"/>
    <col min="3587" max="3587" width="36.83203125" style="1" customWidth="1"/>
    <col min="3588" max="3588" width="57.6640625" style="1" customWidth="1"/>
    <col min="3589" max="3589" width="40.1640625" style="1" customWidth="1"/>
    <col min="3590" max="3591" width="13.33203125" style="1" customWidth="1"/>
    <col min="3592" max="3841" width="8.6640625" style="1"/>
    <col min="3842" max="3842" width="13.33203125" style="1" customWidth="1"/>
    <col min="3843" max="3843" width="36.83203125" style="1" customWidth="1"/>
    <col min="3844" max="3844" width="57.6640625" style="1" customWidth="1"/>
    <col min="3845" max="3845" width="40.1640625" style="1" customWidth="1"/>
    <col min="3846" max="3847" width="13.33203125" style="1" customWidth="1"/>
    <col min="3848" max="4097" width="8.6640625" style="1"/>
    <col min="4098" max="4098" width="13.33203125" style="1" customWidth="1"/>
    <col min="4099" max="4099" width="36.83203125" style="1" customWidth="1"/>
    <col min="4100" max="4100" width="57.6640625" style="1" customWidth="1"/>
    <col min="4101" max="4101" width="40.1640625" style="1" customWidth="1"/>
    <col min="4102" max="4103" width="13.33203125" style="1" customWidth="1"/>
    <col min="4104" max="4353" width="8.6640625" style="1"/>
    <col min="4354" max="4354" width="13.33203125" style="1" customWidth="1"/>
    <col min="4355" max="4355" width="36.83203125" style="1" customWidth="1"/>
    <col min="4356" max="4356" width="57.6640625" style="1" customWidth="1"/>
    <col min="4357" max="4357" width="40.1640625" style="1" customWidth="1"/>
    <col min="4358" max="4359" width="13.33203125" style="1" customWidth="1"/>
    <col min="4360" max="4609" width="8.6640625" style="1"/>
    <col min="4610" max="4610" width="13.33203125" style="1" customWidth="1"/>
    <col min="4611" max="4611" width="36.83203125" style="1" customWidth="1"/>
    <col min="4612" max="4612" width="57.6640625" style="1" customWidth="1"/>
    <col min="4613" max="4613" width="40.1640625" style="1" customWidth="1"/>
    <col min="4614" max="4615" width="13.33203125" style="1" customWidth="1"/>
    <col min="4616" max="4865" width="8.6640625" style="1"/>
    <col min="4866" max="4866" width="13.33203125" style="1" customWidth="1"/>
    <col min="4867" max="4867" width="36.83203125" style="1" customWidth="1"/>
    <col min="4868" max="4868" width="57.6640625" style="1" customWidth="1"/>
    <col min="4869" max="4869" width="40.1640625" style="1" customWidth="1"/>
    <col min="4870" max="4871" width="13.33203125" style="1" customWidth="1"/>
    <col min="4872" max="5121" width="8.6640625" style="1"/>
    <col min="5122" max="5122" width="13.33203125" style="1" customWidth="1"/>
    <col min="5123" max="5123" width="36.83203125" style="1" customWidth="1"/>
    <col min="5124" max="5124" width="57.6640625" style="1" customWidth="1"/>
    <col min="5125" max="5125" width="40.1640625" style="1" customWidth="1"/>
    <col min="5126" max="5127" width="13.33203125" style="1" customWidth="1"/>
    <col min="5128" max="5377" width="8.6640625" style="1"/>
    <col min="5378" max="5378" width="13.33203125" style="1" customWidth="1"/>
    <col min="5379" max="5379" width="36.83203125" style="1" customWidth="1"/>
    <col min="5380" max="5380" width="57.6640625" style="1" customWidth="1"/>
    <col min="5381" max="5381" width="40.1640625" style="1" customWidth="1"/>
    <col min="5382" max="5383" width="13.33203125" style="1" customWidth="1"/>
    <col min="5384" max="5633" width="8.6640625" style="1"/>
    <col min="5634" max="5634" width="13.33203125" style="1" customWidth="1"/>
    <col min="5635" max="5635" width="36.83203125" style="1" customWidth="1"/>
    <col min="5636" max="5636" width="57.6640625" style="1" customWidth="1"/>
    <col min="5637" max="5637" width="40.1640625" style="1" customWidth="1"/>
    <col min="5638" max="5639" width="13.33203125" style="1" customWidth="1"/>
    <col min="5640" max="5889" width="8.6640625" style="1"/>
    <col min="5890" max="5890" width="13.33203125" style="1" customWidth="1"/>
    <col min="5891" max="5891" width="36.83203125" style="1" customWidth="1"/>
    <col min="5892" max="5892" width="57.6640625" style="1" customWidth="1"/>
    <col min="5893" max="5893" width="40.1640625" style="1" customWidth="1"/>
    <col min="5894" max="5895" width="13.33203125" style="1" customWidth="1"/>
    <col min="5896" max="6145" width="8.6640625" style="1"/>
    <col min="6146" max="6146" width="13.33203125" style="1" customWidth="1"/>
    <col min="6147" max="6147" width="36.83203125" style="1" customWidth="1"/>
    <col min="6148" max="6148" width="57.6640625" style="1" customWidth="1"/>
    <col min="6149" max="6149" width="40.1640625" style="1" customWidth="1"/>
    <col min="6150" max="6151" width="13.33203125" style="1" customWidth="1"/>
    <col min="6152" max="6401" width="8.6640625" style="1"/>
    <col min="6402" max="6402" width="13.33203125" style="1" customWidth="1"/>
    <col min="6403" max="6403" width="36.83203125" style="1" customWidth="1"/>
    <col min="6404" max="6404" width="57.6640625" style="1" customWidth="1"/>
    <col min="6405" max="6405" width="40.1640625" style="1" customWidth="1"/>
    <col min="6406" max="6407" width="13.33203125" style="1" customWidth="1"/>
    <col min="6408" max="6657" width="8.6640625" style="1"/>
    <col min="6658" max="6658" width="13.33203125" style="1" customWidth="1"/>
    <col min="6659" max="6659" width="36.83203125" style="1" customWidth="1"/>
    <col min="6660" max="6660" width="57.6640625" style="1" customWidth="1"/>
    <col min="6661" max="6661" width="40.1640625" style="1" customWidth="1"/>
    <col min="6662" max="6663" width="13.33203125" style="1" customWidth="1"/>
    <col min="6664" max="6913" width="8.6640625" style="1"/>
    <col min="6914" max="6914" width="13.33203125" style="1" customWidth="1"/>
    <col min="6915" max="6915" width="36.83203125" style="1" customWidth="1"/>
    <col min="6916" max="6916" width="57.6640625" style="1" customWidth="1"/>
    <col min="6917" max="6917" width="40.1640625" style="1" customWidth="1"/>
    <col min="6918" max="6919" width="13.33203125" style="1" customWidth="1"/>
    <col min="6920" max="7169" width="8.6640625" style="1"/>
    <col min="7170" max="7170" width="13.33203125" style="1" customWidth="1"/>
    <col min="7171" max="7171" width="36.83203125" style="1" customWidth="1"/>
    <col min="7172" max="7172" width="57.6640625" style="1" customWidth="1"/>
    <col min="7173" max="7173" width="40.1640625" style="1" customWidth="1"/>
    <col min="7174" max="7175" width="13.33203125" style="1" customWidth="1"/>
    <col min="7176" max="7425" width="8.6640625" style="1"/>
    <col min="7426" max="7426" width="13.33203125" style="1" customWidth="1"/>
    <col min="7427" max="7427" width="36.83203125" style="1" customWidth="1"/>
    <col min="7428" max="7428" width="57.6640625" style="1" customWidth="1"/>
    <col min="7429" max="7429" width="40.1640625" style="1" customWidth="1"/>
    <col min="7430" max="7431" width="13.33203125" style="1" customWidth="1"/>
    <col min="7432" max="7681" width="8.6640625" style="1"/>
    <col min="7682" max="7682" width="13.33203125" style="1" customWidth="1"/>
    <col min="7683" max="7683" width="36.83203125" style="1" customWidth="1"/>
    <col min="7684" max="7684" width="57.6640625" style="1" customWidth="1"/>
    <col min="7685" max="7685" width="40.1640625" style="1" customWidth="1"/>
    <col min="7686" max="7687" width="13.33203125" style="1" customWidth="1"/>
    <col min="7688" max="7937" width="8.6640625" style="1"/>
    <col min="7938" max="7938" width="13.33203125" style="1" customWidth="1"/>
    <col min="7939" max="7939" width="36.83203125" style="1" customWidth="1"/>
    <col min="7940" max="7940" width="57.6640625" style="1" customWidth="1"/>
    <col min="7941" max="7941" width="40.1640625" style="1" customWidth="1"/>
    <col min="7942" max="7943" width="13.33203125" style="1" customWidth="1"/>
    <col min="7944" max="8193" width="8.6640625" style="1"/>
    <col min="8194" max="8194" width="13.33203125" style="1" customWidth="1"/>
    <col min="8195" max="8195" width="36.83203125" style="1" customWidth="1"/>
    <col min="8196" max="8196" width="57.6640625" style="1" customWidth="1"/>
    <col min="8197" max="8197" width="40.1640625" style="1" customWidth="1"/>
    <col min="8198" max="8199" width="13.33203125" style="1" customWidth="1"/>
    <col min="8200" max="8449" width="8.6640625" style="1"/>
    <col min="8450" max="8450" width="13.33203125" style="1" customWidth="1"/>
    <col min="8451" max="8451" width="36.83203125" style="1" customWidth="1"/>
    <col min="8452" max="8452" width="57.6640625" style="1" customWidth="1"/>
    <col min="8453" max="8453" width="40.1640625" style="1" customWidth="1"/>
    <col min="8454" max="8455" width="13.33203125" style="1" customWidth="1"/>
    <col min="8456" max="8705" width="8.6640625" style="1"/>
    <col min="8706" max="8706" width="13.33203125" style="1" customWidth="1"/>
    <col min="8707" max="8707" width="36.83203125" style="1" customWidth="1"/>
    <col min="8708" max="8708" width="57.6640625" style="1" customWidth="1"/>
    <col min="8709" max="8709" width="40.1640625" style="1" customWidth="1"/>
    <col min="8710" max="8711" width="13.33203125" style="1" customWidth="1"/>
    <col min="8712" max="8961" width="8.6640625" style="1"/>
    <col min="8962" max="8962" width="13.33203125" style="1" customWidth="1"/>
    <col min="8963" max="8963" width="36.83203125" style="1" customWidth="1"/>
    <col min="8964" max="8964" width="57.6640625" style="1" customWidth="1"/>
    <col min="8965" max="8965" width="40.1640625" style="1" customWidth="1"/>
    <col min="8966" max="8967" width="13.33203125" style="1" customWidth="1"/>
    <col min="8968" max="9217" width="8.6640625" style="1"/>
    <col min="9218" max="9218" width="13.33203125" style="1" customWidth="1"/>
    <col min="9219" max="9219" width="36.83203125" style="1" customWidth="1"/>
    <col min="9220" max="9220" width="57.6640625" style="1" customWidth="1"/>
    <col min="9221" max="9221" width="40.1640625" style="1" customWidth="1"/>
    <col min="9222" max="9223" width="13.33203125" style="1" customWidth="1"/>
    <col min="9224" max="9473" width="8.6640625" style="1"/>
    <col min="9474" max="9474" width="13.33203125" style="1" customWidth="1"/>
    <col min="9475" max="9475" width="36.83203125" style="1" customWidth="1"/>
    <col min="9476" max="9476" width="57.6640625" style="1" customWidth="1"/>
    <col min="9477" max="9477" width="40.1640625" style="1" customWidth="1"/>
    <col min="9478" max="9479" width="13.33203125" style="1" customWidth="1"/>
    <col min="9480" max="9729" width="8.6640625" style="1"/>
    <col min="9730" max="9730" width="13.33203125" style="1" customWidth="1"/>
    <col min="9731" max="9731" width="36.83203125" style="1" customWidth="1"/>
    <col min="9732" max="9732" width="57.6640625" style="1" customWidth="1"/>
    <col min="9733" max="9733" width="40.1640625" style="1" customWidth="1"/>
    <col min="9734" max="9735" width="13.33203125" style="1" customWidth="1"/>
    <col min="9736" max="9985" width="8.6640625" style="1"/>
    <col min="9986" max="9986" width="13.33203125" style="1" customWidth="1"/>
    <col min="9987" max="9987" width="36.83203125" style="1" customWidth="1"/>
    <col min="9988" max="9988" width="57.6640625" style="1" customWidth="1"/>
    <col min="9989" max="9989" width="40.1640625" style="1" customWidth="1"/>
    <col min="9990" max="9991" width="13.33203125" style="1" customWidth="1"/>
    <col min="9992" max="10241" width="8.6640625" style="1"/>
    <col min="10242" max="10242" width="13.33203125" style="1" customWidth="1"/>
    <col min="10243" max="10243" width="36.83203125" style="1" customWidth="1"/>
    <col min="10244" max="10244" width="57.6640625" style="1" customWidth="1"/>
    <col min="10245" max="10245" width="40.1640625" style="1" customWidth="1"/>
    <col min="10246" max="10247" width="13.33203125" style="1" customWidth="1"/>
    <col min="10248" max="10497" width="8.6640625" style="1"/>
    <col min="10498" max="10498" width="13.33203125" style="1" customWidth="1"/>
    <col min="10499" max="10499" width="36.83203125" style="1" customWidth="1"/>
    <col min="10500" max="10500" width="57.6640625" style="1" customWidth="1"/>
    <col min="10501" max="10501" width="40.1640625" style="1" customWidth="1"/>
    <col min="10502" max="10503" width="13.33203125" style="1" customWidth="1"/>
    <col min="10504" max="10753" width="8.6640625" style="1"/>
    <col min="10754" max="10754" width="13.33203125" style="1" customWidth="1"/>
    <col min="10755" max="10755" width="36.83203125" style="1" customWidth="1"/>
    <col min="10756" max="10756" width="57.6640625" style="1" customWidth="1"/>
    <col min="10757" max="10757" width="40.1640625" style="1" customWidth="1"/>
    <col min="10758" max="10759" width="13.33203125" style="1" customWidth="1"/>
    <col min="10760" max="11009" width="8.6640625" style="1"/>
    <col min="11010" max="11010" width="13.33203125" style="1" customWidth="1"/>
    <col min="11011" max="11011" width="36.83203125" style="1" customWidth="1"/>
    <col min="11012" max="11012" width="57.6640625" style="1" customWidth="1"/>
    <col min="11013" max="11013" width="40.1640625" style="1" customWidth="1"/>
    <col min="11014" max="11015" width="13.33203125" style="1" customWidth="1"/>
    <col min="11016" max="11265" width="8.6640625" style="1"/>
    <col min="11266" max="11266" width="13.33203125" style="1" customWidth="1"/>
    <col min="11267" max="11267" width="36.83203125" style="1" customWidth="1"/>
    <col min="11268" max="11268" width="57.6640625" style="1" customWidth="1"/>
    <col min="11269" max="11269" width="40.1640625" style="1" customWidth="1"/>
    <col min="11270" max="11271" width="13.33203125" style="1" customWidth="1"/>
    <col min="11272" max="11521" width="8.6640625" style="1"/>
    <col min="11522" max="11522" width="13.33203125" style="1" customWidth="1"/>
    <col min="11523" max="11523" width="36.83203125" style="1" customWidth="1"/>
    <col min="11524" max="11524" width="57.6640625" style="1" customWidth="1"/>
    <col min="11525" max="11525" width="40.1640625" style="1" customWidth="1"/>
    <col min="11526" max="11527" width="13.33203125" style="1" customWidth="1"/>
    <col min="11528" max="11777" width="8.6640625" style="1"/>
    <col min="11778" max="11778" width="13.33203125" style="1" customWidth="1"/>
    <col min="11779" max="11779" width="36.83203125" style="1" customWidth="1"/>
    <col min="11780" max="11780" width="57.6640625" style="1" customWidth="1"/>
    <col min="11781" max="11781" width="40.1640625" style="1" customWidth="1"/>
    <col min="11782" max="11783" width="13.33203125" style="1" customWidth="1"/>
    <col min="11784" max="12033" width="8.6640625" style="1"/>
    <col min="12034" max="12034" width="13.33203125" style="1" customWidth="1"/>
    <col min="12035" max="12035" width="36.83203125" style="1" customWidth="1"/>
    <col min="12036" max="12036" width="57.6640625" style="1" customWidth="1"/>
    <col min="12037" max="12037" width="40.1640625" style="1" customWidth="1"/>
    <col min="12038" max="12039" width="13.33203125" style="1" customWidth="1"/>
    <col min="12040" max="12289" width="8.6640625" style="1"/>
    <col min="12290" max="12290" width="13.33203125" style="1" customWidth="1"/>
    <col min="12291" max="12291" width="36.83203125" style="1" customWidth="1"/>
    <col min="12292" max="12292" width="57.6640625" style="1" customWidth="1"/>
    <col min="12293" max="12293" width="40.1640625" style="1" customWidth="1"/>
    <col min="12294" max="12295" width="13.33203125" style="1" customWidth="1"/>
    <col min="12296" max="12545" width="8.6640625" style="1"/>
    <col min="12546" max="12546" width="13.33203125" style="1" customWidth="1"/>
    <col min="12547" max="12547" width="36.83203125" style="1" customWidth="1"/>
    <col min="12548" max="12548" width="57.6640625" style="1" customWidth="1"/>
    <col min="12549" max="12549" width="40.1640625" style="1" customWidth="1"/>
    <col min="12550" max="12551" width="13.33203125" style="1" customWidth="1"/>
    <col min="12552" max="12801" width="8.6640625" style="1"/>
    <col min="12802" max="12802" width="13.33203125" style="1" customWidth="1"/>
    <col min="12803" max="12803" width="36.83203125" style="1" customWidth="1"/>
    <col min="12804" max="12804" width="57.6640625" style="1" customWidth="1"/>
    <col min="12805" max="12805" width="40.1640625" style="1" customWidth="1"/>
    <col min="12806" max="12807" width="13.33203125" style="1" customWidth="1"/>
    <col min="12808" max="13057" width="8.6640625" style="1"/>
    <col min="13058" max="13058" width="13.33203125" style="1" customWidth="1"/>
    <col min="13059" max="13059" width="36.83203125" style="1" customWidth="1"/>
    <col min="13060" max="13060" width="57.6640625" style="1" customWidth="1"/>
    <col min="13061" max="13061" width="40.1640625" style="1" customWidth="1"/>
    <col min="13062" max="13063" width="13.33203125" style="1" customWidth="1"/>
    <col min="13064" max="13313" width="8.6640625" style="1"/>
    <col min="13314" max="13314" width="13.33203125" style="1" customWidth="1"/>
    <col min="13315" max="13315" width="36.83203125" style="1" customWidth="1"/>
    <col min="13316" max="13316" width="57.6640625" style="1" customWidth="1"/>
    <col min="13317" max="13317" width="40.1640625" style="1" customWidth="1"/>
    <col min="13318" max="13319" width="13.33203125" style="1" customWidth="1"/>
    <col min="13320" max="13569" width="8.6640625" style="1"/>
    <col min="13570" max="13570" width="13.33203125" style="1" customWidth="1"/>
    <col min="13571" max="13571" width="36.83203125" style="1" customWidth="1"/>
    <col min="13572" max="13572" width="57.6640625" style="1" customWidth="1"/>
    <col min="13573" max="13573" width="40.1640625" style="1" customWidth="1"/>
    <col min="13574" max="13575" width="13.33203125" style="1" customWidth="1"/>
    <col min="13576" max="13825" width="8.6640625" style="1"/>
    <col min="13826" max="13826" width="13.33203125" style="1" customWidth="1"/>
    <col min="13827" max="13827" width="36.83203125" style="1" customWidth="1"/>
    <col min="13828" max="13828" width="57.6640625" style="1" customWidth="1"/>
    <col min="13829" max="13829" width="40.1640625" style="1" customWidth="1"/>
    <col min="13830" max="13831" width="13.33203125" style="1" customWidth="1"/>
    <col min="13832" max="14081" width="8.6640625" style="1"/>
    <col min="14082" max="14082" width="13.33203125" style="1" customWidth="1"/>
    <col min="14083" max="14083" width="36.83203125" style="1" customWidth="1"/>
    <col min="14084" max="14084" width="57.6640625" style="1" customWidth="1"/>
    <col min="14085" max="14085" width="40.1640625" style="1" customWidth="1"/>
    <col min="14086" max="14087" width="13.33203125" style="1" customWidth="1"/>
    <col min="14088" max="14337" width="8.6640625" style="1"/>
    <col min="14338" max="14338" width="13.33203125" style="1" customWidth="1"/>
    <col min="14339" max="14339" width="36.83203125" style="1" customWidth="1"/>
    <col min="14340" max="14340" width="57.6640625" style="1" customWidth="1"/>
    <col min="14341" max="14341" width="40.1640625" style="1" customWidth="1"/>
    <col min="14342" max="14343" width="13.33203125" style="1" customWidth="1"/>
    <col min="14344" max="14593" width="8.6640625" style="1"/>
    <col min="14594" max="14594" width="13.33203125" style="1" customWidth="1"/>
    <col min="14595" max="14595" width="36.83203125" style="1" customWidth="1"/>
    <col min="14596" max="14596" width="57.6640625" style="1" customWidth="1"/>
    <col min="14597" max="14597" width="40.1640625" style="1" customWidth="1"/>
    <col min="14598" max="14599" width="13.33203125" style="1" customWidth="1"/>
    <col min="14600" max="14849" width="8.6640625" style="1"/>
    <col min="14850" max="14850" width="13.33203125" style="1" customWidth="1"/>
    <col min="14851" max="14851" width="36.83203125" style="1" customWidth="1"/>
    <col min="14852" max="14852" width="57.6640625" style="1" customWidth="1"/>
    <col min="14853" max="14853" width="40.1640625" style="1" customWidth="1"/>
    <col min="14854" max="14855" width="13.33203125" style="1" customWidth="1"/>
    <col min="14856" max="15105" width="8.6640625" style="1"/>
    <col min="15106" max="15106" width="13.33203125" style="1" customWidth="1"/>
    <col min="15107" max="15107" width="36.83203125" style="1" customWidth="1"/>
    <col min="15108" max="15108" width="57.6640625" style="1" customWidth="1"/>
    <col min="15109" max="15109" width="40.1640625" style="1" customWidth="1"/>
    <col min="15110" max="15111" width="13.33203125" style="1" customWidth="1"/>
    <col min="15112" max="15361" width="8.6640625" style="1"/>
    <col min="15362" max="15362" width="13.33203125" style="1" customWidth="1"/>
    <col min="15363" max="15363" width="36.83203125" style="1" customWidth="1"/>
    <col min="15364" max="15364" width="57.6640625" style="1" customWidth="1"/>
    <col min="15365" max="15365" width="40.1640625" style="1" customWidth="1"/>
    <col min="15366" max="15367" width="13.33203125" style="1" customWidth="1"/>
    <col min="15368" max="15617" width="8.6640625" style="1"/>
    <col min="15618" max="15618" width="13.33203125" style="1" customWidth="1"/>
    <col min="15619" max="15619" width="36.83203125" style="1" customWidth="1"/>
    <col min="15620" max="15620" width="57.6640625" style="1" customWidth="1"/>
    <col min="15621" max="15621" width="40.1640625" style="1" customWidth="1"/>
    <col min="15622" max="15623" width="13.33203125" style="1" customWidth="1"/>
    <col min="15624" max="15873" width="8.6640625" style="1"/>
    <col min="15874" max="15874" width="13.33203125" style="1" customWidth="1"/>
    <col min="15875" max="15875" width="36.83203125" style="1" customWidth="1"/>
    <col min="15876" max="15876" width="57.6640625" style="1" customWidth="1"/>
    <col min="15877" max="15877" width="40.1640625" style="1" customWidth="1"/>
    <col min="15878" max="15879" width="13.33203125" style="1" customWidth="1"/>
    <col min="15880" max="16129" width="8.6640625" style="1"/>
    <col min="16130" max="16130" width="13.33203125" style="1" customWidth="1"/>
    <col min="16131" max="16131" width="36.83203125" style="1" customWidth="1"/>
    <col min="16132" max="16132" width="57.6640625" style="1" customWidth="1"/>
    <col min="16133" max="16133" width="40.1640625" style="1" customWidth="1"/>
    <col min="16134" max="16135" width="13.33203125" style="1" customWidth="1"/>
    <col min="16136" max="16384" width="8.6640625" style="1"/>
  </cols>
  <sheetData>
    <row r="1" spans="1:12">
      <c r="A1" s="1" t="s">
        <v>265</v>
      </c>
      <c r="K1" s="2" t="s">
        <v>1</v>
      </c>
    </row>
    <row r="2" spans="1:1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4" t="s">
        <v>10</v>
      </c>
      <c r="J2" s="4" t="s">
        <v>260</v>
      </c>
      <c r="K2" s="4" t="s">
        <v>258</v>
      </c>
      <c r="L2" s="4" t="s">
        <v>261</v>
      </c>
    </row>
    <row r="3" spans="1:12" s="17" customFormat="1">
      <c r="A3" s="6">
        <v>1</v>
      </c>
      <c r="B3" s="4" t="s">
        <v>323</v>
      </c>
      <c r="C3" s="4" t="s">
        <v>324</v>
      </c>
      <c r="D3" s="7" t="s">
        <v>325</v>
      </c>
      <c r="E3" s="7" t="s">
        <v>326</v>
      </c>
      <c r="F3" s="4" t="s">
        <v>0</v>
      </c>
      <c r="G3" s="8">
        <v>150</v>
      </c>
      <c r="H3" s="4" t="s">
        <v>327</v>
      </c>
      <c r="I3" s="4" t="s">
        <v>328</v>
      </c>
      <c r="J3" s="10" t="s">
        <v>329</v>
      </c>
      <c r="K3" s="10" t="s">
        <v>330</v>
      </c>
      <c r="L3" s="10" t="s">
        <v>331</v>
      </c>
    </row>
    <row r="4" spans="1:12" s="17" customFormat="1">
      <c r="A4" s="6">
        <f>+A3+1</f>
        <v>2</v>
      </c>
      <c r="B4" s="4" t="s">
        <v>332</v>
      </c>
      <c r="C4" s="4" t="s">
        <v>333</v>
      </c>
      <c r="D4" s="7" t="s">
        <v>334</v>
      </c>
      <c r="E4" s="7" t="s">
        <v>335</v>
      </c>
      <c r="F4" s="4" t="s">
        <v>294</v>
      </c>
      <c r="G4" s="8">
        <v>100</v>
      </c>
      <c r="H4" s="4" t="s">
        <v>336</v>
      </c>
      <c r="I4" s="4" t="s">
        <v>337</v>
      </c>
      <c r="J4" s="10" t="s">
        <v>338</v>
      </c>
      <c r="K4" s="10" t="s">
        <v>339</v>
      </c>
      <c r="L4" s="10" t="s">
        <v>340</v>
      </c>
    </row>
    <row r="5" spans="1:12" s="17" customFormat="1">
      <c r="A5" s="6">
        <f t="shared" ref="A5:A6" si="0">+A4+1</f>
        <v>3</v>
      </c>
      <c r="B5" s="4" t="s">
        <v>341</v>
      </c>
      <c r="C5" s="4" t="s">
        <v>342</v>
      </c>
      <c r="D5" s="7" t="s">
        <v>343</v>
      </c>
      <c r="E5" s="7" t="s">
        <v>344</v>
      </c>
      <c r="F5" s="4" t="s">
        <v>294</v>
      </c>
      <c r="G5" s="8">
        <v>100</v>
      </c>
      <c r="H5" s="4" t="s">
        <v>345</v>
      </c>
      <c r="I5" s="4" t="s">
        <v>346</v>
      </c>
      <c r="J5" s="10" t="s">
        <v>347</v>
      </c>
      <c r="K5" s="10" t="s">
        <v>348</v>
      </c>
      <c r="L5" s="10" t="s">
        <v>349</v>
      </c>
    </row>
    <row r="6" spans="1:12" s="17" customFormat="1">
      <c r="A6" s="6">
        <f t="shared" si="0"/>
        <v>4</v>
      </c>
      <c r="B6" s="4" t="s">
        <v>350</v>
      </c>
      <c r="C6" s="4" t="s">
        <v>351</v>
      </c>
      <c r="D6" s="7" t="s">
        <v>352</v>
      </c>
      <c r="E6" s="7" t="s">
        <v>353</v>
      </c>
      <c r="F6" s="4" t="s">
        <v>294</v>
      </c>
      <c r="G6" s="8">
        <v>100</v>
      </c>
      <c r="H6" s="4" t="s">
        <v>354</v>
      </c>
      <c r="I6" s="4" t="s">
        <v>346</v>
      </c>
      <c r="J6" s="10"/>
      <c r="K6" s="10"/>
      <c r="L6" s="10" t="s">
        <v>355</v>
      </c>
    </row>
    <row r="7" spans="1:12" s="17" customFormat="1">
      <c r="A7" s="6">
        <v>5</v>
      </c>
      <c r="B7" s="4" t="s">
        <v>356</v>
      </c>
      <c r="C7" s="4" t="s">
        <v>357</v>
      </c>
      <c r="D7" s="7" t="s">
        <v>358</v>
      </c>
      <c r="E7" s="7" t="s">
        <v>359</v>
      </c>
      <c r="F7" s="4" t="s">
        <v>294</v>
      </c>
      <c r="G7" s="8">
        <v>10</v>
      </c>
      <c r="H7" s="4" t="s">
        <v>327</v>
      </c>
      <c r="I7" s="4" t="s">
        <v>337</v>
      </c>
      <c r="J7" s="10" t="s">
        <v>360</v>
      </c>
      <c r="K7" s="10" t="s">
        <v>361</v>
      </c>
      <c r="L7" s="10" t="s">
        <v>362</v>
      </c>
    </row>
    <row r="8" spans="1:12" s="17" customFormat="1">
      <c r="A8" s="6"/>
      <c r="B8" s="4"/>
      <c r="C8" s="4"/>
      <c r="D8" s="7"/>
      <c r="E8" s="7"/>
      <c r="F8" s="4"/>
      <c r="G8" s="8"/>
      <c r="H8" s="4"/>
      <c r="I8" s="4"/>
      <c r="J8" s="10"/>
      <c r="K8" s="10"/>
      <c r="L8" s="10"/>
    </row>
    <row r="9" spans="1:12" s="17" customFormat="1">
      <c r="A9" s="6"/>
      <c r="B9" s="4"/>
      <c r="C9" s="6"/>
      <c r="D9" s="7"/>
      <c r="E9" s="7"/>
      <c r="F9" s="4"/>
      <c r="G9" s="8"/>
      <c r="H9" s="4"/>
      <c r="I9" s="4"/>
      <c r="J9" s="10"/>
      <c r="K9" s="10"/>
      <c r="L9" s="10"/>
    </row>
    <row r="10" spans="1:12" s="17" customFormat="1">
      <c r="A10" s="6"/>
      <c r="B10" s="4"/>
      <c r="C10" s="4"/>
      <c r="D10" s="7"/>
      <c r="E10" s="7"/>
      <c r="F10" s="4"/>
      <c r="G10" s="8"/>
      <c r="H10" s="4"/>
      <c r="I10" s="4"/>
      <c r="J10" s="10"/>
      <c r="K10" s="10"/>
      <c r="L10" s="10"/>
    </row>
    <row r="11" spans="1:12" s="17" customFormat="1">
      <c r="A11" s="6"/>
      <c r="B11" s="4"/>
      <c r="C11" s="4"/>
      <c r="D11" s="7"/>
      <c r="E11" s="7"/>
      <c r="F11" s="4"/>
      <c r="G11" s="8"/>
      <c r="H11" s="4"/>
      <c r="I11" s="4"/>
      <c r="J11" s="10"/>
      <c r="K11" s="10"/>
      <c r="L11" s="10"/>
    </row>
    <row r="12" spans="1:12" s="17" customFormat="1">
      <c r="A12" s="6"/>
      <c r="B12" s="4"/>
      <c r="C12" s="4"/>
      <c r="D12" s="7"/>
      <c r="E12" s="7"/>
      <c r="F12" s="4"/>
      <c r="G12" s="8"/>
      <c r="H12" s="4"/>
      <c r="I12" s="4"/>
      <c r="J12" s="10"/>
      <c r="K12" s="10"/>
      <c r="L12" s="10"/>
    </row>
    <row r="13" spans="1:12" s="17" customFormat="1">
      <c r="A13" s="6"/>
      <c r="B13" s="4"/>
      <c r="C13" s="4"/>
      <c r="D13" s="7"/>
      <c r="E13" s="7"/>
      <c r="F13" s="4"/>
      <c r="G13" s="8"/>
      <c r="H13" s="4"/>
      <c r="I13" s="4"/>
      <c r="J13" s="10"/>
      <c r="K13" s="10"/>
      <c r="L13" s="11"/>
    </row>
    <row r="14" spans="1:12" s="17" customFormat="1">
      <c r="A14" s="6"/>
      <c r="B14" s="4"/>
      <c r="C14" s="6"/>
      <c r="D14" s="7"/>
      <c r="E14" s="7"/>
      <c r="F14" s="4"/>
      <c r="G14" s="8"/>
      <c r="H14" s="2"/>
      <c r="I14" s="4"/>
      <c r="J14" s="10"/>
      <c r="K14" s="10"/>
      <c r="L14" s="11"/>
    </row>
    <row r="15" spans="1:12" s="17" customFormat="1">
      <c r="A15" s="6"/>
      <c r="B15" s="4"/>
      <c r="C15" s="4"/>
      <c r="D15" s="7"/>
      <c r="E15" s="7"/>
      <c r="F15" s="4"/>
      <c r="G15" s="8"/>
      <c r="H15" s="4"/>
      <c r="I15" s="4"/>
      <c r="J15" s="10"/>
      <c r="K15" s="10"/>
      <c r="L15" s="11"/>
    </row>
    <row r="16" spans="1:12" s="17" customFormat="1">
      <c r="A16" s="6"/>
      <c r="B16" s="4"/>
      <c r="C16" s="4"/>
      <c r="D16" s="7"/>
      <c r="E16" s="7"/>
      <c r="F16" s="4"/>
      <c r="G16" s="8"/>
      <c r="H16" s="4"/>
      <c r="I16" s="4"/>
      <c r="J16" s="10"/>
      <c r="K16" s="10"/>
      <c r="L16" s="11"/>
    </row>
    <row r="17" spans="1:12">
      <c r="A17" s="6"/>
      <c r="B17" s="4"/>
      <c r="C17" s="4"/>
      <c r="D17" s="7"/>
      <c r="E17" s="7"/>
      <c r="F17" s="4"/>
      <c r="G17" s="8"/>
      <c r="H17" s="4"/>
      <c r="I17" s="4"/>
      <c r="J17" s="4"/>
      <c r="K17" s="4"/>
      <c r="L17" s="9"/>
    </row>
    <row r="18" spans="1:12">
      <c r="A18" s="6"/>
      <c r="B18" s="4"/>
      <c r="C18" s="4"/>
      <c r="D18" s="7"/>
      <c r="E18" s="7"/>
      <c r="F18" s="4"/>
      <c r="G18" s="8"/>
      <c r="H18" s="4"/>
      <c r="I18" s="4"/>
      <c r="J18" s="4"/>
      <c r="K18" s="4"/>
      <c r="L18" s="9"/>
    </row>
    <row r="19" spans="1:12">
      <c r="A19" s="6"/>
      <c r="B19" s="4"/>
      <c r="C19" s="4"/>
      <c r="D19" s="7"/>
      <c r="E19" s="7"/>
      <c r="F19" s="4"/>
      <c r="G19" s="8"/>
      <c r="H19" s="4"/>
      <c r="I19" s="4"/>
      <c r="J19" s="4"/>
      <c r="K19" s="4"/>
      <c r="L19" s="9"/>
    </row>
    <row r="20" spans="1:12">
      <c r="A20" s="6"/>
      <c r="B20" s="4"/>
      <c r="C20" s="4"/>
      <c r="D20" s="7"/>
      <c r="E20" s="7"/>
      <c r="F20" s="4"/>
      <c r="G20" s="8"/>
      <c r="H20" s="4"/>
      <c r="I20" s="4"/>
      <c r="J20" s="4"/>
      <c r="K20" s="4"/>
      <c r="L20" s="9"/>
    </row>
    <row r="21" spans="1:12">
      <c r="A21" s="6"/>
      <c r="B21" s="4"/>
      <c r="C21" s="4"/>
      <c r="D21" s="7"/>
      <c r="E21" s="7"/>
      <c r="F21" s="4"/>
      <c r="G21" s="8"/>
      <c r="H21" s="4"/>
      <c r="I21" s="4"/>
      <c r="J21" s="4"/>
      <c r="K21" s="4"/>
      <c r="L21" s="9"/>
    </row>
    <row r="22" spans="1:12">
      <c r="A22" s="6"/>
      <c r="B22" s="4"/>
      <c r="C22" s="4"/>
      <c r="D22" s="7"/>
      <c r="E22" s="7"/>
      <c r="F22" s="4"/>
      <c r="G22" s="8"/>
      <c r="H22" s="4"/>
      <c r="I22" s="4"/>
      <c r="J22" s="4"/>
      <c r="K22" s="4"/>
      <c r="L22" s="9"/>
    </row>
    <row r="23" spans="1:12">
      <c r="A23" s="6"/>
      <c r="B23" s="4"/>
      <c r="C23" s="4"/>
      <c r="D23" s="7"/>
      <c r="E23" s="7"/>
      <c r="F23" s="4"/>
      <c r="G23" s="8"/>
      <c r="H23" s="4"/>
      <c r="I23" s="4"/>
      <c r="J23" s="4"/>
      <c r="K23" s="4"/>
      <c r="L23" s="9"/>
    </row>
    <row r="24" spans="1:12">
      <c r="A24" s="6"/>
      <c r="B24" s="4"/>
      <c r="C24" s="4"/>
      <c r="D24" s="7"/>
      <c r="E24" s="7"/>
      <c r="F24" s="4"/>
      <c r="G24" s="8"/>
      <c r="H24" s="4"/>
      <c r="I24" s="4"/>
      <c r="J24" s="4"/>
      <c r="K24" s="4"/>
      <c r="L24" s="9"/>
    </row>
    <row r="25" spans="1:12">
      <c r="A25" s="6"/>
      <c r="B25" s="4"/>
      <c r="C25" s="4"/>
      <c r="D25" s="7"/>
      <c r="E25" s="7"/>
      <c r="F25" s="4"/>
      <c r="G25" s="8"/>
      <c r="H25" s="4"/>
      <c r="I25" s="4"/>
      <c r="J25" s="4"/>
      <c r="K25" s="4"/>
      <c r="L25" s="9"/>
    </row>
    <row r="26" spans="1:12">
      <c r="A26" s="6"/>
      <c r="B26" s="4"/>
      <c r="C26" s="4"/>
      <c r="D26" s="7"/>
      <c r="E26" s="7"/>
      <c r="F26" s="4"/>
      <c r="G26" s="8"/>
      <c r="H26" s="4"/>
      <c r="I26" s="4"/>
      <c r="J26" s="4"/>
      <c r="K26" s="4"/>
      <c r="L26" s="9"/>
    </row>
    <row r="27" spans="1:12">
      <c r="A27" s="6"/>
      <c r="B27" s="4"/>
      <c r="C27" s="4"/>
      <c r="D27" s="7"/>
      <c r="E27" s="7"/>
      <c r="F27" s="4"/>
      <c r="G27" s="8"/>
      <c r="H27" s="4"/>
      <c r="I27" s="4"/>
      <c r="J27" s="4"/>
      <c r="K27" s="4"/>
      <c r="L27" s="9"/>
    </row>
    <row r="28" spans="1:12">
      <c r="A28" s="6"/>
      <c r="B28" s="4"/>
      <c r="C28" s="4"/>
      <c r="D28" s="7"/>
      <c r="E28" s="7"/>
      <c r="F28" s="4"/>
      <c r="G28" s="8"/>
      <c r="H28" s="4"/>
      <c r="I28" s="4"/>
      <c r="J28" s="4"/>
      <c r="K28" s="4"/>
      <c r="L28" s="9"/>
    </row>
    <row r="29" spans="1:12">
      <c r="A29" s="6"/>
      <c r="B29" s="4"/>
      <c r="C29" s="4"/>
      <c r="D29" s="7"/>
      <c r="E29" s="7"/>
      <c r="F29" s="4"/>
      <c r="G29" s="8"/>
      <c r="H29" s="4"/>
      <c r="I29" s="4"/>
      <c r="J29" s="4"/>
      <c r="K29" s="4"/>
      <c r="L29" s="9"/>
    </row>
    <row r="30" spans="1:12">
      <c r="A30" s="6"/>
      <c r="B30" s="4"/>
      <c r="C30" s="4"/>
      <c r="D30" s="7"/>
      <c r="E30" s="7"/>
      <c r="F30" s="4"/>
      <c r="G30" s="8"/>
      <c r="H30" s="4"/>
      <c r="I30" s="4"/>
      <c r="J30" s="4"/>
      <c r="K30" s="4"/>
      <c r="L30" s="9"/>
    </row>
    <row r="31" spans="1:12">
      <c r="A31" s="6"/>
      <c r="B31" s="4"/>
      <c r="C31" s="4"/>
      <c r="D31" s="7"/>
      <c r="E31" s="7"/>
      <c r="F31" s="4"/>
      <c r="G31" s="8"/>
      <c r="H31" s="4"/>
      <c r="I31" s="4"/>
      <c r="J31" s="4"/>
      <c r="K31" s="4"/>
      <c r="L31" s="9"/>
    </row>
    <row r="32" spans="1:12">
      <c r="A32" s="6"/>
      <c r="B32" s="4"/>
      <c r="C32" s="6"/>
      <c r="D32" s="7"/>
      <c r="E32" s="7"/>
      <c r="F32" s="4"/>
      <c r="G32" s="8"/>
      <c r="H32" s="4"/>
      <c r="I32" s="4"/>
      <c r="J32" s="4"/>
      <c r="K32" s="4"/>
      <c r="L32" s="9"/>
    </row>
    <row r="33" spans="1:12">
      <c r="A33" s="6"/>
      <c r="B33" s="4"/>
      <c r="C33" s="6"/>
      <c r="D33" s="7"/>
      <c r="E33" s="7"/>
      <c r="F33" s="4"/>
      <c r="G33" s="8"/>
      <c r="H33" s="4"/>
      <c r="I33" s="4"/>
      <c r="J33" s="4"/>
      <c r="K33" s="4"/>
      <c r="L33" s="9"/>
    </row>
    <row r="34" spans="1:12">
      <c r="A34" s="6"/>
      <c r="B34" s="4"/>
      <c r="C34" s="4"/>
      <c r="D34" s="7"/>
      <c r="E34" s="7"/>
      <c r="F34" s="4"/>
      <c r="G34" s="8"/>
      <c r="H34" s="4"/>
      <c r="I34" s="4"/>
      <c r="J34" s="4"/>
      <c r="K34" s="4"/>
      <c r="L34" s="9"/>
    </row>
    <row r="35" spans="1:12">
      <c r="A35" s="6"/>
      <c r="B35" s="4"/>
      <c r="C35" s="4"/>
      <c r="D35" s="7"/>
      <c r="E35" s="7"/>
      <c r="F35" s="4"/>
      <c r="G35" s="8"/>
      <c r="H35" s="4"/>
      <c r="I35" s="4"/>
      <c r="J35" s="4"/>
      <c r="K35" s="4"/>
      <c r="L35" s="9"/>
    </row>
    <row r="36" spans="1:12">
      <c r="A36" s="6"/>
      <c r="B36" s="4"/>
      <c r="C36" s="4"/>
      <c r="D36" s="7"/>
      <c r="E36" s="7"/>
      <c r="F36" s="4"/>
      <c r="G36" s="8"/>
      <c r="H36" s="4"/>
      <c r="I36" s="4"/>
      <c r="J36" s="4"/>
      <c r="K36" s="4"/>
      <c r="L36" s="9"/>
    </row>
    <row r="37" spans="1:12">
      <c r="A37" s="6"/>
      <c r="B37" s="4"/>
      <c r="C37" s="4"/>
      <c r="D37" s="7"/>
      <c r="E37" s="7"/>
      <c r="F37" s="4"/>
      <c r="G37" s="8"/>
      <c r="H37" s="4"/>
      <c r="I37" s="4"/>
      <c r="J37" s="4"/>
      <c r="K37" s="4"/>
      <c r="L37" s="9"/>
    </row>
    <row r="38" spans="1:12">
      <c r="A38" s="6"/>
      <c r="B38" s="4"/>
      <c r="C38" s="4"/>
      <c r="D38" s="7"/>
      <c r="E38" s="7"/>
      <c r="F38" s="4"/>
      <c r="G38" s="8"/>
      <c r="H38" s="4"/>
      <c r="I38" s="4"/>
      <c r="J38" s="4"/>
      <c r="K38" s="4"/>
      <c r="L38" s="9"/>
    </row>
    <row r="39" spans="1:12">
      <c r="A39" s="6"/>
      <c r="B39" s="4"/>
      <c r="C39" s="4"/>
      <c r="D39" s="7"/>
      <c r="E39" s="7"/>
      <c r="F39" s="4"/>
      <c r="G39" s="8"/>
      <c r="H39" s="4"/>
      <c r="I39" s="4"/>
      <c r="J39" s="4"/>
      <c r="K39" s="4"/>
      <c r="L39" s="9"/>
    </row>
    <row r="40" spans="1:12">
      <c r="A40" s="6"/>
      <c r="B40" s="4"/>
      <c r="C40" s="6"/>
      <c r="D40" s="7"/>
      <c r="E40" s="7"/>
      <c r="F40" s="4"/>
      <c r="G40" s="8"/>
      <c r="H40" s="4"/>
      <c r="I40" s="4"/>
      <c r="J40" s="4"/>
      <c r="K40" s="4"/>
      <c r="L40" s="9"/>
    </row>
    <row r="41" spans="1:12">
      <c r="A41" s="6"/>
      <c r="B41" s="4"/>
      <c r="C41" s="4"/>
      <c r="D41" s="7"/>
      <c r="E41" s="7"/>
      <c r="F41" s="4"/>
      <c r="G41" s="8"/>
      <c r="H41" s="4"/>
      <c r="I41" s="4"/>
      <c r="J41" s="4"/>
      <c r="K41" s="4"/>
      <c r="L41" s="9"/>
    </row>
    <row r="42" spans="1:12">
      <c r="A42" s="6"/>
      <c r="B42" s="4"/>
      <c r="C42" s="4"/>
      <c r="D42" s="7"/>
      <c r="E42" s="7"/>
      <c r="F42" s="4"/>
      <c r="G42" s="8"/>
      <c r="H42" s="4"/>
      <c r="I42" s="4"/>
      <c r="J42" s="4"/>
      <c r="K42" s="4"/>
      <c r="L42" s="9"/>
    </row>
    <row r="43" spans="1:12">
      <c r="A43" s="6"/>
      <c r="B43" s="4"/>
      <c r="C43" s="4"/>
      <c r="D43" s="7"/>
      <c r="E43" s="7"/>
      <c r="F43" s="4"/>
      <c r="G43" s="8"/>
      <c r="H43" s="4"/>
      <c r="I43" s="4"/>
      <c r="J43" s="4"/>
      <c r="K43" s="4"/>
      <c r="L43" s="9"/>
    </row>
    <row r="44" spans="1:12">
      <c r="A44" s="6"/>
      <c r="B44" s="4"/>
      <c r="C44" s="4"/>
      <c r="D44" s="7"/>
      <c r="E44" s="7"/>
      <c r="F44" s="4"/>
      <c r="G44" s="8"/>
      <c r="H44" s="4"/>
      <c r="I44" s="4"/>
      <c r="J44" s="4"/>
      <c r="K44" s="4"/>
      <c r="L44" s="9"/>
    </row>
    <row r="45" spans="1:12">
      <c r="A45" s="6"/>
      <c r="B45" s="4"/>
      <c r="C45" s="4"/>
      <c r="D45" s="7"/>
      <c r="E45" s="7"/>
      <c r="F45" s="4"/>
      <c r="G45" s="8"/>
      <c r="H45" s="4"/>
      <c r="I45" s="4"/>
      <c r="J45" s="4"/>
      <c r="K45" s="4"/>
      <c r="L45" s="9"/>
    </row>
    <row r="46" spans="1:12">
      <c r="A46" s="6"/>
      <c r="B46" s="4"/>
      <c r="C46" s="4"/>
      <c r="D46" s="7"/>
      <c r="E46" s="7"/>
      <c r="F46" s="4"/>
      <c r="G46" s="8"/>
      <c r="H46" s="4"/>
      <c r="I46" s="4"/>
      <c r="J46" s="4"/>
      <c r="K46" s="4"/>
      <c r="L46" s="9"/>
    </row>
    <row r="47" spans="1:12">
      <c r="A47" s="6"/>
      <c r="B47" s="4"/>
      <c r="C47" s="4"/>
      <c r="D47" s="7"/>
      <c r="E47" s="7"/>
      <c r="F47" s="4"/>
      <c r="G47" s="8"/>
      <c r="H47" s="4"/>
      <c r="I47" s="4"/>
      <c r="J47" s="4"/>
      <c r="K47" s="4"/>
      <c r="L47" s="9"/>
    </row>
    <row r="48" spans="1:12">
      <c r="A48" s="6"/>
      <c r="B48" s="4"/>
      <c r="C48" s="4"/>
      <c r="D48" s="7"/>
      <c r="E48" s="7"/>
      <c r="F48" s="4"/>
      <c r="G48" s="8"/>
      <c r="H48" s="4"/>
      <c r="I48" s="4"/>
      <c r="J48" s="4"/>
      <c r="K48" s="4"/>
      <c r="L48" s="9"/>
    </row>
    <row r="49" spans="1:12">
      <c r="A49" s="6"/>
      <c r="B49" s="4"/>
      <c r="C49" s="4"/>
      <c r="D49" s="7"/>
      <c r="E49" s="7"/>
      <c r="F49" s="4"/>
      <c r="G49" s="8"/>
      <c r="H49" s="4"/>
      <c r="I49" s="4"/>
      <c r="J49" s="4"/>
      <c r="K49" s="4"/>
      <c r="L49" s="9"/>
    </row>
    <row r="50" spans="1:12">
      <c r="A50" s="6"/>
      <c r="B50" s="4"/>
      <c r="C50" s="4"/>
      <c r="D50" s="7"/>
      <c r="E50" s="7"/>
      <c r="F50" s="4"/>
      <c r="G50" s="8"/>
      <c r="H50" s="4"/>
      <c r="I50" s="4"/>
      <c r="J50" s="4"/>
      <c r="K50" s="4"/>
      <c r="L50" s="9"/>
    </row>
    <row r="51" spans="1:12">
      <c r="A51" s="6"/>
      <c r="B51" s="4"/>
      <c r="C51" s="4"/>
      <c r="D51" s="7"/>
      <c r="E51" s="7"/>
      <c r="F51" s="4"/>
      <c r="G51" s="8"/>
      <c r="H51" s="4"/>
      <c r="I51" s="4"/>
      <c r="J51" s="4"/>
      <c r="K51" s="4"/>
      <c r="L51" s="9"/>
    </row>
    <row r="52" spans="1:12">
      <c r="A52" s="6"/>
      <c r="B52" s="10"/>
      <c r="C52" s="10"/>
      <c r="D52" s="11"/>
      <c r="E52" s="11"/>
      <c r="F52" s="10"/>
      <c r="G52" s="12"/>
      <c r="H52" s="10"/>
      <c r="I52" s="10"/>
      <c r="J52" s="4"/>
      <c r="K52" s="4"/>
      <c r="L52" s="9"/>
    </row>
    <row r="53" spans="1:12">
      <c r="A53" s="6"/>
      <c r="B53" s="10"/>
      <c r="C53" s="10"/>
      <c r="D53" s="11"/>
      <c r="E53" s="11"/>
      <c r="F53" s="10"/>
      <c r="G53" s="12"/>
      <c r="H53" s="10"/>
      <c r="I53" s="4"/>
      <c r="J53" s="4"/>
      <c r="K53" s="4"/>
      <c r="L53" s="9"/>
    </row>
    <row r="54" spans="1:12">
      <c r="A54" s="6"/>
      <c r="B54" s="10"/>
      <c r="C54" s="10"/>
      <c r="D54" s="11"/>
      <c r="E54" s="11"/>
      <c r="F54" s="10"/>
      <c r="G54" s="12"/>
      <c r="H54" s="10"/>
      <c r="I54" s="10"/>
      <c r="J54" s="4"/>
      <c r="K54" s="4"/>
      <c r="L54" s="9"/>
    </row>
    <row r="55" spans="1:12">
      <c r="A55" s="6"/>
      <c r="B55" s="10"/>
      <c r="C55" s="10"/>
      <c r="D55" s="11"/>
      <c r="E55" s="11"/>
      <c r="F55" s="10"/>
      <c r="G55" s="12"/>
      <c r="H55" s="10"/>
      <c r="I55" s="10"/>
      <c r="J55" s="4"/>
      <c r="K55" s="4"/>
      <c r="L55" s="9"/>
    </row>
    <row r="56" spans="1:12">
      <c r="A56" s="6"/>
      <c r="B56" s="10"/>
      <c r="C56" s="10"/>
      <c r="D56" s="11"/>
      <c r="E56" s="11"/>
      <c r="F56" s="10"/>
      <c r="G56" s="12"/>
      <c r="H56" s="10"/>
      <c r="I56" s="10"/>
      <c r="J56" s="4"/>
      <c r="K56" s="4"/>
      <c r="L56" s="9"/>
    </row>
    <row r="57" spans="1:12">
      <c r="A57" s="6"/>
      <c r="B57" s="10"/>
      <c r="C57" s="10"/>
      <c r="D57" s="11"/>
      <c r="E57" s="11"/>
      <c r="F57" s="10"/>
      <c r="G57" s="12"/>
      <c r="H57" s="10"/>
      <c r="I57" s="10"/>
      <c r="J57" s="4"/>
      <c r="K57" s="4"/>
      <c r="L57" s="9"/>
    </row>
    <row r="58" spans="1:12">
      <c r="A58" s="6"/>
      <c r="B58" s="4"/>
      <c r="C58" s="4"/>
      <c r="D58" s="9"/>
      <c r="E58" s="9"/>
      <c r="F58" s="4"/>
      <c r="G58" s="8"/>
      <c r="H58" s="4"/>
      <c r="I58" s="4"/>
      <c r="J58" s="4"/>
      <c r="K58" s="4"/>
      <c r="L58" s="9"/>
    </row>
    <row r="59" spans="1:12">
      <c r="A59" s="6"/>
      <c r="B59" s="4"/>
      <c r="C59" s="4"/>
      <c r="D59" s="9"/>
      <c r="E59" s="9"/>
      <c r="F59" s="4"/>
      <c r="G59" s="8"/>
      <c r="H59" s="4"/>
      <c r="I59" s="4"/>
      <c r="J59" s="4"/>
      <c r="K59" s="4"/>
      <c r="L59" s="9"/>
    </row>
    <row r="60" spans="1:12">
      <c r="A60" s="6"/>
      <c r="B60" s="4"/>
      <c r="C60" s="4"/>
      <c r="D60" s="9"/>
      <c r="E60" s="9"/>
      <c r="F60" s="4"/>
      <c r="G60" s="8"/>
      <c r="H60" s="4"/>
      <c r="I60" s="4"/>
      <c r="J60" s="4"/>
      <c r="K60" s="4"/>
      <c r="L60" s="9"/>
    </row>
    <row r="61" spans="1:12">
      <c r="A61" s="6"/>
      <c r="B61" s="4"/>
      <c r="C61" s="4"/>
      <c r="D61" s="9"/>
      <c r="E61" s="9"/>
      <c r="F61" s="4"/>
      <c r="G61" s="8"/>
      <c r="H61" s="4"/>
      <c r="I61" s="4"/>
      <c r="J61" s="4"/>
      <c r="K61" s="4"/>
      <c r="L61" s="9"/>
    </row>
    <row r="62" spans="1:12">
      <c r="A62" s="6"/>
      <c r="B62" s="4"/>
      <c r="C62" s="4"/>
      <c r="D62" s="9"/>
      <c r="E62" s="9"/>
      <c r="F62" s="4"/>
      <c r="G62" s="8"/>
      <c r="H62" s="4"/>
      <c r="I62" s="4"/>
      <c r="J62" s="4"/>
      <c r="K62" s="4"/>
      <c r="L62" s="9"/>
    </row>
    <row r="63" spans="1:12">
      <c r="A63" s="6"/>
      <c r="B63" s="4"/>
      <c r="C63" s="4"/>
      <c r="D63" s="9"/>
      <c r="E63" s="9"/>
      <c r="F63" s="4"/>
      <c r="G63" s="8"/>
      <c r="H63" s="4"/>
      <c r="I63" s="4"/>
      <c r="J63" s="4"/>
      <c r="K63" s="4"/>
      <c r="L63" s="9"/>
    </row>
    <row r="64" spans="1:12">
      <c r="A64" s="6"/>
      <c r="B64" s="4"/>
      <c r="C64" s="4"/>
      <c r="D64" s="9"/>
      <c r="E64" s="9"/>
      <c r="F64" s="4"/>
      <c r="G64" s="8"/>
      <c r="H64" s="4"/>
      <c r="I64" s="4"/>
      <c r="J64" s="4"/>
      <c r="K64" s="4"/>
      <c r="L64" s="9"/>
    </row>
    <row r="65" spans="1:12">
      <c r="A65" s="6"/>
      <c r="B65" s="4"/>
      <c r="C65" s="4"/>
      <c r="D65" s="9"/>
      <c r="E65" s="9"/>
      <c r="F65" s="4"/>
      <c r="G65" s="8"/>
      <c r="H65" s="4"/>
      <c r="I65" s="4"/>
      <c r="J65" s="4"/>
      <c r="K65" s="4"/>
      <c r="L65" s="9"/>
    </row>
    <row r="66" spans="1:12">
      <c r="A66" s="6"/>
      <c r="B66" s="4"/>
      <c r="C66" s="4"/>
      <c r="D66" s="9"/>
      <c r="E66" s="9"/>
      <c r="F66" s="4"/>
      <c r="G66" s="8"/>
      <c r="H66" s="4"/>
      <c r="I66" s="4"/>
      <c r="J66" s="4"/>
      <c r="K66" s="4"/>
      <c r="L66" s="9"/>
    </row>
    <row r="67" spans="1:12">
      <c r="A67" s="6"/>
      <c r="B67" s="4"/>
      <c r="C67" s="4"/>
      <c r="D67" s="9"/>
      <c r="E67" s="9"/>
      <c r="F67" s="4"/>
      <c r="G67" s="8"/>
      <c r="H67" s="4"/>
      <c r="I67" s="4"/>
      <c r="J67" s="4"/>
      <c r="K67" s="4"/>
      <c r="L67" s="9"/>
    </row>
    <row r="68" spans="1:12">
      <c r="A68" s="6"/>
      <c r="B68" s="4"/>
      <c r="C68" s="4"/>
      <c r="D68" s="9"/>
      <c r="E68" s="18"/>
      <c r="F68" s="14"/>
      <c r="G68" s="15"/>
      <c r="H68" s="14"/>
      <c r="I68" s="4"/>
      <c r="J68" s="4"/>
      <c r="K68" s="4"/>
      <c r="L68" s="9"/>
    </row>
    <row r="69" spans="1:12">
      <c r="A69" s="6"/>
      <c r="B69" s="4"/>
      <c r="C69" s="4"/>
      <c r="D69" s="9"/>
      <c r="E69" s="19"/>
      <c r="F69" s="14"/>
      <c r="G69" s="15"/>
      <c r="H69" s="14"/>
      <c r="I69" s="4"/>
      <c r="J69" s="4"/>
      <c r="K69" s="4"/>
      <c r="L69" s="9"/>
    </row>
    <row r="70" spans="1:12">
      <c r="A70" s="6"/>
      <c r="B70" s="4"/>
      <c r="C70" s="4"/>
      <c r="D70" s="9"/>
      <c r="E70" s="7"/>
      <c r="F70" s="4"/>
      <c r="G70" s="8"/>
      <c r="H70" s="4"/>
      <c r="I70" s="4"/>
      <c r="J70" s="4"/>
      <c r="K70" s="4"/>
      <c r="L70" s="9"/>
    </row>
    <row r="71" spans="1:12">
      <c r="A71" s="6"/>
      <c r="B71" s="4"/>
      <c r="C71" s="4"/>
      <c r="D71" s="9"/>
      <c r="E71" s="7"/>
      <c r="F71" s="4"/>
      <c r="G71" s="8"/>
      <c r="H71" s="4"/>
      <c r="I71" s="4"/>
      <c r="J71" s="4"/>
      <c r="K71" s="4"/>
      <c r="L71" s="9"/>
    </row>
    <row r="72" spans="1:12">
      <c r="A72" s="6"/>
      <c r="B72" s="4"/>
      <c r="C72" s="4"/>
      <c r="D72" s="9"/>
      <c r="E72" s="7"/>
      <c r="F72" s="4"/>
      <c r="G72" s="8"/>
      <c r="H72" s="4"/>
      <c r="I72" s="4"/>
      <c r="J72" s="4"/>
      <c r="K72" s="4"/>
      <c r="L72" s="9"/>
    </row>
    <row r="73" spans="1:12">
      <c r="A73" s="6"/>
      <c r="B73" s="4"/>
      <c r="C73" s="4"/>
      <c r="D73" s="9"/>
      <c r="E73" s="7"/>
      <c r="F73" s="4"/>
      <c r="G73" s="8"/>
      <c r="H73" s="4"/>
      <c r="I73" s="4"/>
      <c r="J73" s="4"/>
      <c r="K73" s="4"/>
      <c r="L73" s="9"/>
    </row>
    <row r="74" spans="1:12">
      <c r="A74" s="6"/>
      <c r="B74" s="4"/>
      <c r="C74" s="4"/>
      <c r="D74" s="9"/>
      <c r="E74" s="7"/>
      <c r="F74" s="4"/>
      <c r="G74" s="8"/>
      <c r="H74" s="4"/>
      <c r="I74" s="4"/>
      <c r="J74" s="4"/>
      <c r="K74" s="4"/>
      <c r="L74" s="9"/>
    </row>
    <row r="75" spans="1:12">
      <c r="A75" s="6"/>
      <c r="B75" s="4"/>
      <c r="C75" s="4"/>
      <c r="D75" s="9"/>
      <c r="E75" s="7"/>
      <c r="F75" s="4"/>
      <c r="G75" s="8"/>
      <c r="H75" s="4"/>
      <c r="I75" s="4"/>
      <c r="J75" s="4"/>
      <c r="K75" s="4"/>
      <c r="L75" s="9"/>
    </row>
    <row r="76" spans="1:12">
      <c r="A76" s="6"/>
      <c r="B76" s="4"/>
      <c r="C76" s="4"/>
      <c r="D76" s="9"/>
      <c r="E76" s="7"/>
      <c r="F76" s="4"/>
      <c r="G76" s="8"/>
      <c r="H76" s="4"/>
      <c r="I76" s="4"/>
      <c r="J76" s="4"/>
      <c r="K76" s="4"/>
      <c r="L76" s="9"/>
    </row>
    <row r="77" spans="1:12">
      <c r="A77" s="6"/>
      <c r="B77" s="4"/>
      <c r="C77" s="4"/>
      <c r="D77" s="9"/>
      <c r="E77" s="7"/>
      <c r="F77" s="4"/>
      <c r="G77" s="8"/>
      <c r="H77" s="4"/>
      <c r="I77" s="4"/>
      <c r="J77" s="4"/>
      <c r="K77" s="4"/>
      <c r="L77" s="9"/>
    </row>
    <row r="78" spans="1:12">
      <c r="A78" s="6"/>
      <c r="B78" s="4"/>
      <c r="C78" s="4"/>
      <c r="D78" s="9"/>
      <c r="E78" s="7"/>
      <c r="F78" s="4"/>
      <c r="G78" s="8"/>
      <c r="H78" s="4"/>
      <c r="I78" s="4"/>
      <c r="J78" s="4"/>
      <c r="K78" s="4"/>
      <c r="L78" s="9"/>
    </row>
    <row r="79" spans="1:12">
      <c r="A79" s="6"/>
      <c r="B79" s="4"/>
      <c r="C79" s="4"/>
      <c r="D79" s="9"/>
      <c r="E79" s="7"/>
      <c r="F79" s="4"/>
      <c r="G79" s="8"/>
      <c r="H79" s="4"/>
      <c r="I79" s="4"/>
      <c r="J79" s="4"/>
      <c r="K79" s="4"/>
      <c r="L79" s="9"/>
    </row>
    <row r="80" spans="1:12">
      <c r="A80" s="6"/>
      <c r="B80" s="4"/>
      <c r="C80" s="4"/>
      <c r="D80" s="9"/>
      <c r="E80" s="7"/>
      <c r="F80" s="4"/>
      <c r="G80" s="8"/>
      <c r="H80" s="4"/>
      <c r="I80" s="4"/>
      <c r="J80" s="4"/>
      <c r="K80" s="4"/>
      <c r="L80" s="9"/>
    </row>
    <row r="81" spans="1:12">
      <c r="A81" s="6"/>
      <c r="B81" s="4"/>
      <c r="C81" s="4"/>
      <c r="D81" s="9"/>
      <c r="E81" s="7"/>
      <c r="F81" s="4"/>
      <c r="G81" s="8"/>
      <c r="H81" s="4"/>
      <c r="I81" s="4"/>
      <c r="J81" s="4"/>
      <c r="K81" s="4"/>
      <c r="L81" s="9"/>
    </row>
  </sheetData>
  <autoFilter ref="A2:L81" xr:uid="{708D657F-6F85-4910-B87D-C8D5BA1419F3}"/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LCO2 경쟁사 현황 250630 </vt:lpstr>
      <vt:lpstr>화성</vt:lpstr>
      <vt:lpstr>SND(창신)작성</vt:lpstr>
      <vt:lpstr>광주본사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김</dc:creator>
  <cp:lastModifiedBy>Office</cp:lastModifiedBy>
  <cp:lastPrinted>2025-06-29T22:26:14Z</cp:lastPrinted>
  <dcterms:created xsi:type="dcterms:W3CDTF">2025-04-23T10:54:06Z</dcterms:created>
  <dcterms:modified xsi:type="dcterms:W3CDTF">2025-09-16T23:09:27Z</dcterms:modified>
</cp:coreProperties>
</file>